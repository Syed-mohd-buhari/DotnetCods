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00"/>
  </bookViews>
  <sheets>
    <sheet name="Pl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<sst xmlns="http://schemas.openxmlformats.org/spreadsheetml/2006/main" count="79" uniqueCount="59">
  <si>
    <t>BROADCOM DEPLOYMENTS</t>
  </si>
  <si>
    <t>ALTERNATIVE DEPLOYMENTS</t>
  </si>
  <si>
    <t>IaaS-B</t>
  </si>
  <si>
    <t>IaaS-RH</t>
  </si>
  <si>
    <t>VS-VNF</t>
  </si>
  <si>
    <t>VEC-B</t>
  </si>
  <si>
    <t>VEC-RH</t>
  </si>
  <si>
    <t>VS-CNF</t>
  </si>
  <si>
    <t>FY24/25</t>
  </si>
  <si>
    <t>FY25/26</t>
  </si>
  <si>
    <t>FY26/27</t>
  </si>
  <si>
    <t>FY27/28</t>
  </si>
  <si>
    <t>FY28/29</t>
  </si>
  <si>
    <t>FY29/30</t>
  </si>
  <si>
    <t>OpCo</t>
  </si>
  <si>
    <t>Site Name</t>
  </si>
  <si>
    <t>Vendor</t>
  </si>
  <si>
    <t>VNF / CNF</t>
  </si>
  <si>
    <t>Vendor NF</t>
  </si>
  <si>
    <t>xNF Instance</t>
  </si>
  <si>
    <t>Usage (Optional)</t>
  </si>
  <si>
    <t>xNF Size [#CORE]</t>
  </si>
  <si>
    <t>Environment</t>
  </si>
  <si>
    <t>Status</t>
  </si>
  <si>
    <r>
      <rPr>
        <b/>
        <sz val="11"/>
        <color rgb="FF000000"/>
        <rFont val="Calibri"/>
        <charset val="134"/>
        <scheme val="minor"/>
      </rPr>
      <t xml:space="preserve">IaaS / CaaS Infra Stack
</t>
    </r>
    <r>
      <rPr>
        <b/>
        <sz val="11"/>
        <color rgb="FFFF0000"/>
        <rFont val="Calibri"/>
        <charset val="134"/>
        <scheme val="minor"/>
      </rPr>
      <t>(Initial Go-Live)</t>
    </r>
  </si>
  <si>
    <t>Stack Name (Initial Go-Live)</t>
  </si>
  <si>
    <t>RFO Req'd by</t>
  </si>
  <si>
    <t>RFS Req'd by</t>
  </si>
  <si>
    <t>PO Raised?</t>
  </si>
  <si>
    <t>PO Req'd By (if not "N/A")</t>
  </si>
  <si>
    <t>Cluster Name</t>
  </si>
  <si>
    <t>Hardware Type (Initial Go-Live)</t>
  </si>
  <si>
    <t>xNF Size [#vCPU]</t>
  </si>
  <si>
    <r>
      <rPr>
        <b/>
        <sz val="11"/>
        <color rgb="FF000000"/>
        <rFont val="Calibri"/>
        <charset val="134"/>
        <scheme val="minor"/>
      </rPr>
      <t xml:space="preserve">xNF Instance
</t>
    </r>
    <r>
      <rPr>
        <b/>
        <sz val="11"/>
        <color rgb="FFFF0000"/>
        <rFont val="Calibri"/>
        <charset val="134"/>
        <scheme val="minor"/>
      </rPr>
      <t>(Target)</t>
    </r>
  </si>
  <si>
    <r>
      <rPr>
        <b/>
        <sz val="11"/>
        <color rgb="FF000000"/>
        <rFont val="Calibri"/>
        <charset val="134"/>
        <scheme val="minor"/>
      </rPr>
      <t xml:space="preserve">IaaS / CaaS Infra Stack
</t>
    </r>
    <r>
      <rPr>
        <b/>
        <sz val="11"/>
        <color rgb="FFFF0000"/>
        <rFont val="Calibri"/>
        <charset val="134"/>
        <scheme val="minor"/>
      </rPr>
      <t>(Target)</t>
    </r>
  </si>
  <si>
    <t>Stack Name (Target)</t>
  </si>
  <si>
    <t>PO Req'd By</t>
  </si>
  <si>
    <t>BOM 
Submitted</t>
  </si>
  <si>
    <t>Hardware PO
Raised</t>
  </si>
  <si>
    <t>Hardware PO
Arrived</t>
  </si>
  <si>
    <t>VEC infra ready /CNIS -Workload cluster config</t>
  </si>
  <si>
    <t>Start / RFO</t>
  </si>
  <si>
    <t>Start of app Integration</t>
  </si>
  <si>
    <t>RFA</t>
  </si>
  <si>
    <t>RFS</t>
  </si>
  <si>
    <t>Migration Start</t>
  </si>
  <si>
    <t>Migration Complete</t>
  </si>
  <si>
    <t xml:space="preserve">Broadcom Release </t>
  </si>
  <si>
    <t>Hardware Type (Target)</t>
  </si>
  <si>
    <t>NF Size / Expansion - DCE KPI - Value</t>
  </si>
  <si>
    <t>NF Size - DCE KPI - SAU/Gbps/…</t>
  </si>
  <si>
    <t>ACI Available</t>
  </si>
  <si>
    <t>Traffic
%</t>
  </si>
  <si>
    <t>Power %</t>
  </si>
  <si>
    <t>Q1</t>
  </si>
  <si>
    <t>Q2</t>
  </si>
  <si>
    <t>Q3</t>
  </si>
  <si>
    <t>Q4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</si>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</sst>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  <numFmt numFmtId="181" formatCode="mmm/yy"/>
    <numFmt numFmtId="182" formatCode="_-* #,##0_-;\-* #,##0_-;_-* &quot;-&quot;??_-;_-@_-"/>
  </numFmts>
  <fonts count="3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6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89ED8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E1B9B9"/>
        <bgColor indexed="64"/>
      </patternFill>
    </fill>
    <fill>
      <patternFill patternType="solid">
        <fgColor rgb="FFF363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5" borderId="16" applyNumberFormat="0" applyAlignment="0" applyProtection="0">
      <alignment vertical="center"/>
    </xf>
    <xf numFmtId="0" fontId="20" fillId="16" borderId="17" applyNumberFormat="0" applyAlignment="0" applyProtection="0">
      <alignment vertical="center"/>
    </xf>
    <xf numFmtId="0" fontId="21" fillId="16" borderId="16" applyNumberFormat="0" applyAlignment="0" applyProtection="0">
      <alignment vertical="center"/>
    </xf>
    <xf numFmtId="0" fontId="22" fillId="17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180" fontId="1" fillId="2" borderId="0" xfId="0" applyNumberFormat="1" applyFont="1" applyFill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protection locked="0"/>
    </xf>
    <xf numFmtId="0" fontId="4" fillId="3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80" fontId="3" fillId="0" borderId="0" xfId="0" applyNumberFormat="1" applyFont="1" applyAlignment="1" applyProtection="1">
      <alignment horizontal="center" vertical="center"/>
      <protection locked="0"/>
    </xf>
    <xf numFmtId="181" fontId="3" fillId="0" borderId="0" xfId="0" applyNumberFormat="1" applyFont="1" applyAlignment="1" applyProtection="1">
      <alignment horizontal="center" vertical="center"/>
      <protection locked="0"/>
    </xf>
    <xf numFmtId="182" fontId="3" fillId="0" borderId="0" xfId="1" applyNumberFormat="1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protection locked="0"/>
    </xf>
    <xf numFmtId="182" fontId="3" fillId="0" borderId="0" xfId="1" applyNumberFormat="1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1" fillId="0" borderId="9" xfId="0" applyFont="1" applyBorder="1" applyAlignment="1">
      <alignment vertical="center" wrapText="1"/>
    </xf>
    <xf numFmtId="0" fontId="6" fillId="0" borderId="9" xfId="0" applyFont="1" applyBorder="1" applyAlignment="1" applyProtection="1">
      <alignment horizontal="center" vertical="center" wrapText="1"/>
      <protection locked="0"/>
    </xf>
    <xf numFmtId="180" fontId="6" fillId="0" borderId="9" xfId="0" applyNumberFormat="1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181" fontId="6" fillId="0" borderId="9" xfId="0" applyNumberFormat="1" applyFont="1" applyBorder="1" applyAlignment="1" applyProtection="1">
      <alignment horizontal="center" vertical="center"/>
      <protection locked="0"/>
    </xf>
    <xf numFmtId="181" fontId="1" fillId="0" borderId="9" xfId="0" applyNumberFormat="1" applyFont="1" applyBorder="1" applyAlignment="1" applyProtection="1">
      <alignment vertical="center" wrapText="1"/>
      <protection locked="0"/>
    </xf>
    <xf numFmtId="0" fontId="7" fillId="0" borderId="9" xfId="0" applyFont="1" applyBorder="1" applyAlignment="1" applyProtection="1">
      <alignment vertical="center" wrapText="1"/>
      <protection locked="0"/>
    </xf>
    <xf numFmtId="182" fontId="6" fillId="0" borderId="9" xfId="1" applyNumberFormat="1" applyFont="1" applyBorder="1" applyAlignment="1" applyProtection="1">
      <alignment horizontal="center" vertical="center" wrapText="1"/>
      <protection locked="0"/>
    </xf>
    <xf numFmtId="0" fontId="5" fillId="9" borderId="9" xfId="0" applyFont="1" applyFill="1" applyBorder="1" applyAlignment="1" applyProtection="1">
      <alignment horizontal="center" vertical="center" wrapText="1"/>
      <protection locked="0"/>
    </xf>
    <xf numFmtId="181" fontId="0" fillId="10" borderId="10" xfId="0" applyNumberFormat="1" applyFill="1" applyBorder="1" applyAlignment="1">
      <alignment horizontal="center" vertical="center"/>
    </xf>
    <xf numFmtId="181" fontId="0" fillId="10" borderId="9" xfId="0" applyNumberFormat="1" applyFill="1" applyBorder="1" applyAlignment="1">
      <alignment horizontal="center" vertical="center"/>
    </xf>
    <xf numFmtId="0" fontId="6" fillId="0" borderId="0" xfId="0" applyFont="1" applyAlignment="1" applyProtection="1">
      <protection locked="0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/>
      <protection locked="0"/>
    </xf>
    <xf numFmtId="180" fontId="0" fillId="0" borderId="9" xfId="0" applyNumberFormat="1" applyBorder="1" applyAlignment="1" applyProtection="1">
      <alignment horizontal="center" vertical="center"/>
      <protection locked="0"/>
    </xf>
    <xf numFmtId="181" fontId="0" fillId="0" borderId="9" xfId="0" applyNumberForma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181" fontId="0" fillId="10" borderId="11" xfId="0" applyNumberFormat="1" applyFill="1" applyBorder="1" applyAlignment="1">
      <alignment horizontal="center" vertical="center"/>
    </xf>
    <xf numFmtId="0" fontId="0" fillId="0" borderId="0" xfId="0" applyAlignment="1" applyProtection="1">
      <protection locked="0"/>
    </xf>
    <xf numFmtId="0" fontId="4" fillId="0" borderId="9" xfId="0" applyFont="1" applyBorder="1" applyAlignment="1">
      <alignment horizontal="center" vertical="center"/>
    </xf>
    <xf numFmtId="0" fontId="8" fillId="0" borderId="9" xfId="0" applyFont="1" applyBorder="1" applyAlignment="1" applyProtection="1">
      <alignment horizontal="center" vertical="center"/>
      <protection locked="0"/>
    </xf>
    <xf numFmtId="180" fontId="8" fillId="0" borderId="9" xfId="0" applyNumberFormat="1" applyFont="1" applyBorder="1" applyAlignment="1" applyProtection="1">
      <alignment horizontal="center" vertical="center"/>
      <protection locked="0"/>
    </xf>
    <xf numFmtId="181" fontId="8" fillId="0" borderId="9" xfId="0" applyNumberFormat="1" applyFont="1" applyBorder="1" applyAlignment="1" applyProtection="1">
      <alignment horizontal="center" vertical="center"/>
      <protection locked="0"/>
    </xf>
    <xf numFmtId="182" fontId="8" fillId="0" borderId="9" xfId="1" applyNumberFormat="1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 applyProtection="1">
      <alignment horizontal="center" vertical="center"/>
      <protection locked="0"/>
    </xf>
    <xf numFmtId="0" fontId="4" fillId="10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0" borderId="0" xfId="0" applyFont="1" applyAlignment="1" applyProtection="1">
      <protection locked="0"/>
    </xf>
    <xf numFmtId="0" fontId="4" fillId="0" borderId="12" xfId="0" applyFont="1" applyBorder="1" applyAlignment="1">
      <alignment horizontal="center" vertical="center" wrapText="1"/>
    </xf>
    <xf numFmtId="0" fontId="10" fillId="11" borderId="12" xfId="0" applyFont="1" applyFill="1" applyBorder="1" applyAlignment="1" applyProtection="1">
      <alignment horizontal="center" vertical="center" wrapText="1"/>
      <protection locked="0"/>
    </xf>
    <xf numFmtId="0" fontId="4" fillId="12" borderId="12" xfId="0" applyFont="1" applyFill="1" applyBorder="1" applyAlignment="1" applyProtection="1">
      <alignment horizontal="center" vertical="center" wrapText="1"/>
      <protection locked="0"/>
    </xf>
    <xf numFmtId="0" fontId="4" fillId="11" borderId="12" xfId="0" applyFont="1" applyFill="1" applyBorder="1" applyAlignment="1" applyProtection="1">
      <alignment horizontal="center" vertical="center" wrapText="1"/>
      <protection locked="0"/>
    </xf>
    <xf numFmtId="180" fontId="4" fillId="11" borderId="12" xfId="0" applyNumberFormat="1" applyFont="1" applyFill="1" applyBorder="1" applyAlignment="1" applyProtection="1">
      <alignment horizontal="center" vertical="center" wrapText="1"/>
      <protection locked="0"/>
    </xf>
    <xf numFmtId="181" fontId="4" fillId="11" borderId="12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12" xfId="0" applyFont="1" applyFill="1" applyBorder="1" applyAlignment="1" applyProtection="1">
      <alignment horizontal="center" vertical="center" wrapText="1"/>
      <protection locked="0"/>
    </xf>
    <xf numFmtId="182" fontId="4" fillId="13" borderId="12" xfId="1" applyNumberFormat="1" applyFont="1" applyFill="1" applyBorder="1" applyAlignment="1" applyProtection="1">
      <alignment horizontal="center" vertical="center" wrapText="1"/>
      <protection locked="0"/>
    </xf>
    <xf numFmtId="0" fontId="4" fillId="12" borderId="7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 applyProtection="1">
      <alignment horizontal="center" vertical="center" wrapText="1"/>
      <protection locked="0"/>
    </xf>
    <xf numFmtId="0" fontId="0" fillId="2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10" borderId="9" xfId="0" applyFont="1" applyFill="1" applyBorder="1" applyAlignment="1" applyProtection="1">
      <alignment horizontal="center" vertic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bgColor theme="8" tint="0.599963377788629"/>
        </patternFill>
      </fill>
    </dxf>
    <dxf>
      <fill>
        <patternFill patternType="solid">
          <bgColor theme="8" tint="0.399914548173467"/>
        </patternFill>
      </fill>
    </dxf>
    <dxf>
      <fill>
        <patternFill patternType="solid">
          <bgColor rgb="FFE1B9B9"/>
        </patternFill>
      </fill>
    </dxf>
    <dxf>
      <fill>
        <patternFill patternType="solid">
          <bgColor rgb="FF9C7483"/>
        </patternFill>
      </fill>
    </dxf>
    <dxf>
      <font>
        <color theme="0"/>
      </font>
      <fill>
        <patternFill patternType="solid">
          <bgColor theme="1" tint="0.249946592608417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33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"/>
  <sheetViews>
    <sheetView tabSelected="1" topLeftCell="V5" workbookViewId="0">
      <selection activeCell="AH14" sqref="AH14"/>
    </sheetView>
  </sheetViews>
  <sheetFormatPr defaultColWidth="8.72727272727273" defaultRowHeight="14.5" outlineLevelRow="6"/>
  <cols>
    <col min="24" max="24" width="12.4545454545455" customWidth="1"/>
  </cols>
  <sheetData>
    <row r="1" ht="29.25" spans="1:65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  <c r="L1" s="3"/>
      <c r="M1" s="3"/>
      <c r="N1" s="4"/>
      <c r="O1" s="3"/>
      <c r="P1" s="3"/>
      <c r="Q1" s="3"/>
      <c r="R1" s="3"/>
      <c r="S1" s="5"/>
      <c r="T1" s="6" t="s">
        <v>1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8"/>
      <c r="AL1" s="9"/>
      <c r="AM1" s="9"/>
      <c r="AN1" s="9"/>
      <c r="AO1" s="10" t="str">
        <f t="shared" ref="AO1:AR1" si="0">AO7&amp;"-"&amp;$AY6</f>
        <v>Q1-</v>
      </c>
      <c r="AP1" s="10" t="str">
        <f t="shared" si="0"/>
        <v>Q2-</v>
      </c>
      <c r="AQ1" s="10" t="str">
        <f t="shared" si="0"/>
        <v>Q3-</v>
      </c>
      <c r="AR1" s="10" t="str">
        <f t="shared" si="0"/>
        <v>Q4-</v>
      </c>
      <c r="AS1" s="10" t="str">
        <f t="shared" ref="AS1:AV1" si="1">AS7&amp;"-"&amp;$BC6</f>
        <v>Q1-</v>
      </c>
      <c r="AT1" s="10" t="str">
        <f t="shared" si="1"/>
        <v>Q2-</v>
      </c>
      <c r="AU1" s="10" t="str">
        <f t="shared" si="1"/>
        <v>Q3-</v>
      </c>
      <c r="AV1" s="10" t="str">
        <f t="shared" si="1"/>
        <v>Q4-</v>
      </c>
      <c r="AW1" s="10" t="str">
        <f t="shared" ref="AW1:AZ1" si="2">AW7&amp;"-"&amp;$BG6</f>
        <v>Q1-</v>
      </c>
      <c r="AX1" s="10" t="str">
        <f t="shared" si="2"/>
        <v>Q2-</v>
      </c>
      <c r="AY1" s="10" t="str">
        <f t="shared" si="2"/>
        <v>Q3-</v>
      </c>
      <c r="AZ1" s="10" t="str">
        <f t="shared" si="2"/>
        <v>Q4-</v>
      </c>
      <c r="BA1" s="10" t="str">
        <f t="shared" ref="BA1:BD1" si="3">BA7&amp;"-"&amp;$BK6</f>
        <v>Q1-</v>
      </c>
      <c r="BB1" s="10" t="str">
        <f t="shared" si="3"/>
        <v>Q2-</v>
      </c>
      <c r="BC1" s="10" t="str">
        <f t="shared" si="3"/>
        <v>Q3-</v>
      </c>
      <c r="BD1" s="10" t="str">
        <f t="shared" si="3"/>
        <v>Q4-</v>
      </c>
      <c r="BE1" s="10" t="str">
        <f t="shared" ref="BE1:BH1" si="4">BE7&amp;"-"&amp;$BO6</f>
        <v>Q1-</v>
      </c>
      <c r="BF1" s="10" t="str">
        <f t="shared" si="4"/>
        <v>Q2-</v>
      </c>
      <c r="BG1" s="10" t="str">
        <f t="shared" si="4"/>
        <v>Q3-</v>
      </c>
      <c r="BH1" s="10" t="str">
        <f t="shared" si="4"/>
        <v>Q4-</v>
      </c>
      <c r="BI1" s="10" t="str">
        <f t="shared" ref="BI1:BL1" si="5">BI7&amp;"-"&amp;$BS6</f>
        <v>Q1-</v>
      </c>
      <c r="BJ1" s="10" t="str">
        <f t="shared" si="5"/>
        <v>Q2-</v>
      </c>
      <c r="BK1" s="10" t="str">
        <f t="shared" si="5"/>
        <v>Q3-</v>
      </c>
      <c r="BL1" s="10" t="str">
        <f t="shared" si="5"/>
        <v>Q4-</v>
      </c>
      <c r="BM1" s="11"/>
    </row>
    <row r="2" ht="29.25" spans="1:65">
      <c r="A2" s="1"/>
      <c r="B2" s="12" t="s">
        <v>2</v>
      </c>
      <c r="C2" s="13" t="s">
        <v>3</v>
      </c>
      <c r="D2" s="14" t="s">
        <v>4</v>
      </c>
      <c r="E2" s="1"/>
      <c r="F2" s="1"/>
      <c r="G2" s="1"/>
      <c r="H2" s="1"/>
      <c r="I2" s="1"/>
      <c r="J2" s="1"/>
      <c r="K2" s="2"/>
      <c r="L2" s="3"/>
      <c r="M2" s="3"/>
      <c r="N2" s="4"/>
      <c r="O2" s="3"/>
      <c r="P2" s="3"/>
      <c r="Q2" s="3"/>
      <c r="R2" s="3"/>
      <c r="S2" s="15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6"/>
      <c r="AL2" s="9"/>
      <c r="AM2" s="9"/>
      <c r="AN2" s="9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1"/>
    </row>
    <row r="3" ht="21" spans="1:65">
      <c r="A3" s="17"/>
      <c r="B3" s="18" t="s">
        <v>5</v>
      </c>
      <c r="C3" s="19" t="s">
        <v>6</v>
      </c>
      <c r="D3" s="20" t="s">
        <v>7</v>
      </c>
      <c r="E3" s="21"/>
      <c r="F3" s="21"/>
      <c r="G3" s="21"/>
      <c r="H3" s="17"/>
      <c r="I3" s="17"/>
      <c r="J3" s="17"/>
      <c r="K3" s="22"/>
      <c r="L3" s="11"/>
      <c r="M3" s="23"/>
      <c r="N3" s="24"/>
      <c r="O3" s="23"/>
      <c r="P3" s="25"/>
      <c r="Q3" s="25"/>
      <c r="R3" s="26"/>
      <c r="S3" s="17"/>
      <c r="T3" s="27"/>
      <c r="U3" s="11"/>
      <c r="V3" s="11"/>
      <c r="W3" s="23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3"/>
      <c r="AI3" s="23"/>
      <c r="AJ3" s="28"/>
      <c r="AK3" s="29"/>
      <c r="AL3" s="30"/>
      <c r="AM3" s="30"/>
      <c r="AN3" s="3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1"/>
    </row>
    <row r="4" ht="28.5" spans="1:6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33"/>
      <c r="O4" s="34"/>
      <c r="P4" s="35"/>
      <c r="Q4" s="36"/>
      <c r="R4" s="36"/>
      <c r="S4" s="36"/>
      <c r="T4" s="34"/>
      <c r="U4" s="34"/>
      <c r="V4" s="34"/>
      <c r="W4" s="32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4"/>
      <c r="AJ4" s="38"/>
      <c r="AK4" s="32"/>
      <c r="AL4" s="39"/>
      <c r="AM4" s="39"/>
      <c r="AN4" s="39"/>
      <c r="AO4" s="40">
        <v>45473</v>
      </c>
      <c r="AP4" s="41">
        <v>45565</v>
      </c>
      <c r="AQ4" s="41">
        <v>45657</v>
      </c>
      <c r="AR4" s="41">
        <v>45747</v>
      </c>
      <c r="AS4" s="41">
        <v>45838</v>
      </c>
      <c r="AT4" s="41">
        <v>45930</v>
      </c>
      <c r="AU4" s="41">
        <v>46022</v>
      </c>
      <c r="AV4" s="41">
        <v>46112</v>
      </c>
      <c r="AW4" s="41">
        <v>46203</v>
      </c>
      <c r="AX4" s="41">
        <v>46295</v>
      </c>
      <c r="AY4" s="41">
        <v>46387</v>
      </c>
      <c r="AZ4" s="41">
        <v>46477</v>
      </c>
      <c r="BA4" s="41">
        <v>46568</v>
      </c>
      <c r="BB4" s="41">
        <v>46660</v>
      </c>
      <c r="BC4" s="41">
        <v>46752</v>
      </c>
      <c r="BD4" s="41">
        <v>46843</v>
      </c>
      <c r="BE4" s="41">
        <v>46934</v>
      </c>
      <c r="BF4" s="41">
        <v>47026</v>
      </c>
      <c r="BG4" s="41">
        <v>47118</v>
      </c>
      <c r="BH4" s="41">
        <v>47208</v>
      </c>
      <c r="BI4" s="41">
        <v>47299</v>
      </c>
      <c r="BJ4" s="41">
        <v>47391</v>
      </c>
      <c r="BK4" s="41">
        <v>47483</v>
      </c>
      <c r="BL4" s="41">
        <v>47573</v>
      </c>
      <c r="BM4" s="42"/>
    </row>
    <row r="5" ht="21" spans="1:65">
      <c r="A5" s="43"/>
      <c r="B5" s="43"/>
      <c r="C5" s="43"/>
      <c r="D5" s="43"/>
      <c r="E5" s="43"/>
      <c r="F5" s="43"/>
      <c r="G5" s="43"/>
      <c r="H5" s="43"/>
      <c r="I5" s="43"/>
      <c r="J5" s="43"/>
      <c r="K5" s="44"/>
      <c r="L5" s="44"/>
      <c r="M5" s="44"/>
      <c r="N5" s="45"/>
      <c r="O5" s="44"/>
      <c r="P5" s="46"/>
      <c r="Q5" s="46"/>
      <c r="R5" s="44"/>
      <c r="S5" s="43"/>
      <c r="T5" s="44"/>
      <c r="U5" s="44"/>
      <c r="V5" s="44"/>
      <c r="W5" s="44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4"/>
      <c r="AI5" s="44"/>
      <c r="AJ5" s="44"/>
      <c r="AK5" s="44"/>
      <c r="AL5" s="47"/>
      <c r="AM5" s="47"/>
      <c r="AN5" s="47"/>
      <c r="AO5" s="48"/>
      <c r="AP5" s="48"/>
      <c r="AQ5" s="48"/>
      <c r="AR5" s="48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9"/>
    </row>
    <row r="6" ht="21" spans="1:65">
      <c r="A6" s="50"/>
      <c r="B6" s="50"/>
      <c r="C6" s="43"/>
      <c r="D6" s="43"/>
      <c r="E6" s="43"/>
      <c r="F6" s="43"/>
      <c r="G6" s="43"/>
      <c r="H6" s="43"/>
      <c r="I6" s="43"/>
      <c r="J6" s="43"/>
      <c r="K6" s="51"/>
      <c r="L6" s="51"/>
      <c r="M6" s="51"/>
      <c r="N6" s="52"/>
      <c r="O6" s="51"/>
      <c r="P6" s="53"/>
      <c r="Q6" s="53"/>
      <c r="R6" s="54"/>
      <c r="S6" s="55"/>
      <c r="T6" s="51"/>
      <c r="U6" s="51"/>
      <c r="V6" s="51"/>
      <c r="W6" s="51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1"/>
      <c r="AI6" s="51"/>
      <c r="AJ6" s="54"/>
      <c r="AK6" s="51"/>
      <c r="AL6" s="56"/>
      <c r="AM6" s="56"/>
      <c r="AN6" s="56"/>
      <c r="AO6" s="57" t="s">
        <v>8</v>
      </c>
      <c r="AP6" s="57"/>
      <c r="AQ6" s="57"/>
      <c r="AR6" s="57"/>
      <c r="AS6" s="58" t="s">
        <v>9</v>
      </c>
      <c r="AT6" s="58"/>
      <c r="AU6" s="58"/>
      <c r="AV6" s="58"/>
      <c r="AW6" s="59" t="s">
        <v>10</v>
      </c>
      <c r="AX6" s="59"/>
      <c r="AY6" s="59"/>
      <c r="AZ6" s="59"/>
      <c r="BA6" s="58" t="s">
        <v>11</v>
      </c>
      <c r="BB6" s="58"/>
      <c r="BC6" s="58"/>
      <c r="BD6" s="58"/>
      <c r="BE6" s="59" t="s">
        <v>12</v>
      </c>
      <c r="BF6" s="59"/>
      <c r="BG6" s="59"/>
      <c r="BH6" s="59"/>
      <c r="BI6" s="59" t="s">
        <v>13</v>
      </c>
      <c r="BJ6" s="59"/>
      <c r="BK6" s="59"/>
      <c r="BL6" s="59"/>
      <c r="BM6" s="60"/>
    </row>
    <row r="7" ht="87" spans="1:65">
      <c r="A7" s="61" t="s">
        <v>14</v>
      </c>
      <c r="B7" s="61" t="s">
        <v>15</v>
      </c>
      <c r="C7" s="61" t="s">
        <v>16</v>
      </c>
      <c r="D7" s="61" t="s">
        <v>17</v>
      </c>
      <c r="E7" s="61" t="s">
        <v>18</v>
      </c>
      <c r="F7" s="61" t="s">
        <v>19</v>
      </c>
      <c r="G7" s="61" t="s">
        <v>20</v>
      </c>
      <c r="H7" s="61" t="s">
        <v>21</v>
      </c>
      <c r="I7" s="61" t="s">
        <v>22</v>
      </c>
      <c r="J7" s="61" t="s">
        <v>23</v>
      </c>
      <c r="K7" s="62" t="s">
        <v>24</v>
      </c>
      <c r="L7" s="63" t="s">
        <v>25</v>
      </c>
      <c r="M7" s="64" t="s">
        <v>26</v>
      </c>
      <c r="N7" s="65" t="s">
        <v>27</v>
      </c>
      <c r="O7" s="64" t="s">
        <v>28</v>
      </c>
      <c r="P7" s="66" t="s">
        <v>29</v>
      </c>
      <c r="Q7" s="67" t="s">
        <v>30</v>
      </c>
      <c r="R7" s="68" t="s">
        <v>31</v>
      </c>
      <c r="S7" s="69" t="s">
        <v>32</v>
      </c>
      <c r="T7" s="62" t="s">
        <v>33</v>
      </c>
      <c r="U7" s="62" t="s">
        <v>34</v>
      </c>
      <c r="V7" s="63" t="s">
        <v>35</v>
      </c>
      <c r="W7" s="64" t="s">
        <v>36</v>
      </c>
      <c r="X7" s="65" t="s">
        <v>37</v>
      </c>
      <c r="Y7" s="65" t="s">
        <v>38</v>
      </c>
      <c r="Z7" s="65" t="s">
        <v>39</v>
      </c>
      <c r="AA7" s="65" t="s">
        <v>40</v>
      </c>
      <c r="AB7" s="65" t="s">
        <v>41</v>
      </c>
      <c r="AC7" s="65" t="s">
        <v>42</v>
      </c>
      <c r="AD7" s="65" t="s">
        <v>43</v>
      </c>
      <c r="AE7" s="65" t="s">
        <v>44</v>
      </c>
      <c r="AF7" s="65" t="s">
        <v>45</v>
      </c>
      <c r="AG7" s="65" t="s">
        <v>46</v>
      </c>
      <c r="AH7" s="64" t="s">
        <v>47</v>
      </c>
      <c r="AI7" s="67" t="s">
        <v>48</v>
      </c>
      <c r="AJ7" s="68" t="s">
        <v>49</v>
      </c>
      <c r="AK7" s="67" t="s">
        <v>50</v>
      </c>
      <c r="AL7" s="70" t="s">
        <v>51</v>
      </c>
      <c r="AM7" s="70" t="s">
        <v>52</v>
      </c>
      <c r="AN7" s="70" t="s">
        <v>53</v>
      </c>
      <c r="AO7" s="71" t="s">
        <v>54</v>
      </c>
      <c r="AP7" s="71" t="s">
        <v>55</v>
      </c>
      <c r="AQ7" s="71" t="s">
        <v>56</v>
      </c>
      <c r="AR7" s="71" t="s">
        <v>57</v>
      </c>
      <c r="AS7" s="71" t="s">
        <v>54</v>
      </c>
      <c r="AT7" s="71" t="s">
        <v>55</v>
      </c>
      <c r="AU7" s="71" t="s">
        <v>56</v>
      </c>
      <c r="AV7" s="71" t="s">
        <v>57</v>
      </c>
      <c r="AW7" s="72" t="s">
        <v>54</v>
      </c>
      <c r="AX7" s="72" t="s">
        <v>55</v>
      </c>
      <c r="AY7" s="72" t="s">
        <v>56</v>
      </c>
      <c r="AZ7" s="72" t="s">
        <v>57</v>
      </c>
      <c r="BA7" s="71" t="s">
        <v>54</v>
      </c>
      <c r="BB7" s="71" t="s">
        <v>55</v>
      </c>
      <c r="BC7" s="71" t="s">
        <v>56</v>
      </c>
      <c r="BD7" s="71" t="s">
        <v>57</v>
      </c>
      <c r="BE7" s="72" t="s">
        <v>54</v>
      </c>
      <c r="BF7" s="72" t="s">
        <v>55</v>
      </c>
      <c r="BG7" s="72" t="s">
        <v>56</v>
      </c>
      <c r="BH7" s="72" t="s">
        <v>57</v>
      </c>
      <c r="BI7" s="72" t="s">
        <v>54</v>
      </c>
      <c r="BJ7" s="72" t="s">
        <v>55</v>
      </c>
      <c r="BK7" s="72" t="s">
        <v>56</v>
      </c>
      <c r="BL7" s="72" t="s">
        <v>57</v>
      </c>
      <c r="BM7" s="73" t="s">
        <v>58</v>
      </c>
    </row>
  </sheetData>
  <mergeCells count="8">
    <mergeCell ref="AO6:AR6"/>
    <mergeCell ref="AS6:AV6"/>
    <mergeCell ref="AW6:AZ6"/>
    <mergeCell ref="BA6:BD6"/>
    <mergeCell ref="BE6:BH6"/>
    <mergeCell ref="BI6:BL6"/>
    <mergeCell ref="K1:R2"/>
    <mergeCell ref="T1:AK2"/>
  </mergeCells>
  <conditionalFormatting sqref="K6:S7">
    <cfRule type="expression" dxfId="0" priority="2">
      <formula>$P6="IaaS-B"</formula>
    </cfRule>
    <cfRule type="expression" dxfId="1" priority="3">
      <formula>$P6="VEC-B"</formula>
    </cfRule>
  </conditionalFormatting>
  <conditionalFormatting sqref="T6:AH7">
    <cfRule type="expression" dxfId="0" priority="1">
      <formula>#REF!="IaaS-B"</formula>
    </cfRule>
    <cfRule type="expression" dxfId="1" priority="6">
      <formula>#REF!="VEC-B"</formula>
    </cfRule>
    <cfRule type="expression" dxfId="2" priority="7">
      <formula>#REF!="IaaS-RH"</formula>
    </cfRule>
    <cfRule type="expression" dxfId="3" priority="8">
      <formula>#REF!="VEC-RH"</formula>
    </cfRule>
    <cfRule type="expression" dxfId="4" priority="9">
      <formula>#REF!="Remove"</formula>
    </cfRule>
    <cfRule type="expression" dxfId="5" priority="10">
      <formula>#REF!="VS-VNF"</formula>
    </cfRule>
    <cfRule type="expression" dxfId="6" priority="11">
      <formula>#REF!="VS-CNF"</formula>
    </cfRule>
  </conditionalFormatting>
  <conditionalFormatting sqref="AI6:AN7">
    <cfRule type="expression" dxfId="0" priority="4">
      <formula>$P6="IaaS-B"</formula>
    </cfRule>
    <cfRule type="expression" dxfId="1" priority="5">
      <formula>$P6="VEC-B"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syedmoha</dc:creator>
  <cp:lastModifiedBy>Syed mohd Buhari</cp:lastModifiedBy>
  <dcterms:created xsi:type="dcterms:W3CDTF">2025-11-19T06:51:00Z</dcterms:created>
  <dcterms:modified xsi:type="dcterms:W3CDTF">2026-07-24T11:14:47Z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18693CA522E54A59AA7013F1F1B17E26_11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