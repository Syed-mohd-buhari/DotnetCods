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tabRatio="887" firstSheet="6" activeTab="10"/>
  </bookViews>
  <sheets>
    <sheet name="Instructions" sheetId="66" r:id="rId1"/>
    <sheet name="Version Control" sheetId="67" r:id="rId2"/>
    <sheet name="Infra Assumptions" sheetId="68" r:id="rId3"/>
    <sheet name="Revision Information" sheetId="51" r:id="rId4"/>
    <sheet name="VM settings" sheetId="24" r:id="rId5"/>
    <sheet name="VM settings (SAPC)" sheetId="41" r:id="rId6"/>
    <sheet name="Export" sheetId="69" r:id="rId7"/>
    <sheet name="External server for CCDM CA" sheetId="70" r:id="rId8"/>
    <sheet name="Capacity KPIs" sheetId="71" r:id="rId9"/>
    <sheet name="Capacity statements" sheetId="72" r:id="rId10"/>
    <sheet name="Minimum size VNF config" sheetId="73" r:id="rId11"/>
    <sheet name="Maximum size VNF config" sheetId="74" r:id="rId12"/>
    <sheet name="Data cluster vBOM" sheetId="36" state="hidden" r:id="rId13"/>
  </sheets>
  <externalReferences>
    <externalReference r:id="rId17"/>
    <externalReference r:id="rId18"/>
    <externalReference r:id="rId19"/>
    <externalReference r:id="rId20"/>
    <externalReference r:id="rId21"/>
    <externalReference r:id="rId22"/>
    <externalReference r:id="rId23"/>
    <externalReference r:id="rId24"/>
  </externalReferences>
  <definedNames>
    <definedName name="____hc4" localSheetId="6" hidden="1">{"KPI EURO",#N/A,FALSE,"kpi";"INDICATORI EURO",#N/A,FALSE,"confronti";"DEACTIVATION",#N/A,FALSE,"deact";"OTHER EURO",#N/A,FALSE,"OTHER";"USAGE OUT VAR",#N/A,FALSE,"trend";"USAGE IN",#N/A,FALSE,"trend";"OUT MIN",#N/A,FALSE,"trend"}</definedName>
    <definedName name="____hc4" localSheetId="3" hidden="1">{"KPI EURO",#N/A,FALSE,"kpi";"INDICATORI EURO",#N/A,FALSE,"confronti";"DEACTIVATION",#N/A,FALSE,"deact";"OTHER EURO",#N/A,FALSE,"OTHER";"USAGE OUT VAR",#N/A,FALSE,"trend";"USAGE IN",#N/A,FALSE,"trend";"OUT MIN",#N/A,FALSE,"trend"}</definedName>
    <definedName name="____hc4" localSheetId="4" hidden="1">{"KPI EURO",#N/A,FALSE,"kpi";"INDICATORI EURO",#N/A,FALSE,"confronti";"DEACTIVATION",#N/A,FALSE,"deact";"OTHER EURO",#N/A,FALSE,"OTHER";"USAGE OUT VAR",#N/A,FALSE,"trend";"USAGE IN",#N/A,FALSE,"trend";"OUT MIN",#N/A,FALSE,"trend"}</definedName>
    <definedName name="____hc4" localSheetId="5" hidden="1">{"KPI EURO",#N/A,FALSE,"kpi";"INDICATORI EURO",#N/A,FALSE,"confronti";"DEACTIVATION",#N/A,FALSE,"deact";"OTHER EURO",#N/A,FALSE,"OTHER";"USAGE OUT VAR",#N/A,FALSE,"trend";"USAGE IN",#N/A,FALSE,"trend";"OUT MIN",#N/A,FALSE,"trend"}</definedName>
    <definedName name="____hc4" hidden="1">{"KPI EURO",#N/A,FALSE,"kpi";"INDICATORI EURO",#N/A,FALSE,"confronti";"DEACTIVATION",#N/A,FALSE,"deact";"OTHER EURO",#N/A,FALSE,"OTHER";"USAGE OUT VAR",#N/A,FALSE,"trend";"USAGE IN",#N/A,FALSE,"trend";"OUT MIN",#N/A,FALSE,"trend"}</definedName>
    <definedName name="__hc4" localSheetId="6" hidden="1">{"KPI EURO",#N/A,FALSE,"kpi";"INDICATORI EURO",#N/A,FALSE,"confronti";"DEACTIVATION",#N/A,FALSE,"deact";"OTHER EURO",#N/A,FALSE,"OTHER";"USAGE OUT VAR",#N/A,FALSE,"trend";"USAGE IN",#N/A,FALSE,"trend";"OUT MIN",#N/A,FALSE,"trend"}</definedName>
    <definedName name="__hc4" localSheetId="3" hidden="1">{"KPI EURO",#N/A,FALSE,"kpi";"INDICATORI EURO",#N/A,FALSE,"confronti";"DEACTIVATION",#N/A,FALSE,"deact";"OTHER EURO",#N/A,FALSE,"OTHER";"USAGE OUT VAR",#N/A,FALSE,"trend";"USAGE IN",#N/A,FALSE,"trend";"OUT MIN",#N/A,FALSE,"trend"}</definedName>
    <definedName name="__hc4" localSheetId="4" hidden="1">{"KPI EURO",#N/A,FALSE,"kpi";"INDICATORI EURO",#N/A,FALSE,"confronti";"DEACTIVATION",#N/A,FALSE,"deact";"OTHER EURO",#N/A,FALSE,"OTHER";"USAGE OUT VAR",#N/A,FALSE,"trend";"USAGE IN",#N/A,FALSE,"trend";"OUT MIN",#N/A,FALSE,"trend"}</definedName>
    <definedName name="__hc4" localSheetId="5" hidden="1">{"KPI EURO",#N/A,FALSE,"kpi";"INDICATORI EURO",#N/A,FALSE,"confronti";"DEACTIVATION",#N/A,FALSE,"deact";"OTHER EURO",#N/A,FALSE,"OTHER";"USAGE OUT VAR",#N/A,FALSE,"trend";"USAGE IN",#N/A,FALSE,"trend";"OUT MIN",#N/A,FALSE,"trend"}</definedName>
    <definedName name="__hc4" hidden="1">{"KPI EURO",#N/A,FALSE,"kpi";"INDICATORI EURO",#N/A,FALSE,"confronti";"DEACTIVATION",#N/A,FALSE,"deact";"OTHER EURO",#N/A,FALSE,"OTHER";"USAGE OUT VAR",#N/A,FALSE,"trend";"USAGE IN",#N/A,FALSE,"trend";"OUT MIN",#N/A,FALSE,"trend"}</definedName>
    <definedName name="_2" localSheetId="4">#REF!</definedName>
    <definedName name="_2" localSheetId="5">#REF!</definedName>
    <definedName name="_2">#REF!</definedName>
    <definedName name="_xlnm._FilterDatabase" localSheetId="6" hidden="1">Export!$B$4:$BL$4</definedName>
    <definedName name="CAPEXOPEX">#REF!</definedName>
    <definedName name="Category">#REF!</definedName>
    <definedName name="Category_externalPT">#REF!</definedName>
    <definedName name="Costperday">#REF!</definedName>
    <definedName name="Criteria1" localSheetId="4">#REF!</definedName>
    <definedName name="Criteria1" localSheetId="5">#REF!</definedName>
    <definedName name="Criteria1">#REF!</definedName>
    <definedName name="Criteria10" localSheetId="4">#REF!</definedName>
    <definedName name="Criteria10" localSheetId="5">#REF!</definedName>
    <definedName name="Criteria10">#REF!</definedName>
    <definedName name="Criteria2" localSheetId="4">#REF!</definedName>
    <definedName name="Criteria2" localSheetId="5">#REF!</definedName>
    <definedName name="Criteria2">#REF!</definedName>
    <definedName name="Criteria3" localSheetId="4">#REF!</definedName>
    <definedName name="Criteria3" localSheetId="5">#REF!</definedName>
    <definedName name="Criteria3">#REF!</definedName>
    <definedName name="Criteria4" localSheetId="4">#REF!</definedName>
    <definedName name="Criteria4" localSheetId="5">#REF!</definedName>
    <definedName name="Criteria4">#REF!</definedName>
    <definedName name="Criteria5" localSheetId="4">#REF!</definedName>
    <definedName name="Criteria5" localSheetId="5">#REF!</definedName>
    <definedName name="Criteria5">#REF!</definedName>
    <definedName name="Criteria6" localSheetId="4">#REF!</definedName>
    <definedName name="Criteria6" localSheetId="5">#REF!</definedName>
    <definedName name="Criteria6">#REF!</definedName>
    <definedName name="Criteria7" localSheetId="4">#REF!</definedName>
    <definedName name="Criteria7" localSheetId="5">#REF!</definedName>
    <definedName name="Criteria7">#REF!</definedName>
    <definedName name="Criteria8" localSheetId="4">#REF!</definedName>
    <definedName name="Criteria8" localSheetId="5">#REF!</definedName>
    <definedName name="Criteria8">#REF!</definedName>
    <definedName name="Criteria9" localSheetId="4">#REF!</definedName>
    <definedName name="Criteria9" localSheetId="5">#REF!</definedName>
    <definedName name="Criteria9">#REF!</definedName>
    <definedName name="cvcvv">#REF!</definedName>
    <definedName name="DaysMonth">30</definedName>
    <definedName name="Department">#REF!</definedName>
    <definedName name="Driver">#REF!</definedName>
    <definedName name="Efficiency">#REF!</definedName>
    <definedName name="EndDate">42825</definedName>
    <definedName name="EV__LASTREFTIME__" hidden="1">39092.7755439815</definedName>
    <definedName name="fy">#REF!</definedName>
    <definedName name="FYall">#REF!</definedName>
    <definedName name="IT_CB_A" localSheetId="4">OFFSET(#REF!,#REF!+1,#REF!,1,#REF!)</definedName>
    <definedName name="IT_CB_A" localSheetId="5">OFFSET(#REF!,#REF!+1,#REF!,1,#REF!)</definedName>
    <definedName name="IT_CB_A">OFFSET(#REF!,#REF!+1,#REF!,1,#REF!)</definedName>
    <definedName name="IT_CB_D" localSheetId="4">OFFSET(#REF!,#REF!+3,#REF!,1,#REF!)</definedName>
    <definedName name="IT_CB_D" localSheetId="5">OFFSET(#REF!,#REF!+3,#REF!,1,#REF!)</definedName>
    <definedName name="IT_CB_D">OFFSET(#REF!,#REF!+3,#REF!,1,#REF!)</definedName>
    <definedName name="IT_CB_F" localSheetId="4">OFFSET(#REF!,#REF!,#REF!,1,#REF!)</definedName>
    <definedName name="IT_CB_F" localSheetId="5">OFFSET(#REF!,#REF!,#REF!,1,#REF!)</definedName>
    <definedName name="IT_CB_F">OFFSET(#REF!,#REF!,#REF!,1,#REF!)</definedName>
    <definedName name="IT_CB_V" localSheetId="4">OFFSET(#REF!,#REF!+2,#REF!,1,#REF!)</definedName>
    <definedName name="IT_CB_V" localSheetId="5">OFFSET(#REF!,#REF!+2,#REF!,1,#REF!)</definedName>
    <definedName name="IT_CB_V">OFFSET(#REF!,#REF!+2,#REF!,1,#REF!)</definedName>
    <definedName name="IT_D_A" localSheetId="4">OFFSET(#REF!,#REF!+9,#REF!,1,#REF!)</definedName>
    <definedName name="IT_D_A" localSheetId="5">OFFSET(#REF!,#REF!+9,#REF!,1,#REF!)</definedName>
    <definedName name="IT_D_A">OFFSET(#REF!,#REF!+9,#REF!,1,#REF!)</definedName>
    <definedName name="IT_D_F" localSheetId="4">OFFSET(#REF!,#REF!+8,#REF!,1,#REF!)</definedName>
    <definedName name="IT_D_F" localSheetId="5">OFFSET(#REF!,#REF!+8,#REF!,1,#REF!)</definedName>
    <definedName name="IT_D_F">OFFSET(#REF!,#REF!+8,#REF!,1,#REF!)</definedName>
    <definedName name="IT_V_A" localSheetId="4">OFFSET(#REF!,#REF!+6,#REF!,1,#REF!)</definedName>
    <definedName name="IT_V_A" localSheetId="5">OFFSET(#REF!,#REF!+6,#REF!,1,#REF!)</definedName>
    <definedName name="IT_V_A">OFFSET(#REF!,#REF!+6,#REF!,1,#REF!)</definedName>
    <definedName name="IT_V_F" localSheetId="4">OFFSET(#REF!,#REF!+5,#REF!,1,#REF!)</definedName>
    <definedName name="IT_V_F" localSheetId="5">OFFSET(#REF!,#REF!+5,#REF!,1,#REF!)</definedName>
    <definedName name="IT_V_F">OFFSET(#REF!,#REF!+5,#REF!,1,#REF!)</definedName>
    <definedName name="Launch">#REF!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#REF!</definedName>
    <definedName name="mesi" localSheetId="6">OFFSET(#REF!,#REF!-1,#REF!,1,#REF!)</definedName>
    <definedName name="mesi" localSheetId="4">OFFSET(#REF!,#REF!-1,#REF!,1,#REF!)</definedName>
    <definedName name="mesi" localSheetId="5">OFFSET(#REF!,#REF!-1,#REF!,1,#REF!)</definedName>
    <definedName name="mesi">OFFSET(#REF!,#REF!-1,#REF!,1,#REF!)</definedName>
    <definedName name="MinsHour">60</definedName>
    <definedName name="OneMil">1000000</definedName>
    <definedName name="OpCo">#REF!</definedName>
    <definedName name="PredefinedValueMatrix">#REF!</definedName>
    <definedName name="Priority">#REF!</definedName>
    <definedName name="Project___undergoing_from_NEP">#REF!</definedName>
    <definedName name="Regiones">#REF!</definedName>
    <definedName name="sd">#REF!</definedName>
    <definedName name="SecsHour">3600</definedName>
    <definedName name="SecsMinute">60</definedName>
    <definedName name="Standardcostperday">#REF!</definedName>
    <definedName name="StartDate">41759</definedName>
    <definedName name="Status">#REF!</definedName>
    <definedName name="Team">#REF!</definedName>
    <definedName name="Total_MMS" localSheetId="4">#REF!</definedName>
    <definedName name="Total_MMS" localSheetId="5">#REF!</definedName>
    <definedName name="Total_MMS">#REF!</definedName>
    <definedName name="Total_SMS" localSheetId="4">#REF!</definedName>
    <definedName name="Total_SMS" localSheetId="5">#REF!</definedName>
    <definedName name="Total_SMS">#REF!</definedName>
    <definedName name="Type_of_Vendor">#REF!</definedName>
    <definedName name="Units_Project">#REF!</definedName>
    <definedName name="vb">#REF!</definedName>
    <definedName name="VM_ActiveSubs" localSheetId="4">#REF!</definedName>
    <definedName name="VM_ActiveSubs" localSheetId="5">#REF!</definedName>
    <definedName name="VM_ActiveSubs">#REF!</definedName>
    <definedName name="VM_Min_Volume" localSheetId="4">#REF!</definedName>
    <definedName name="VM_Min_Volume" localSheetId="5">#REF!</definedName>
    <definedName name="VM_Min_Volume">#REF!</definedName>
    <definedName name="VM_Registered" localSheetId="4">#REF!</definedName>
    <definedName name="VM_Registered" localSheetId="5">#REF!</definedName>
    <definedName name="VM_Registered">#REF!</definedName>
    <definedName name="Voice_Billable" localSheetId="4">#REF!</definedName>
    <definedName name="Voice_Billable" localSheetId="5">#REF!</definedName>
    <definedName name="Voice_Billable">#REF!</definedName>
    <definedName name="WBS_MainArea">#REF!</definedName>
    <definedName name="WBS_NAME_TABLE">#REF!</definedName>
    <definedName name="WBS_ProvidingUnit">#REF!</definedName>
    <definedName name="we">#REF!</definedName>
    <definedName name="wrn.Project._.Status._.Report." localSheetId="6"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3"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4"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5"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____hc4" localSheetId="7" hidden="1">{"KPI EURO",#N/A,FALSE,"kpi";"INDICATORI EURO",#N/A,FALSE,"confronti";"DEACTIVATION",#N/A,FALSE,"deact";"OTHER EURO",#N/A,FALSE,"OTHER";"USAGE OUT VAR",#N/A,FALSE,"trend";"USAGE IN",#N/A,FALSE,"trend";"OUT MIN",#N/A,FALSE,"trend"}</definedName>
    <definedName name="__hc4" localSheetId="7" hidden="1">{"KPI EURO",#N/A,FALSE,"kpi";"INDICATORI EURO",#N/A,FALSE,"confronti";"DEACTIVATION",#N/A,FALSE,"deact";"OTHER EURO",#N/A,FALSE,"OTHER";"USAGE OUT VAR",#N/A,FALSE,"trend";"USAGE IN",#N/A,FALSE,"trend";"OUT MIN",#N/A,FALSE,"trend"}</definedName>
    <definedName name="_2" localSheetId="7">#REF!</definedName>
    <definedName name="CAPEXOPEX" localSheetId="7">[1]Parameter!$E$16:$E$23</definedName>
    <definedName name="Category" localSheetId="7">[2]Picklist!$N$2:$N$9</definedName>
    <definedName name="Category_externalPT" localSheetId="7">[1]PreDefinedValues!$M$63:$N$75</definedName>
    <definedName name="Costperday" localSheetId="7">[1]PreDefinedValues!$C$61:$D$681</definedName>
    <definedName name="Criteria1" localSheetId="7">#REF!</definedName>
    <definedName name="Criteria10" localSheetId="7">#REF!</definedName>
    <definedName name="Criteria2" localSheetId="7">#REF!</definedName>
    <definedName name="Criteria3" localSheetId="7">#REF!</definedName>
    <definedName name="Criteria4" localSheetId="7">#REF!</definedName>
    <definedName name="Criteria5" localSheetId="7">#REF!</definedName>
    <definedName name="Criteria6" localSheetId="7">#REF!</definedName>
    <definedName name="Criteria7" localSheetId="7">#REF!</definedName>
    <definedName name="Criteria8" localSheetId="7">#REF!</definedName>
    <definedName name="Criteria9" localSheetId="7">#REF!</definedName>
    <definedName name="cvcvv" localSheetId="7">[3]PreDefinedValues!$A$6:$E$54</definedName>
    <definedName name="Department" localSheetId="7">[2]Picklist!$C$2:$C$10</definedName>
    <definedName name="Driver" localSheetId="7">[2]Picklist!$M$2:$M$7</definedName>
    <definedName name="Efficiency" localSheetId="7">[2]Picklist!$P$2:$P$6</definedName>
    <definedName name="fy" localSheetId="7">[2]Picklist!$B$2:$B$6</definedName>
    <definedName name="FYall" localSheetId="7">[1]Parameter!$E$4:$E$12</definedName>
    <definedName name="IT_CB_A" localSheetId="7">OFFSET(#REF!,#REF!+1,#REF!,1,#REF!)</definedName>
    <definedName name="IT_CB_D" localSheetId="7">OFFSET(#REF!,#REF!+3,#REF!,1,#REF!)</definedName>
    <definedName name="IT_CB_F" localSheetId="7">OFFSET(#REF!,#REF!,#REF!,1,#REF!)</definedName>
    <definedName name="IT_CB_V" localSheetId="7">OFFSET(#REF!,#REF!+2,#REF!,1,#REF!)</definedName>
    <definedName name="IT_D_A" localSheetId="7">OFFSET(#REF!,#REF!+9,#REF!,1,#REF!)</definedName>
    <definedName name="IT_D_F" localSheetId="7">OFFSET(#REF!,#REF!+8,#REF!,1,#REF!)</definedName>
    <definedName name="IT_V_A" localSheetId="7">OFFSET(#REF!,#REF!+6,#REF!,1,#REF!)</definedName>
    <definedName name="IT_V_F" localSheetId="7">OFFSET(#REF!,#REF!+5,#REF!,1,#REF!)</definedName>
    <definedName name="Launch" localSheetId="7">[4]Configuration!$G$8</definedName>
    <definedName name="LOCAL_MYSQL_DATE_FORMAT" localSheetId="7" hidden="1">REPT('External server for CCDM CA'!LOCAL_YEAR_FORMAT,4)&amp;LOCAL_DATE_SEPARATOR&amp;REPT(LOCAL_MONTH_FORMAT,2)&amp;LOCAL_DATE_SEPARATOR&amp;REPT(LOCAL_DAY_FORMAT,2)&amp;"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localSheetId="7">#REF!</definedName>
    <definedName name="mesi" localSheetId="7">OFFSET(#REF!,#REF!-1,#REF!,1,#REF!)</definedName>
    <definedName name="OpCo" localSheetId="7">[2]Picklist!$A$2:$A$14</definedName>
    <definedName name="PredefinedValueMatrix" localSheetId="7">[1]PreDefinedValues!$A$6:$E$54</definedName>
    <definedName name="Priority" localSheetId="7">[2]Picklist!$L$2:$L$5</definedName>
    <definedName name="Project___undergoing_from_NEP" localSheetId="7">[2]Picklist!$J$2:$J$94</definedName>
    <definedName name="Regiones" localSheetId="7">[5]DiscountRates!$A$2:$A$133</definedName>
    <definedName name="sd" localSheetId="7">[3]Parameter!$E$8:$E$12</definedName>
    <definedName name="Standardcostperday" localSheetId="7">[1]PreDefinedValues!$D$59</definedName>
    <definedName name="Status" localSheetId="7">[2]Picklist!$K$2:$K$5</definedName>
    <definedName name="Team" localSheetId="7">[2]Picklist!$F$2:$F$111</definedName>
    <definedName name="Total_MMS" localSheetId="7">#REF!</definedName>
    <definedName name="Total_SMS" localSheetId="7">#REF!</definedName>
    <definedName name="Type_of_Vendor" localSheetId="7">[2]Picklist!$Q$2:$Q$5</definedName>
    <definedName name="Units_Project" localSheetId="7">[1]PreDefinedValues!$A$6:$A$54</definedName>
    <definedName name="vb" localSheetId="7">[3]PreDefinedValues!$A$6:$A$54</definedName>
    <definedName name="VM_ActiveSubs" localSheetId="7">#REF!</definedName>
    <definedName name="VM_Min_Volume" localSheetId="7">#REF!</definedName>
    <definedName name="VM_Registered" localSheetId="7">#REF!</definedName>
    <definedName name="Voice_Billable" localSheetId="7">#REF!</definedName>
    <definedName name="WBS_MainArea" localSheetId="7">[1]PreDefinedValues!$F$6:$G$54</definedName>
    <definedName name="WBS_NAME_TABLE" localSheetId="7">[1]PreDefinedValues!$I$6:$J$28</definedName>
    <definedName name="WBS_ProvidingUnit" localSheetId="7">[1]PreDefinedValues!$F$62:$G$683</definedName>
    <definedName name="we" localSheetId="7">[3]Parameter!$E$4:$E$12</definedName>
    <definedName name="wrn.Project._.Status._.Report." localSheetId="7"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____hc4" localSheetId="8" hidden="1">{"KPI EURO",#N/A,FALSE,"kpi";"INDICATORI EURO",#N/A,FALSE,"confronti";"DEACTIVATION",#N/A,FALSE,"deact";"OTHER EURO",#N/A,FALSE,"OTHER";"USAGE OUT VAR",#N/A,FALSE,"trend";"USAGE IN",#N/A,FALSE,"trend";"OUT MIN",#N/A,FALSE,"trend"}</definedName>
    <definedName name="__hc4" localSheetId="8" hidden="1">{"KPI EURO",#N/A,FALSE,"kpi";"INDICATORI EURO",#N/A,FALSE,"confronti";"DEACTIVATION",#N/A,FALSE,"deact";"OTHER EURO",#N/A,FALSE,"OTHER";"USAGE OUT VAR",#N/A,FALSE,"trend";"USAGE IN",#N/A,FALSE,"trend";"OUT MIN",#N/A,FALSE,"trend"}</definedName>
    <definedName name="_2" localSheetId="8">#REF!</definedName>
    <definedName name="CAPEXOPEX" localSheetId="8">[1]Parameter!$E$16:$E$23</definedName>
    <definedName name="Category" localSheetId="8">[2]Picklist!$N$2:$N$9</definedName>
    <definedName name="Category_externalPT" localSheetId="8">[1]PreDefinedValues!$M$63:$N$75</definedName>
    <definedName name="Costperday" localSheetId="8">[1]PreDefinedValues!$C$61:$D$681</definedName>
    <definedName name="Criteria1" localSheetId="8">#REF!</definedName>
    <definedName name="Criteria10" localSheetId="8">#REF!</definedName>
    <definedName name="Criteria2" localSheetId="8">#REF!</definedName>
    <definedName name="Criteria3" localSheetId="8">#REF!</definedName>
    <definedName name="Criteria4" localSheetId="8">#REF!</definedName>
    <definedName name="Criteria5" localSheetId="8">#REF!</definedName>
    <definedName name="Criteria6" localSheetId="8">#REF!</definedName>
    <definedName name="Criteria7" localSheetId="8">#REF!</definedName>
    <definedName name="Criteria8" localSheetId="8">#REF!</definedName>
    <definedName name="Criteria9" localSheetId="8">#REF!</definedName>
    <definedName name="cvcvv" localSheetId="8">[3]PreDefinedValues!$A$6:$E$54</definedName>
    <definedName name="Department" localSheetId="8">[2]Picklist!$C$2:$C$10</definedName>
    <definedName name="Driver" localSheetId="8">[2]Picklist!$M$2:$M$7</definedName>
    <definedName name="Efficiency" localSheetId="8">[2]Picklist!$P$2:$P$6</definedName>
    <definedName name="fy" localSheetId="8">[2]Picklist!$B$2:$B$6</definedName>
    <definedName name="FYall" localSheetId="8">[1]Parameter!$E$4:$E$12</definedName>
    <definedName name="IT_CB_A" localSheetId="8">OFFSET(#REF!,#REF!+1,#REF!,1,#REF!)</definedName>
    <definedName name="IT_CB_D" localSheetId="8">OFFSET(#REF!,#REF!+3,#REF!,1,#REF!)</definedName>
    <definedName name="IT_CB_F" localSheetId="8">OFFSET(#REF!,#REF!,#REF!,1,#REF!)</definedName>
    <definedName name="IT_CB_V" localSheetId="8">OFFSET(#REF!,#REF!+2,#REF!,1,#REF!)</definedName>
    <definedName name="IT_D_A" localSheetId="8">OFFSET(#REF!,#REF!+9,#REF!,1,#REF!)</definedName>
    <definedName name="IT_D_F" localSheetId="8">OFFSET(#REF!,#REF!+8,#REF!,1,#REF!)</definedName>
    <definedName name="IT_V_A" localSheetId="8">OFFSET(#REF!,#REF!+6,#REF!,1,#REF!)</definedName>
    <definedName name="IT_V_F" localSheetId="8">OFFSET(#REF!,#REF!+5,#REF!,1,#REF!)</definedName>
    <definedName name="Launch" localSheetId="8">[6]Configuration!$G$8</definedName>
    <definedName name="LOCAL_MYSQL_DATE_FORMAT" localSheetId="8" hidden="1">REPT('Capacity KPIs'!LOCAL_YEAR_FORMAT,4)&amp;LOCAL_DATE_SEPARATOR&amp;REPT(LOCAL_MONTH_FORMAT,2)&amp;LOCAL_DATE_SEPARATOR&amp;REPT(LOCAL_DAY_FORMAT,2)&amp;"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localSheetId="8">#REF!</definedName>
    <definedName name="mesi" localSheetId="8">OFFSET(#REF!,#REF!-1,#REF!,1,#REF!)</definedName>
    <definedName name="OpCo" localSheetId="8">[2]Picklist!$A$2:$A$14</definedName>
    <definedName name="PredefinedValueMatrix" localSheetId="8">[1]PreDefinedValues!$A$6:$E$54</definedName>
    <definedName name="Priority" localSheetId="8">[2]Picklist!$L$2:$L$5</definedName>
    <definedName name="Project___undergoing_from_NEP" localSheetId="8">[2]Picklist!$J$2:$J$94</definedName>
    <definedName name="Regiones" localSheetId="8">[7]DiscountRates!$A$2:$A$133</definedName>
    <definedName name="sd" localSheetId="8">[3]Parameter!$E$8:$E$12</definedName>
    <definedName name="Standardcostperday" localSheetId="8">[1]PreDefinedValues!$D$59</definedName>
    <definedName name="Status" localSheetId="8">[2]Picklist!$K$2:$K$5</definedName>
    <definedName name="Team" localSheetId="8">[2]Picklist!$F$2:$F$111</definedName>
    <definedName name="Total_MMS" localSheetId="8">#REF!</definedName>
    <definedName name="Total_SMS" localSheetId="8">#REF!</definedName>
    <definedName name="Type_of_Vendor" localSheetId="8">[2]Picklist!$Q$2:$Q$5</definedName>
    <definedName name="Units_Project" localSheetId="8">[1]PreDefinedValues!$A$6:$A$54</definedName>
    <definedName name="vb" localSheetId="8">[3]PreDefinedValues!$A$6:$A$54</definedName>
    <definedName name="VM_ActiveSubs" localSheetId="8">#REF!</definedName>
    <definedName name="VM_Min_Volume" localSheetId="8">#REF!</definedName>
    <definedName name="VM_Registered" localSheetId="8">#REF!</definedName>
    <definedName name="Voice_Billable" localSheetId="8">#REF!</definedName>
    <definedName name="WBS_MainArea" localSheetId="8">[1]PreDefinedValues!$F$6:$G$54</definedName>
    <definedName name="WBS_NAME_TABLE" localSheetId="8">[1]PreDefinedValues!$I$6:$J$28</definedName>
    <definedName name="WBS_ProvidingUnit" localSheetId="8">[1]PreDefinedValues!$F$62:$G$683</definedName>
    <definedName name="we" localSheetId="8">[3]Parameter!$E$4:$E$12</definedName>
    <definedName name="wrn.Project._.Status._.Report." localSheetId="8"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____hc4" localSheetId="9" hidden="1">{"KPI EURO",#N/A,FALSE,"kpi";"INDICATORI EURO",#N/A,FALSE,"confronti";"DEACTIVATION",#N/A,FALSE,"deact";"OTHER EURO",#N/A,FALSE,"OTHER";"USAGE OUT VAR",#N/A,FALSE,"trend";"USAGE IN",#N/A,FALSE,"trend";"OUT MIN",#N/A,FALSE,"trend"}</definedName>
    <definedName name="__hc4" localSheetId="9" hidden="1">{"KPI EURO",#N/A,FALSE,"kpi";"INDICATORI EURO",#N/A,FALSE,"confronti";"DEACTIVATION",#N/A,FALSE,"deact";"OTHER EURO",#N/A,FALSE,"OTHER";"USAGE OUT VAR",#N/A,FALSE,"trend";"USAGE IN",#N/A,FALSE,"trend";"OUT MIN",#N/A,FALSE,"trend"}</definedName>
    <definedName name="_2" localSheetId="9">#REF!</definedName>
    <definedName name="CAPEXOPEX" localSheetId="9">[1]Parameter!$E$16:$E$23</definedName>
    <definedName name="Category" localSheetId="9">[2]Picklist!$N$2:$N$9</definedName>
    <definedName name="Category_externalPT" localSheetId="9">[1]PreDefinedValues!$M$63:$N$75</definedName>
    <definedName name="Costperday" localSheetId="9">[1]PreDefinedValues!$C$61:$D$681</definedName>
    <definedName name="Criteria1" localSheetId="9">#REF!</definedName>
    <definedName name="Criteria10" localSheetId="9">#REF!</definedName>
    <definedName name="Criteria2" localSheetId="9">#REF!</definedName>
    <definedName name="Criteria3" localSheetId="9">#REF!</definedName>
    <definedName name="Criteria4" localSheetId="9">#REF!</definedName>
    <definedName name="Criteria5" localSheetId="9">#REF!</definedName>
    <definedName name="Criteria6" localSheetId="9">#REF!</definedName>
    <definedName name="Criteria7" localSheetId="9">#REF!</definedName>
    <definedName name="Criteria8" localSheetId="9">#REF!</definedName>
    <definedName name="Criteria9" localSheetId="9">#REF!</definedName>
    <definedName name="cvcvv" localSheetId="9">[3]PreDefinedValues!$A$6:$E$54</definedName>
    <definedName name="Department" localSheetId="9">[2]Picklist!$C$2:$C$10</definedName>
    <definedName name="Driver" localSheetId="9">[2]Picklist!$M$2:$M$7</definedName>
    <definedName name="Efficiency" localSheetId="9">[2]Picklist!$P$2:$P$6</definedName>
    <definedName name="fy" localSheetId="9">[2]Picklist!$B$2:$B$6</definedName>
    <definedName name="FYall" localSheetId="9">[1]Parameter!$E$4:$E$12</definedName>
    <definedName name="IT_CB_A" localSheetId="9">OFFSET(#REF!,#REF!+1,#REF!,1,#REF!)</definedName>
    <definedName name="IT_CB_D" localSheetId="9">OFFSET(#REF!,#REF!+3,#REF!,1,#REF!)</definedName>
    <definedName name="IT_CB_F" localSheetId="9">OFFSET(#REF!,#REF!,#REF!,1,#REF!)</definedName>
    <definedName name="IT_CB_V" localSheetId="9">OFFSET(#REF!,#REF!+2,#REF!,1,#REF!)</definedName>
    <definedName name="IT_D_A" localSheetId="9">OFFSET(#REF!,#REF!+9,#REF!,1,#REF!)</definedName>
    <definedName name="IT_D_F" localSheetId="9">OFFSET(#REF!,#REF!+8,#REF!,1,#REF!)</definedName>
    <definedName name="IT_V_A" localSheetId="9">OFFSET(#REF!,#REF!+6,#REF!,1,#REF!)</definedName>
    <definedName name="IT_V_F" localSheetId="9">OFFSET(#REF!,#REF!+5,#REF!,1,#REF!)</definedName>
    <definedName name="Launch" localSheetId="9">[4]Configuration!$G$8</definedName>
    <definedName name="LOCAL_MYSQL_DATE_FORMAT" localSheetId="9" hidden="1">REPT('Capacity statements'!LOCAL_YEAR_FORMAT,4)&amp;LOCAL_DATE_SEPARATOR&amp;REPT(LOCAL_MONTH_FORMAT,2)&amp;LOCAL_DATE_SEPARATOR&amp;REPT(LOCAL_DAY_FORMAT,2)&amp;"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localSheetId="9">#REF!</definedName>
    <definedName name="mesi" localSheetId="9">OFFSET(#REF!,#REF!-1,#REF!,1,#REF!)</definedName>
    <definedName name="OpCo" localSheetId="9">[2]Picklist!$A$2:$A$14</definedName>
    <definedName name="PredefinedValueMatrix" localSheetId="9">[1]PreDefinedValues!$A$6:$E$54</definedName>
    <definedName name="Priority" localSheetId="9">[2]Picklist!$L$2:$L$5</definedName>
    <definedName name="Project___undergoing_from_NEP" localSheetId="9">[2]Picklist!$J$2:$J$94</definedName>
    <definedName name="Regiones" localSheetId="9">[5]DiscountRates!$A$2:$A$133</definedName>
    <definedName name="sd" localSheetId="9">[3]Parameter!$E$8:$E$12</definedName>
    <definedName name="Standardcostperday" localSheetId="9">[1]PreDefinedValues!$D$59</definedName>
    <definedName name="Status" localSheetId="9">[2]Picklist!$K$2:$K$5</definedName>
    <definedName name="Team" localSheetId="9">[2]Picklist!$F$2:$F$111</definedName>
    <definedName name="Total_MMS" localSheetId="9">#REF!</definedName>
    <definedName name="Total_SMS" localSheetId="9">#REF!</definedName>
    <definedName name="Type_of_Vendor" localSheetId="9">[2]Picklist!$Q$2:$Q$5</definedName>
    <definedName name="Units_Project" localSheetId="9">[1]PreDefinedValues!$A$6:$A$54</definedName>
    <definedName name="vb" localSheetId="9">[3]PreDefinedValues!$A$6:$A$54</definedName>
    <definedName name="VM_ActiveSubs" localSheetId="9">#REF!</definedName>
    <definedName name="VM_Min_Volume" localSheetId="9">#REF!</definedName>
    <definedName name="VM_Registered" localSheetId="9">#REF!</definedName>
    <definedName name="Voice_Billable" localSheetId="9">#REF!</definedName>
    <definedName name="WBS_MainArea" localSheetId="9">[1]PreDefinedValues!$F$6:$G$54</definedName>
    <definedName name="WBS_NAME_TABLE" localSheetId="9">[1]PreDefinedValues!$I$6:$J$28</definedName>
    <definedName name="WBS_ProvidingUnit" localSheetId="9">[1]PreDefinedValues!$F$62:$G$683</definedName>
    <definedName name="we" localSheetId="9">[3]Parameter!$E$4:$E$12</definedName>
    <definedName name="wrn.Project._.Status._.Report." localSheetId="9"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____hc4" localSheetId="10" hidden="1">{"KPI EURO",#N/A,FALSE,"kpi";"INDICATORI EURO",#N/A,FALSE,"confronti";"DEACTIVATION",#N/A,FALSE,"deact";"OTHER EURO",#N/A,FALSE,"OTHER";"USAGE OUT VAR",#N/A,FALSE,"trend";"USAGE IN",#N/A,FALSE,"trend";"OUT MIN",#N/A,FALSE,"trend"}</definedName>
    <definedName name="__hc4" localSheetId="10" hidden="1">{"KPI EURO",#N/A,FALSE,"kpi";"INDICATORI EURO",#N/A,FALSE,"confronti";"DEACTIVATION",#N/A,FALSE,"deact";"OTHER EURO",#N/A,FALSE,"OTHER";"USAGE OUT VAR",#N/A,FALSE,"trend";"USAGE IN",#N/A,FALSE,"trend";"OUT MIN",#N/A,FALSE,"trend"}</definedName>
    <definedName name="_2" localSheetId="10">#REF!</definedName>
    <definedName name="CAPEXOPEX" localSheetId="10">[1]Parameter!$E$16:$E$23</definedName>
    <definedName name="Category" localSheetId="10">[2]Picklist!$N$2:$N$9</definedName>
    <definedName name="Category_externalPT" localSheetId="10">[1]PreDefinedValues!$M$63:$N$75</definedName>
    <definedName name="Costperday" localSheetId="10">[1]PreDefinedValues!$C$61:$D$681</definedName>
    <definedName name="Criteria1" localSheetId="10">#REF!</definedName>
    <definedName name="Criteria10" localSheetId="10">#REF!</definedName>
    <definedName name="Criteria2" localSheetId="10">#REF!</definedName>
    <definedName name="Criteria3" localSheetId="10">#REF!</definedName>
    <definedName name="Criteria4" localSheetId="10">#REF!</definedName>
    <definedName name="Criteria5" localSheetId="10">#REF!</definedName>
    <definedName name="Criteria6" localSheetId="10">#REF!</definedName>
    <definedName name="Criteria7" localSheetId="10">#REF!</definedName>
    <definedName name="Criteria8" localSheetId="10">#REF!</definedName>
    <definedName name="Criteria9" localSheetId="10">#REF!</definedName>
    <definedName name="cvcvv" localSheetId="10">[3]PreDefinedValues!$A$6:$E$54</definedName>
    <definedName name="Department" localSheetId="10">[2]Picklist!$C$2:$C$10</definedName>
    <definedName name="Driver" localSheetId="10">[2]Picklist!$M$2:$M$7</definedName>
    <definedName name="Efficiency" localSheetId="10">[2]Picklist!$P$2:$P$6</definedName>
    <definedName name="fy" localSheetId="10">[2]Picklist!$B$2:$B$6</definedName>
    <definedName name="FYall" localSheetId="10">[1]Parameter!$E$4:$E$12</definedName>
    <definedName name="IT_CB_A" localSheetId="10">OFFSET(#REF!,#REF!+1,#REF!,1,#REF!)</definedName>
    <definedName name="IT_CB_D" localSheetId="10">OFFSET(#REF!,#REF!+3,#REF!,1,#REF!)</definedName>
    <definedName name="IT_CB_F" localSheetId="10">OFFSET(#REF!,#REF!,#REF!,1,#REF!)</definedName>
    <definedName name="IT_CB_V" localSheetId="10">OFFSET(#REF!,#REF!+2,#REF!,1,#REF!)</definedName>
    <definedName name="IT_D_A" localSheetId="10">OFFSET(#REF!,#REF!+9,#REF!,1,#REF!)</definedName>
    <definedName name="IT_D_F" localSheetId="10">OFFSET(#REF!,#REF!+8,#REF!,1,#REF!)</definedName>
    <definedName name="IT_V_A" localSheetId="10">OFFSET(#REF!,#REF!+6,#REF!,1,#REF!)</definedName>
    <definedName name="IT_V_F" localSheetId="10">OFFSET(#REF!,#REF!+5,#REF!,1,#REF!)</definedName>
    <definedName name="Launch" localSheetId="10">[4]Configuration!$G$8</definedName>
    <definedName name="LOCAL_MYSQL_DATE_FORMAT" localSheetId="10" hidden="1">REPT('Minimum size VNF config'!LOCAL_YEAR_FORMAT,4)&amp;LOCAL_DATE_SEPARATOR&amp;REPT(LOCAL_MONTH_FORMAT,2)&amp;LOCAL_DATE_SEPARATOR&amp;REPT(LOCAL_DAY_FORMAT,2)&amp;"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localSheetId="10">#REF!</definedName>
    <definedName name="mesi" localSheetId="10">OFFSET(#REF!,#REF!-1,#REF!,1,#REF!)</definedName>
    <definedName name="OpCo" localSheetId="10">[2]Picklist!$A$2:$A$14</definedName>
    <definedName name="PredefinedValueMatrix" localSheetId="10">[1]PreDefinedValues!$A$6:$E$54</definedName>
    <definedName name="Priority" localSheetId="10">[2]Picklist!$L$2:$L$5</definedName>
    <definedName name="Project___undergoing_from_NEP" localSheetId="10">[2]Picklist!$J$2:$J$94</definedName>
    <definedName name="Regiones" localSheetId="10">[5]DiscountRates!$A$2:$A$133</definedName>
    <definedName name="sd" localSheetId="10">[3]Parameter!$E$8:$E$12</definedName>
    <definedName name="Standardcostperday" localSheetId="10">[1]PreDefinedValues!$D$59</definedName>
    <definedName name="Status" localSheetId="10">[2]Picklist!$K$2:$K$5</definedName>
    <definedName name="Team" localSheetId="10">[2]Picklist!$F$2:$F$111</definedName>
    <definedName name="Total_MMS" localSheetId="10">#REF!</definedName>
    <definedName name="Total_SMS" localSheetId="10">#REF!</definedName>
    <definedName name="Type_of_Vendor" localSheetId="10">[2]Picklist!$Q$2:$Q$5</definedName>
    <definedName name="Units_Project" localSheetId="10">[1]PreDefinedValues!$A$6:$A$54</definedName>
    <definedName name="vb" localSheetId="10">[3]PreDefinedValues!$A$6:$A$54</definedName>
    <definedName name="VM_ActiveSubs" localSheetId="10">#REF!</definedName>
    <definedName name="VM_Min_Volume" localSheetId="10">#REF!</definedName>
    <definedName name="VM_Registered" localSheetId="10">#REF!</definedName>
    <definedName name="Voice_Billable" localSheetId="10">#REF!</definedName>
    <definedName name="WBS_MainArea" localSheetId="10">[1]PreDefinedValues!$F$6:$G$54</definedName>
    <definedName name="WBS_NAME_TABLE" localSheetId="10">[1]PreDefinedValues!$I$6:$J$28</definedName>
    <definedName name="WBS_ProvidingUnit" localSheetId="10">[1]PreDefinedValues!$F$62:$G$683</definedName>
    <definedName name="we" localSheetId="10">[3]Parameter!$E$4:$E$12</definedName>
    <definedName name="wrn.Project._.Status._.Report." localSheetId="10"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____hc4" localSheetId="11" hidden="1">{"KPI EURO",#N/A,FALSE,"kpi";"INDICATORI EURO",#N/A,FALSE,"confronti";"DEACTIVATION",#N/A,FALSE,"deact";"OTHER EURO",#N/A,FALSE,"OTHER";"USAGE OUT VAR",#N/A,FALSE,"trend";"USAGE IN",#N/A,FALSE,"trend";"OUT MIN",#N/A,FALSE,"trend"}</definedName>
    <definedName name="__hc4" localSheetId="11" hidden="1">{"KPI EURO",#N/A,FALSE,"kpi";"INDICATORI EURO",#N/A,FALSE,"confronti";"DEACTIVATION",#N/A,FALSE,"deact";"OTHER EURO",#N/A,FALSE,"OTHER";"USAGE OUT VAR",#N/A,FALSE,"trend";"USAGE IN",#N/A,FALSE,"trend";"OUT MIN",#N/A,FALSE,"trend"}</definedName>
    <definedName name="_2" localSheetId="11">#REF!</definedName>
    <definedName name="CAPEXOPEX" localSheetId="11">[1]Parameter!$E$16:$E$23</definedName>
    <definedName name="Category" localSheetId="11">[2]Picklist!$N$2:$N$9</definedName>
    <definedName name="Category_externalPT" localSheetId="11">[1]PreDefinedValues!$M$63:$N$75</definedName>
    <definedName name="Costperday" localSheetId="11">[1]PreDefinedValues!$C$61:$D$681</definedName>
    <definedName name="Criteria1" localSheetId="11">#REF!</definedName>
    <definedName name="Criteria10" localSheetId="11">#REF!</definedName>
    <definedName name="Criteria2" localSheetId="11">#REF!</definedName>
    <definedName name="Criteria3" localSheetId="11">#REF!</definedName>
    <definedName name="Criteria4" localSheetId="11">#REF!</definedName>
    <definedName name="Criteria5" localSheetId="11">#REF!</definedName>
    <definedName name="Criteria6" localSheetId="11">#REF!</definedName>
    <definedName name="Criteria7" localSheetId="11">#REF!</definedName>
    <definedName name="Criteria8" localSheetId="11">#REF!</definedName>
    <definedName name="Criteria9" localSheetId="11">#REF!</definedName>
    <definedName name="cvcvv" localSheetId="11">[3]PreDefinedValues!$A$6:$E$54</definedName>
    <definedName name="Department" localSheetId="11">[2]Picklist!$C$2:$C$10</definedName>
    <definedName name="Driver" localSheetId="11">[2]Picklist!$M$2:$M$7</definedName>
    <definedName name="Efficiency" localSheetId="11">[2]Picklist!$P$2:$P$6</definedName>
    <definedName name="fy" localSheetId="11">[2]Picklist!$B$2:$B$6</definedName>
    <definedName name="FYall" localSheetId="11">[1]Parameter!$E$4:$E$12</definedName>
    <definedName name="IT_CB_A" localSheetId="11">OFFSET(#REF!,#REF!+1,#REF!,1,#REF!)</definedName>
    <definedName name="IT_CB_D" localSheetId="11">OFFSET(#REF!,#REF!+3,#REF!,1,#REF!)</definedName>
    <definedName name="IT_CB_F" localSheetId="11">OFFSET(#REF!,#REF!,#REF!,1,#REF!)</definedName>
    <definedName name="IT_CB_V" localSheetId="11">OFFSET(#REF!,#REF!+2,#REF!,1,#REF!)</definedName>
    <definedName name="IT_D_A" localSheetId="11">OFFSET(#REF!,#REF!+9,#REF!,1,#REF!)</definedName>
    <definedName name="IT_D_F" localSheetId="11">OFFSET(#REF!,#REF!+8,#REF!,1,#REF!)</definedName>
    <definedName name="IT_V_A" localSheetId="11">OFFSET(#REF!,#REF!+6,#REF!,1,#REF!)</definedName>
    <definedName name="IT_V_F" localSheetId="11">OFFSET(#REF!,#REF!+5,#REF!,1,#REF!)</definedName>
    <definedName name="Launch" localSheetId="11">[4]Configuration!$G$8</definedName>
    <definedName name="LOCAL_MYSQL_DATE_FORMAT" localSheetId="11" hidden="1">REPT('Maximum size VNF config'!LOCAL_YEAR_FORMAT,4)&amp;LOCAL_DATE_SEPARATOR&amp;REPT(LOCAL_MONTH_FORMAT,2)&amp;LOCAL_DATE_SEPARATOR&amp;REPT(LOCAL_DAY_FORMAT,2)&amp;"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localSheetId="11">#REF!</definedName>
    <definedName name="mesi" localSheetId="11">OFFSET(#REF!,#REF!-1,#REF!,1,#REF!)</definedName>
    <definedName name="OpCo" localSheetId="11">[2]Picklist!$A$2:$A$14</definedName>
    <definedName name="PredefinedValueMatrix" localSheetId="11">[1]PreDefinedValues!$A$6:$E$54</definedName>
    <definedName name="Priority" localSheetId="11">[2]Picklist!$L$2:$L$5</definedName>
    <definedName name="Project___undergoing_from_NEP" localSheetId="11">[2]Picklist!$J$2:$J$94</definedName>
    <definedName name="Regiones" localSheetId="11">[5]DiscountRates!$A$2:$A$133</definedName>
    <definedName name="sd" localSheetId="11">[3]Parameter!$E$8:$E$12</definedName>
    <definedName name="Standardcostperday" localSheetId="11">[1]PreDefinedValues!$D$59</definedName>
    <definedName name="Status" localSheetId="11">[2]Picklist!$K$2:$K$5</definedName>
    <definedName name="Team" localSheetId="11">[2]Picklist!$F$2:$F$111</definedName>
    <definedName name="Total_MMS" localSheetId="11">#REF!</definedName>
    <definedName name="Total_SMS" localSheetId="11">#REF!</definedName>
    <definedName name="Type_of_Vendor" localSheetId="11">[2]Picklist!$Q$2:$Q$5</definedName>
    <definedName name="Units_Project" localSheetId="11">[1]PreDefinedValues!$A$6:$A$54</definedName>
    <definedName name="vb" localSheetId="11">[3]PreDefinedValues!$A$6:$A$54</definedName>
    <definedName name="VM_ActiveSubs" localSheetId="11">#REF!</definedName>
    <definedName name="VM_Min_Volume" localSheetId="11">#REF!</definedName>
    <definedName name="VM_Registered" localSheetId="11">#REF!</definedName>
    <definedName name="Voice_Billable" localSheetId="11">#REF!</definedName>
    <definedName name="WBS_MainArea" localSheetId="11">[1]PreDefinedValues!$F$6:$G$54</definedName>
    <definedName name="WBS_NAME_TABLE" localSheetId="11">[1]PreDefinedValues!$I$6:$J$28</definedName>
    <definedName name="WBS_ProvidingUnit" localSheetId="11">[1]PreDefinedValues!$F$62:$G$683</definedName>
    <definedName name="we" localSheetId="11">[3]Parameter!$E$4:$E$12</definedName>
    <definedName name="wrn.Project._.Status._.Report." localSheetId="11"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<sst xmlns="http://schemas.openxmlformats.org/spreadsheetml/2006/main" count="1453" uniqueCount="391">
  <si>
    <t>SITE NAME</t>
  </si>
  <si>
    <t>Enter the 'Physical' Data Center Site name (example Milan / Milan Test Lab 1)</t>
  </si>
  <si>
    <t>COMMON Requirements</t>
  </si>
  <si>
    <t>PER YEAR Requirements</t>
  </si>
  <si>
    <t>Request Type</t>
  </si>
  <si>
    <t xml:space="preserve">VNF Name </t>
  </si>
  <si>
    <t>VM Type Name</t>
  </si>
  <si>
    <t>Site</t>
  </si>
  <si>
    <t>NSX-T</t>
  </si>
  <si>
    <t>AFFINITY RULES - 'INTRA VM Type'</t>
  </si>
  <si>
    <t>AFFINITY RULES - 'INTER VM Type'</t>
  </si>
  <si>
    <t>VM Workload Type</t>
  </si>
  <si>
    <t>Storage Block Size</t>
  </si>
  <si>
    <t>Number of VNF instances</t>
  </si>
  <si>
    <t xml:space="preserve">Number of 
VMs per type </t>
  </si>
  <si>
    <t>NUMA
(Accepted Vlaues: TRUE, FALSE, empty cell)(currently not available, future enahncement)</t>
  </si>
  <si>
    <t>Socket
(Wil only consider if NUMA is TRUE)(currently not available, future enahncement)</t>
  </si>
  <si>
    <t>Number of vCPU per VM</t>
  </si>
  <si>
    <t xml:space="preserve">RX/TX' CPU INCLUDED IN vCPU  Count ? </t>
  </si>
  <si>
    <t>RAM (GB) 
per VM</t>
  </si>
  <si>
    <t>Storage (GB) per VM
 - Data Disk</t>
  </si>
  <si>
    <t>Storage (GB) per VM
 - OS disk</t>
  </si>
  <si>
    <t xml:space="preserve">Storage IOPS 
per VM 
- Running </t>
  </si>
  <si>
    <t xml:space="preserve">Storage IOPS 
per VM
 - Loading </t>
  </si>
  <si>
    <t>Storage Read/Write VM workload distribution (%/%)</t>
  </si>
  <si>
    <t>North/South 
bandwidth 
requirement per VM (Mbit/s)</t>
  </si>
  <si>
    <t>East/West  bandwidth requirement per VM (Mbit/s)</t>
  </si>
  <si>
    <t>Onboarding Date / Other requirements?</t>
  </si>
  <si>
    <t>BACKUP REQUIRED</t>
  </si>
  <si>
    <t>Probing required?</t>
  </si>
  <si>
    <t>Explanation</t>
  </si>
  <si>
    <t>Feasibility. This is for high level cost analysis. The demand can be treated as greenfield and won't be retained and integrated to the NVI estate.( Feasibility is the Default value)
Committed. This is for firm demands that will be built. These will be modelled in conjunction with the existing planned/deployed hardware.</t>
  </si>
  <si>
    <t>Insert the name of the VNF (e.g. PCRF, TAS, ENUM, DRA, etc.).</t>
  </si>
  <si>
    <t>Insert the type name of the VM (e.g. OMU, CSB, GISU, etc.).</t>
  </si>
  <si>
    <t>Enter the name of the Site for which the Cbom is submitted, Please note that only one site should be entered in one Cbom. For a different site a different Cbom must be filled</t>
  </si>
  <si>
    <t>IF NSX-T is required or not.
Y for Yes
N for No</t>
  </si>
  <si>
    <r>
      <rPr>
        <sz val="9"/>
        <rFont val="Calibri"/>
        <charset val="134"/>
        <scheme val="minor"/>
      </rPr>
      <t xml:space="preserve">Insert the Anti-Affinity/Affinity rules required between each VM of this same type name. </t>
    </r>
    <r>
      <rPr>
        <u/>
        <sz val="9"/>
        <rFont val="Calibri"/>
        <charset val="134"/>
        <scheme val="minor"/>
      </rPr>
      <t>See Additional guidance examples below</t>
    </r>
  </si>
  <si>
    <r>
      <rPr>
        <sz val="9"/>
        <rFont val="Calibri"/>
        <charset val="134"/>
        <scheme val="minor"/>
      </rPr>
      <t>Insert the Anti-Affinity/Affinity rules required between each VM of this type and VM of other types. (Eg CSCF and MTAS).</t>
    </r>
    <r>
      <rPr>
        <u/>
        <sz val="9"/>
        <rFont val="Calibri"/>
        <charset val="134"/>
        <scheme val="minor"/>
      </rPr>
      <t>See Additional guidance examples belo</t>
    </r>
    <r>
      <rPr>
        <i/>
        <u/>
        <sz val="9"/>
        <rFont val="Calibri"/>
        <charset val="134"/>
        <scheme val="minor"/>
      </rPr>
      <t>w</t>
    </r>
  </si>
  <si>
    <t>What type of workload is this VM? Management, Signalling ,  Media/DataPlane</t>
  </si>
  <si>
    <t>What is the expected 'block' size to be considered for Storage IO.</t>
  </si>
  <si>
    <t>Number of VMs for the given Type to be onboarded</t>
  </si>
  <si>
    <t>Accepted Vlaues: TRUE, FALSE, empty cell)
If the value is True VM will be given NUMA gurantee only if NSX-T is present in the infra.</t>
  </si>
  <si>
    <t xml:space="preserve">Wil only consider if NUMA is TRUE
Enter the Value of NUMA node where the VM is desired to be placed.
Value can be either 0 or 1
If left blank tool will place by itself. </t>
  </si>
  <si>
    <t>Insert the required quantity of CPU per single VM.</t>
  </si>
  <si>
    <t>The CPU count listed in 'Number of vCPU per VM column, MUST INCLUDE ALL CPU REQUIRED FOR VM. This included for any ' VM RX/TX Thread allocation (either 'pinned or not pinned'). You should confirm in this column you have factored this in by entering in 'Y'.  (See note 4 also)</t>
  </si>
  <si>
    <t>Insert the required quantity of RAM (GB) per single VM.</t>
  </si>
  <si>
    <t>Insert the  quantity of Storage (GB) per each VM required for data.</t>
  </si>
  <si>
    <t>Insert the quantity of Storage (GB) per each VM required for Operating System.</t>
  </si>
  <si>
    <t>Insert the distribution of the workload split in Read and Write (e.g. 60/40).</t>
  </si>
  <si>
    <r>
      <rPr>
        <sz val="9"/>
        <color theme="1"/>
        <rFont val="Calibri"/>
        <charset val="134"/>
        <scheme val="minor"/>
      </rPr>
      <t xml:space="preserve">Insert the required bandwidth (Mbit/s) for Nourth/South traffic per </t>
    </r>
    <r>
      <rPr>
        <b/>
        <u/>
        <sz val="9"/>
        <color theme="1"/>
        <rFont val="Calibri"/>
        <charset val="134"/>
        <scheme val="minor"/>
      </rPr>
      <t>single</t>
    </r>
    <r>
      <rPr>
        <sz val="9"/>
        <color theme="1"/>
        <rFont val="Calibri"/>
        <charset val="134"/>
        <scheme val="minor"/>
      </rPr>
      <t xml:space="preserve"> VM.</t>
    </r>
  </si>
  <si>
    <r>
      <rPr>
        <sz val="9"/>
        <color theme="1"/>
        <rFont val="Calibri"/>
        <charset val="134"/>
        <scheme val="minor"/>
      </rPr>
      <t xml:space="preserve">Insert the required bandwidth (Mbit/s) for East/West traffic per </t>
    </r>
    <r>
      <rPr>
        <b/>
        <u/>
        <sz val="9"/>
        <color theme="1"/>
        <rFont val="Calibri"/>
        <charset val="134"/>
        <scheme val="minor"/>
      </rPr>
      <t>single</t>
    </r>
    <r>
      <rPr>
        <sz val="9"/>
        <color theme="1"/>
        <rFont val="Calibri"/>
        <charset val="134"/>
        <scheme val="minor"/>
      </rPr>
      <t xml:space="preserve"> VM.</t>
    </r>
  </si>
  <si>
    <t>Insert when VNF/VM needs to be onboarded (which quarter of Financial Year) and any other additional requirement per each VM. For example Storage Block size information is also useful</t>
  </si>
  <si>
    <t>Is VM level backup required Y/N</t>
  </si>
  <si>
    <t>Is probing required?</t>
  </si>
  <si>
    <t xml:space="preserve">Valid Values </t>
  </si>
  <si>
    <t>Feasibility/Commited (feasibility is default)</t>
  </si>
  <si>
    <t>Any Text</t>
  </si>
  <si>
    <t>Y/N</t>
  </si>
  <si>
    <r>
      <rPr>
        <sz val="10.5"/>
        <color theme="1"/>
        <rFont val="Calibri"/>
        <charset val="134"/>
        <scheme val="minor"/>
      </rPr>
      <t xml:space="preserve">Accepted Values:     </t>
    </r>
    <r>
      <rPr>
        <b/>
        <sz val="10.5"/>
        <color theme="1"/>
        <rFont val="Calibri"/>
        <charset val="134"/>
        <scheme val="minor"/>
      </rPr>
      <t>AFF=</t>
    </r>
    <r>
      <rPr>
        <sz val="10.5"/>
        <color theme="1"/>
        <rFont val="Calibri"/>
        <charset val="134"/>
        <scheme val="minor"/>
      </rPr>
      <t xml:space="preserve"> Affinity, </t>
    </r>
    <r>
      <rPr>
        <b/>
        <sz val="10.5"/>
        <color theme="1"/>
        <rFont val="Calibri"/>
        <charset val="134"/>
        <scheme val="minor"/>
      </rPr>
      <t>AAF</t>
    </r>
    <r>
      <rPr>
        <sz val="10.5"/>
        <color theme="1"/>
        <rFont val="Calibri"/>
        <charset val="134"/>
        <scheme val="minor"/>
      </rPr>
      <t xml:space="preserve">=Antiaffinity, </t>
    </r>
    <r>
      <rPr>
        <b/>
        <sz val="10.5"/>
        <color theme="1"/>
        <rFont val="Calibri"/>
        <charset val="134"/>
        <scheme val="minor"/>
      </rPr>
      <t>AMS</t>
    </r>
    <r>
      <rPr>
        <sz val="10.5"/>
        <color theme="1"/>
        <rFont val="Calibri"/>
        <charset val="134"/>
        <scheme val="minor"/>
      </rPr>
      <t>=Antiaffinity Master Slave</t>
    </r>
  </si>
  <si>
    <r>
      <rPr>
        <sz val="10.5"/>
        <color theme="1"/>
        <rFont val="Calibri"/>
        <charset val="134"/>
        <scheme val="minor"/>
      </rPr>
      <t xml:space="preserve">Accepted Values:       </t>
    </r>
    <r>
      <rPr>
        <b/>
        <sz val="10.5"/>
        <color theme="1"/>
        <rFont val="Calibri"/>
        <charset val="134"/>
        <scheme val="minor"/>
      </rPr>
      <t>AFF</t>
    </r>
    <r>
      <rPr>
        <sz val="10.5"/>
        <color theme="1"/>
        <rFont val="Calibri"/>
        <charset val="134"/>
        <scheme val="minor"/>
      </rPr>
      <t xml:space="preserve">                                    {VNFA, vmA, VNFA,vmB, VNFB.vmC}= Affinity between VNFAvmA, VNFA.vmB, VNFB.vmC
</t>
    </r>
    <r>
      <rPr>
        <b/>
        <sz val="10.5"/>
        <color theme="1"/>
        <rFont val="Calibri"/>
        <charset val="134"/>
        <scheme val="minor"/>
      </rPr>
      <t xml:space="preserve">AAF                                        </t>
    </r>
    <r>
      <rPr>
        <sz val="10.5"/>
        <color theme="1"/>
        <rFont val="Calibri"/>
        <charset val="134"/>
        <scheme val="minor"/>
      </rPr>
      <t>{VNFC.vmC, VNFC.vmA}=antiaffinity between vmC and vmA of VNF C)</t>
    </r>
  </si>
  <si>
    <r>
      <rPr>
        <sz val="10.5"/>
        <color theme="1"/>
        <rFont val="Calibri"/>
        <charset val="134"/>
        <scheme val="minor"/>
      </rPr>
      <t xml:space="preserve">Accepted values : </t>
    </r>
    <r>
      <rPr>
        <b/>
        <sz val="10.5"/>
        <color theme="1"/>
        <rFont val="Calibri"/>
        <charset val="134"/>
        <scheme val="minor"/>
      </rPr>
      <t>Management ,      Signalling Plane,                        Data Plane.</t>
    </r>
  </si>
  <si>
    <t>Multiples of 8KBps (eg 8/16/32/64)</t>
  </si>
  <si>
    <t>This Feature is currently not availble due to onboarding.vmware limitations. Please leave it empty</t>
  </si>
  <si>
    <t>Y or N (If N - Please contact VINO)</t>
  </si>
  <si>
    <t>Number</t>
  </si>
  <si>
    <t>%/%</t>
  </si>
  <si>
    <t>Mbits</t>
  </si>
  <si>
    <t>Any text</t>
  </si>
  <si>
    <t>y/n</t>
  </si>
  <si>
    <t>Additional Affinity Guidance</t>
  </si>
  <si>
    <r>
      <rPr>
        <b/>
        <sz val="10.5"/>
        <color theme="1"/>
        <rFont val="Calibri"/>
        <charset val="134"/>
        <scheme val="minor"/>
      </rPr>
      <t>INTRA</t>
    </r>
    <r>
      <rPr>
        <sz val="10.5"/>
        <color theme="1"/>
        <rFont val="Calibri"/>
        <charset val="134"/>
        <scheme val="minor"/>
      </rPr>
      <t xml:space="preserve"> VNF Affinity</t>
    </r>
  </si>
  <si>
    <t>AFF</t>
  </si>
  <si>
    <r>
      <rPr>
        <sz val="10.5"/>
        <color theme="1"/>
        <rFont val="Calibri"/>
        <charset val="134"/>
        <scheme val="minor"/>
      </rPr>
      <t xml:space="preserve">Explains the scenario where all VM of </t>
    </r>
    <r>
      <rPr>
        <b/>
        <sz val="10.5"/>
        <color theme="1"/>
        <rFont val="Calibri"/>
        <charset val="134"/>
        <scheme val="minor"/>
      </rPr>
      <t>SAME</t>
    </r>
    <r>
      <rPr>
        <sz val="10.5"/>
        <color theme="1"/>
        <rFont val="Calibri"/>
        <charset val="134"/>
        <scheme val="minor"/>
      </rPr>
      <t xml:space="preserve"> type name within an instance , are required to be placed on </t>
    </r>
    <r>
      <rPr>
        <b/>
        <sz val="10.5"/>
        <color theme="1"/>
        <rFont val="Calibri"/>
        <charset val="134"/>
        <scheme val="minor"/>
      </rPr>
      <t>SAME</t>
    </r>
    <r>
      <rPr>
        <sz val="10.5"/>
        <color theme="1"/>
        <rFont val="Calibri"/>
        <charset val="134"/>
        <scheme val="minor"/>
      </rPr>
      <t xml:space="preserve">  'compute blade'. For example all CSCF within an instance MUST be on located on 1 blade</t>
    </r>
  </si>
  <si>
    <t>AAF</t>
  </si>
  <si>
    <r>
      <rPr>
        <sz val="10.5"/>
        <color theme="1"/>
        <rFont val="Calibri"/>
        <charset val="134"/>
        <scheme val="minor"/>
      </rPr>
      <t xml:space="preserve">This setting is used to explain the scenario where all VM of </t>
    </r>
    <r>
      <rPr>
        <b/>
        <sz val="10.5"/>
        <color theme="1"/>
        <rFont val="Calibri"/>
        <charset val="134"/>
        <scheme val="minor"/>
      </rPr>
      <t>SAME</t>
    </r>
    <r>
      <rPr>
        <sz val="10.5"/>
        <color theme="1"/>
        <rFont val="Calibri"/>
        <charset val="134"/>
        <scheme val="minor"/>
      </rPr>
      <t xml:space="preserve"> type name within an instance , are required to be placed on </t>
    </r>
    <r>
      <rPr>
        <b/>
        <sz val="10.5"/>
        <color theme="1"/>
        <rFont val="Calibri"/>
        <charset val="134"/>
        <scheme val="minor"/>
      </rPr>
      <t>DIFFERENT</t>
    </r>
    <r>
      <rPr>
        <sz val="10.5"/>
        <color theme="1"/>
        <rFont val="Calibri"/>
        <charset val="134"/>
        <scheme val="minor"/>
      </rPr>
      <t xml:space="preserve">  'compute blade'. For example 7 CSCF would be required to be deployed on 7 blades.</t>
    </r>
  </si>
  <si>
    <t>AMS</t>
  </si>
  <si>
    <r>
      <rPr>
        <sz val="10.5"/>
        <color rgb="FF000000"/>
        <rFont val="Calibri"/>
        <charset val="134"/>
        <scheme val="minor"/>
      </rPr>
      <t xml:space="preserve">This setting is used to explain the scenario where the the VM of </t>
    </r>
    <r>
      <rPr>
        <b/>
        <sz val="10.5"/>
        <color rgb="FF000000"/>
        <rFont val="Calibri"/>
        <charset val="134"/>
        <scheme val="minor"/>
      </rPr>
      <t>SAME</t>
    </r>
    <r>
      <rPr>
        <sz val="10.5"/>
        <color rgb="FF000000"/>
        <rFont val="Calibri"/>
        <charset val="134"/>
        <scheme val="minor"/>
      </rPr>
      <t xml:space="preserve"> type name, within an instance,  can be located on a </t>
    </r>
    <r>
      <rPr>
        <b/>
        <sz val="10.5"/>
        <color rgb="FF000000"/>
        <rFont val="Calibri"/>
        <charset val="134"/>
        <scheme val="minor"/>
      </rPr>
      <t>minimum of 2</t>
    </r>
    <r>
      <rPr>
        <sz val="10.5"/>
        <color rgb="FF000000"/>
        <rFont val="Calibri"/>
        <charset val="134"/>
        <scheme val="minor"/>
      </rPr>
      <t xml:space="preserve"> 'compute blade' in a 'master slave' configuration</t>
    </r>
  </si>
  <si>
    <r>
      <rPr>
        <b/>
        <sz val="10.5"/>
        <color theme="1"/>
        <rFont val="Calibri"/>
        <charset val="134"/>
        <scheme val="minor"/>
      </rPr>
      <t>INTER</t>
    </r>
    <r>
      <rPr>
        <sz val="10.5"/>
        <color theme="1"/>
        <rFont val="Calibri"/>
        <charset val="134"/>
        <scheme val="minor"/>
      </rPr>
      <t xml:space="preserve"> VNF Affinity</t>
    </r>
  </si>
  <si>
    <r>
      <rPr>
        <sz val="10.5"/>
        <color theme="1"/>
        <rFont val="Calibri"/>
        <charset val="134"/>
        <scheme val="minor"/>
      </rPr>
      <t xml:space="preserve">This setting is used to explain the scenario where all VM of </t>
    </r>
    <r>
      <rPr>
        <b/>
        <sz val="10.5"/>
        <color theme="1"/>
        <rFont val="Calibri"/>
        <charset val="134"/>
        <scheme val="minor"/>
      </rPr>
      <t>DIFFERENT</t>
    </r>
    <r>
      <rPr>
        <sz val="10.5"/>
        <color theme="1"/>
        <rFont val="Calibri"/>
        <charset val="134"/>
        <scheme val="minor"/>
      </rPr>
      <t xml:space="preserve"> type name (on a multiple rows) , are required to be placed on </t>
    </r>
    <r>
      <rPr>
        <b/>
        <sz val="10.5"/>
        <color theme="1"/>
        <rFont val="Calibri"/>
        <charset val="134"/>
        <scheme val="minor"/>
      </rPr>
      <t>SAME</t>
    </r>
    <r>
      <rPr>
        <sz val="10.5"/>
        <color theme="1"/>
        <rFont val="Calibri"/>
        <charset val="134"/>
        <scheme val="minor"/>
      </rPr>
      <t xml:space="preserve">  'compute blade'. For example an MTAS</t>
    </r>
    <r>
      <rPr>
        <b/>
        <sz val="10.5"/>
        <color theme="1"/>
        <rFont val="Calibri"/>
        <charset val="134"/>
        <scheme val="minor"/>
      </rPr>
      <t xml:space="preserve"> MUST </t>
    </r>
    <r>
      <rPr>
        <sz val="10.5"/>
        <color theme="1"/>
        <rFont val="Calibri"/>
        <charset val="134"/>
        <scheme val="minor"/>
      </rPr>
      <t>be located on same blade as CSCF)</t>
    </r>
  </si>
  <si>
    <r>
      <rPr>
        <sz val="10.5"/>
        <color theme="1"/>
        <rFont val="Calibri"/>
        <charset val="134"/>
        <scheme val="minor"/>
      </rPr>
      <t xml:space="preserve">This setting is used to explain the scenario where all VM of </t>
    </r>
    <r>
      <rPr>
        <b/>
        <sz val="10.5"/>
        <color theme="1"/>
        <rFont val="Calibri"/>
        <charset val="134"/>
        <scheme val="minor"/>
      </rPr>
      <t>DIFFERENT</t>
    </r>
    <r>
      <rPr>
        <sz val="10.5"/>
        <color theme="1"/>
        <rFont val="Calibri"/>
        <charset val="134"/>
        <scheme val="minor"/>
      </rPr>
      <t xml:space="preserve"> type name (on a multiple rows) , are required to be placed on </t>
    </r>
    <r>
      <rPr>
        <b/>
        <sz val="10.5"/>
        <color theme="1"/>
        <rFont val="Calibri"/>
        <charset val="134"/>
        <scheme val="minor"/>
      </rPr>
      <t>DIFFERENT</t>
    </r>
    <r>
      <rPr>
        <sz val="10.5"/>
        <color theme="1"/>
        <rFont val="Calibri"/>
        <charset val="134"/>
        <scheme val="minor"/>
      </rPr>
      <t xml:space="preserve">  'compute blade'. For example an MTAS </t>
    </r>
    <r>
      <rPr>
        <b/>
        <sz val="10.5"/>
        <color theme="1"/>
        <rFont val="Calibri"/>
        <charset val="134"/>
        <scheme val="minor"/>
      </rPr>
      <t>MUST NOT</t>
    </r>
    <r>
      <rPr>
        <sz val="10.5"/>
        <color theme="1"/>
        <rFont val="Calibri"/>
        <charset val="134"/>
        <scheme val="minor"/>
      </rPr>
      <t xml:space="preserve"> be located on same blade as CSCF)</t>
    </r>
  </si>
  <si>
    <t>Template-Site_vBOM_Mar_18</t>
  </si>
  <si>
    <t>NOTE:</t>
  </si>
  <si>
    <t xml:space="preserve">
Current NVI CPU architecture is based on: 
- existent VNF instances rely on Skylake processors NVI CPU architecture is based on the 2698v4 Intel CPU . Or 6148 (Skylake), which provides (using standard dimensioning rules) 2 Sockets x 16 PCPU 
- New VNF instances will be on Synergy Cascade 2.7 GHz , which provides (using standard dimensioning rules) 2 Sockets x 22 PCPU and 460 gb usable RAM.</t>
  </si>
  <si>
    <t>NOTE 2:</t>
  </si>
  <si>
    <t xml:space="preserve"> Due to Vcloud/Operation limitations in some circumstance,   VNF Instance should be sized to not require more than 40-50 blades resource. For example an instance must not have anti-affinity rules for more than 50 VM. This can ensure VNF can 'fit' within 1 VMWware compute cluster. </t>
  </si>
  <si>
    <t>NOTE 3:</t>
  </si>
  <si>
    <t>Vodafone assumption is that when providing VNF requirements the VNF vendor is already considering the Spectre/Meltdown impact</t>
  </si>
  <si>
    <t>Note 4</t>
  </si>
  <si>
    <t>Information on RX/TX thread setting can be found here</t>
  </si>
  <si>
    <t>https://docs.vmware.com/en/VMware-vCloud-NFV/2.0/vmware-tuning-vcloud-nfv-for-data-plane-intensive-workloads.pdf</t>
  </si>
  <si>
    <t>Note 5</t>
  </si>
  <si>
    <t>VM setting sheet to be filled in for  each VM of each VNF in scope (signaling, media, data plane or what ever else)</t>
  </si>
  <si>
    <t xml:space="preserve">NOTE 6: </t>
  </si>
  <si>
    <t xml:space="preserve">VINO dimension based on 1 to 1 VCPU to PCPU basis. </t>
  </si>
  <si>
    <t>Note:7</t>
  </si>
  <si>
    <t>NUMA flag will not be considered for signalling VMs.</t>
  </si>
  <si>
    <t>Note 8:</t>
  </si>
  <si>
    <t xml:space="preserve">Management VNFs shall be filled in Management Tab:Signalling VNFs shall be filled in Signalling tab; Media VNFs in Media Tab and Dataplane VNFs in Data tabs respectively. </t>
  </si>
  <si>
    <t>Version</t>
  </si>
  <si>
    <t>Updates</t>
  </si>
  <si>
    <t xml:space="preserve">1) "Request Type" Column 1 added
2) "Site" Column 4 Added
3) "NSX-T" Column 5 Added
4) Tabs for NSX-t Deleted and now only 4 tabs kept
5) Instruction updated
</t>
  </si>
  <si>
    <t>Infra assumptions added</t>
  </si>
  <si>
    <t>VNF Sizing, Capacity and Performance</t>
  </si>
  <si>
    <t xml:space="preserve">Requirements in this section have been defined in order to understand supported capacities and performance of the VNF in relation to its sizing and scalability. Furthermore, limitations have to be understood impacting scalability and maximum capacities.
The focus is on the HW independent scaling of VMs. But for benchmarking purposes a HW configuration has been defined in detail in order to get a better understanding what a particular VNF running on a particular HW can deliver in terms of capacity and performance.
</t>
  </si>
  <si>
    <t>Date</t>
  </si>
  <si>
    <t>Changes</t>
  </si>
  <si>
    <t>Comments</t>
  </si>
  <si>
    <t>Rev A</t>
  </si>
  <si>
    <t>Initial revision</t>
  </si>
  <si>
    <t>Rev B</t>
  </si>
  <si>
    <t>I-SBG SC VM storage changed to 500GB as requested by Vodafone.
Rx/Tx vCPU column set to empty (i.e. N/A) for signalling VNFs.</t>
  </si>
  <si>
    <t>Rev C</t>
  </si>
  <si>
    <t>Updated in line with the Vodafone UK deployment plan changes shared for the 1st March submission.</t>
  </si>
  <si>
    <t>Rev D</t>
  </si>
  <si>
    <t>Updated in line with the Vodafone UK deployment plan changes shared for the 19th March submission.</t>
  </si>
  <si>
    <t>Rev E</t>
  </si>
  <si>
    <t>USSI-GW added.</t>
  </si>
  <si>
    <t>Rev F</t>
  </si>
  <si>
    <t>Updated to reflect new deployment plan shared by Vodafone on the 21/04.
Updated in line with Q&amp;A comments #20 and #151.</t>
  </si>
  <si>
    <t>Rev G</t>
  </si>
  <si>
    <t>Updated to reflect new deployment plan shared by Vodafone on the 10/05.
Updated in line with Q&amp;A comment #150.</t>
  </si>
  <si>
    <t>Rev H</t>
  </si>
  <si>
    <t>vMSC-S blade volumes and capacity statement updated to reflect new dimensioning exercise.
xMS vMSC-S moved to xLD.
vMRF RAM increased from 6GB to 8GB in line with PDU recommendation.</t>
  </si>
  <si>
    <t>Rev I</t>
  </si>
  <si>
    <t>vMSC-S APG VM updated to 14 vCPU as recommended during troubleshooting.</t>
  </si>
  <si>
    <t>Rev J</t>
  </si>
  <si>
    <t>Updated to align with the S2R replanning CR from Vodafone UK (CR ID not yet available).
- Removal of Fixed CSCF and inclusion of fixed traffic on VoLTE CSCF.
- Introduction of vIMS at xGR and xBK.
- Move of ENUM-FE introduction to FY24/25.
- Move of cDRA and cDA introduction to FY23/24 (impacts vDRA and vDA PL VM volumes).</t>
  </si>
  <si>
    <t>Rev K</t>
  </si>
  <si>
    <t>New tab "External server for CCDM CA" added to provide details of the external server required for the CCDM snapshot CA.
Added 3rd DRA, 3rd DEA and 3rd DA in Production, and 3rd DRA/DEA in PTH in line with CR038.
Updated PTH HSS-FE and Production HSS-FE to align with CR036.
Monolithic IPWorks updated to reflect sizing change to support 48M ENUM records.
Deployment of ENUM-FE brought forwards to FY23/24 in line with recent request.</t>
  </si>
  <si>
    <t>Changes since Rev J are highlighted in yellow.</t>
  </si>
  <si>
    <t>Rev L</t>
  </si>
  <si>
    <t xml:space="preserve">Updated to consider new dimensioning inputs provided by Vodafone ("UK_Traffic_Dimensioning_Details_FY24_Q1 v10").
USSI-GW removed as it was optional in S2R and was not taken up.
NOTE: vDSC dimensioning based on E5-2698v4 as requested by Vodafone.
NOTE: vHSS-FE dimensioning based on Skylake 6148 as per the deployment.
Added 3rd DA in PTH in line with CR051.
Moved MSC-S from signalling cluster tabs to dedicated MSC cluster tabs to reflect the deployment.
Moved A-SBG and I-SBG from signalling cluster to media cluster to reflect the deployment.
Added staging VNFs for A-SBG, A-BGF, I-SBG, I-BGF, CSCF, MTAS, MRF, AFG, DA, DEA, DRA as requested.
"External server for CCDM CA" tab updated to include requirements due to massive search. </t>
  </si>
  <si>
    <t>Rev M</t>
  </si>
  <si>
    <t>ENUM-FE in production changed from 3 PL VMs per VNF to 2 PL VMs per VNF.
Loadability table added on Capacity Statement tab.
I-SBG updated in line with new dimensioning principles.
vDSC moved from xLD to xEH.
vMSC-S moved from xOM to xBK.
NeLS SC VM storage increased from 100GB to 200GB in line with PDU recommendation.</t>
  </si>
  <si>
    <t>Rev N</t>
  </si>
  <si>
    <t>vDSC PL VM RAM increased from 24GB to 32GB in line with PDU recommendation.</t>
  </si>
  <si>
    <t>Rev O</t>
  </si>
  <si>
    <t>Alignment with template version 2.7.1.</t>
  </si>
  <si>
    <t>Rev P</t>
  </si>
  <si>
    <t xml:space="preserve">Updated in line with S2R dimensioning exercise.
New VM flavours added.
VNF instances deployed on Skylake removed.
Unnecessary staging instances removed.
DSC updated to align with vBoM requested by Ervis.
2 x HSS-FE added at xGL.
</t>
  </si>
  <si>
    <t>MSC</t>
  </si>
  <si>
    <t>Parameter</t>
  </si>
  <si>
    <t>Vendor Requested setting</t>
  </si>
  <si>
    <t>Vendor explanation</t>
  </si>
  <si>
    <t>Virtual NIC Type</t>
  </si>
  <si>
    <t>VMXNET3</t>
  </si>
  <si>
    <t>DPDK PMD</t>
  </si>
  <si>
    <t>Yes</t>
  </si>
  <si>
    <r>
      <rPr>
        <sz val="12"/>
        <color rgb="FF000000"/>
        <rFont val="Calibri"/>
        <charset val="134"/>
        <scheme val="minor"/>
      </rPr>
      <t xml:space="preserve">Number of vCPUs.
</t>
    </r>
    <r>
      <rPr>
        <sz val="12"/>
        <color rgb="FFFF0000"/>
        <rFont val="Calibri"/>
        <charset val="134"/>
        <scheme val="minor"/>
      </rPr>
      <t>Please report the number ov the vCPU per VM  + explicitly state the  RX and TX Threads core requirements if appropriate (e.g. 10 + 2 + 2)</t>
    </r>
  </si>
  <si>
    <t>APG: 14
MSC: 2
IPLB: 6
SPX: 4</t>
  </si>
  <si>
    <t>RX/TX threads not applicable</t>
  </si>
  <si>
    <t>specific NUMA nodes</t>
  </si>
  <si>
    <t>No</t>
  </si>
  <si>
    <t>Hardware version</t>
  </si>
  <si>
    <t>11,13</t>
  </si>
  <si>
    <t>Virtual CPU shares</t>
  </si>
  <si>
    <t>Normal</t>
  </si>
  <si>
    <t>Virtual CPU reservation</t>
  </si>
  <si>
    <t>Virtual CPU Limit</t>
  </si>
  <si>
    <t>Unlimited</t>
  </si>
  <si>
    <t>Overcommitting CPU is not allowed. CPU allocation ratio must be 1:1.
Note: In VMware-based NFVI, this is achieved either:
1) by using the allocation model "Reservation Pool" for the Organization Virtual Datacenter on which the VNF is deployed
or
2) by using the allocation model "Flex" for the Organization Virtual Datacenter on which the VNF is deployed, defining Organization Virtual Datacenter (VDC) sizing policies with CPU reservation guarantee of 100% and CPU limit set to "Unlimited" and assigning them to the VMs.</t>
  </si>
  <si>
    <t>Memory Shares</t>
  </si>
  <si>
    <t>High</t>
  </si>
  <si>
    <t>Memory reservation</t>
  </si>
  <si>
    <t>Memory limit</t>
  </si>
  <si>
    <t>Overcommitting memory must not be used for VMs hosting the VNF. RAM allocation ratio must be 1:1.
In VMware-based NFVI, this is achieved either:
1) by using the allocation model "Reservation Pool" for the Organization Virtual Datacenter on which the VNF is deployed
or
2) by using the allocation model "Flex" for the Organization Virtual Datacenter on which the VNF is deployed, defining Organization Virtual Datacenter sizing policies with Memory reservation guarantee of 100% and Memory limit set to "Unlimited" and assigning them to the VMs.</t>
  </si>
  <si>
    <t>sched.cpu.latencySensitivity</t>
  </si>
  <si>
    <t>vCPUs used by MSC, SPX and IPLB VMs must be configured for low-latency. This is achieved by setting the "Latency sensitivity" option to value "High".</t>
  </si>
  <si>
    <t>ethernetX.ctxPerDev</t>
  </si>
  <si>
    <t>sched.cpu.latencySensitivity.sysContexts</t>
  </si>
  <si>
    <t>N/A</t>
  </si>
  <si>
    <t>Disable/enable virtual interrupt coalescing</t>
  </si>
  <si>
    <t>Disabled</t>
  </si>
  <si>
    <t>Automatically disable if sched.cpu.latencySensitivity=High</t>
  </si>
  <si>
    <t>Disable/enable Large Receive Offload (LRO)</t>
  </si>
  <si>
    <t>CSCF, MTAS, DSC</t>
  </si>
  <si>
    <t>&gt; = 85% Physical CPU clock speed</t>
  </si>
  <si>
    <t>n/a</t>
  </si>
  <si>
    <t>SBG</t>
  </si>
  <si>
    <t>BGF</t>
  </si>
  <si>
    <t>The 3 vNICs used for media should be set to "1"</t>
  </si>
  <si>
    <t>Recommended future-proof setting. Default Rx/Tx thread will also work with current traffic model including high percentage of transcoding.</t>
  </si>
  <si>
    <t>MRF</t>
  </si>
  <si>
    <t>The vNIC used for media should be set to "1"</t>
  </si>
  <si>
    <t>TP VM</t>
  </si>
  <si>
    <t>SC VM</t>
  </si>
  <si>
    <t>Per VM type configuration</t>
  </si>
  <si>
    <t>- VM vNIC Ethernet adapter types: ◦KVM: VirtIO; VMware ESXi: vmxnet3.
- Minimum number of vNICs per VM: 3 per VR VM (optional); 3 per TP VM; 3 for SC1 VM and 3 for SC2 VM.
-  Number of vNICs for the smallest the Virtual SAPC cluster configuration: 12 (24 with VR VM).
- L2 virtual networks must be supported.
- The cloud infrastructure must provide physical Ethernet link redundancy for each vNIC.
- Recommended maximum link failover time in the cloud infrastructure: 0.5 seconds.</t>
  </si>
  <si>
    <t>Being a control plane application, the Virtual SAPC is not a performance critical telecommunications application. Then it does not require Single Root Input/Output Virtualization (SR-IOV), Data Plane Development Kit (DPDK) or similar utilities.</t>
  </si>
  <si>
    <r>
      <rPr>
        <sz val="12"/>
        <color rgb="FF000000"/>
        <rFont val="Calibri"/>
        <charset val="134"/>
        <scheme val="minor"/>
      </rPr>
      <t xml:space="preserve">Number of vCPUs.
</t>
    </r>
    <r>
      <rPr>
        <sz val="12"/>
        <color rgb="FFFF0000"/>
        <rFont val="Calibri"/>
        <charset val="134"/>
        <scheme val="minor"/>
      </rPr>
      <t>INCLUDING RX/TX Thread core requirements if appropriate</t>
    </r>
  </si>
  <si>
    <t xml:space="preserve">The Virtual SAPC is not Non-Uniform Memory Access (NUMA) aware. Therefore it is not recommended to define VMs whose size may imply the VM is deployed in more than one NUMA cell.
The use of VM with vCPU belonging to more than one NUMA cell may still be possible. The expectation is that if the NUMA exposure feature is used, linear vertical scalability may be kept even though spreading the VMs among two NUMA cells. Although, this deployment has not been verified. </t>
  </si>
  <si>
    <t>N/A. SAPC 1 VNF is HW-agnostic</t>
  </si>
  <si>
    <t xml:space="preserve">
- The default and minimal value is 2 vCPUs.
- The maximal value is 20 vCPUs.</t>
  </si>
  <si>
    <t xml:space="preserve">
- The default and minimal value is 2 vCPUs.</t>
  </si>
  <si>
    <t xml:space="preserve">
The default and minimal value is 10240MB.</t>
  </si>
  <si>
    <t xml:space="preserve">
The default and minimal value is 6144MB .</t>
  </si>
  <si>
    <t>No specific requirement.
The cloud infrastructure must not overcommit CPU, memory, or disk resources.</t>
  </si>
  <si>
    <r>
      <rPr>
        <sz val="16"/>
        <color rgb="FFE60000"/>
        <rFont val="Vodafone Rg"/>
        <charset val="134"/>
      </rPr>
      <t xml:space="preserve">vBOM </t>
    </r>
    <r>
      <rPr>
        <sz val="12"/>
        <color rgb="FFE60000"/>
        <rFont val="Vodafone Rg"/>
        <charset val="134"/>
      </rPr>
      <t>Template</t>
    </r>
  </si>
  <si>
    <t>MS(1)</t>
  </si>
  <si>
    <t>FY 24/25</t>
  </si>
  <si>
    <t>Site Name</t>
  </si>
  <si>
    <t xml:space="preserve">VM Workload type </t>
  </si>
  <si>
    <t>NUMA
(Accepted Vlaues: TRUE, FALSE, empty cell)</t>
  </si>
  <si>
    <t>Socket
(Wil only consider if NUMA is TRUE)</t>
  </si>
  <si>
    <t>Number of
 vCPU per VM</t>
  </si>
  <si>
    <t>External server for CCDM Snapshot and Massive Search CA – Lab</t>
  </si>
  <si>
    <t>CPU Request (vCPU)</t>
  </si>
  <si>
    <t>Memory Request</t>
  </si>
  <si>
    <t>Storage Request</t>
  </si>
  <si>
    <t>20GB</t>
  </si>
  <si>
    <t>External server for CCDM Snapshot and Massive Search CA – Production</t>
  </si>
  <si>
    <t>FY22/23</t>
  </si>
  <si>
    <t>64GB</t>
  </si>
  <si>
    <t>200GB</t>
  </si>
  <si>
    <t>FY23/24</t>
  </si>
  <si>
    <t>128GB</t>
  </si>
  <si>
    <t>512GB</t>
  </si>
  <si>
    <t>FY24/25</t>
  </si>
  <si>
    <t>256GB</t>
  </si>
  <si>
    <t>2TB</t>
  </si>
  <si>
    <t>Instructions</t>
  </si>
  <si>
    <t>Here below you can find a list of pre-5G NW functions object of this evaluation and for each one a list of KPIs for capacity statements</t>
  </si>
  <si>
    <t>For 5G network functions (e.g. UDM/UDR, 5G Signalling), the Vendor shall provide the capacity parameters that matters for each specific application</t>
  </si>
  <si>
    <t>Those in bold MUST be included by the vendor in the "Capacity statements" sheets, those not in bold are optional and the vendor is free to either provide them or provide alternative ones or nothing</t>
  </si>
  <si>
    <t>The vendor shall provide these KPIs at the % level of utilization of an active VM's processing resources that is indicated in the deployment models of each VNF for each OpCo (as described in the OpCo's FSD document)</t>
  </si>
  <si>
    <t>The vendor shall also state any other limiting KPI that could represent a bottleneck for each VNF/VMs in terms of dimensioning</t>
  </si>
  <si>
    <t>VNF</t>
  </si>
  <si>
    <t>KPIs</t>
  </si>
  <si>
    <t>A-SBC (focused on a VoLTE IMS traffic model)</t>
  </si>
  <si>
    <r>
      <rPr>
        <b/>
        <sz val="11"/>
        <color theme="1"/>
        <rFont val="Calibri"/>
        <charset val="134"/>
        <scheme val="minor"/>
      </rPr>
      <t>Max number of concurrent sessions</t>
    </r>
    <r>
      <rPr>
        <sz val="11"/>
        <rFont val="Calibri"/>
        <charset val="134"/>
        <scheme val="minor"/>
      </rPr>
      <t xml:space="preserve">; max number of SIP messages per second; </t>
    </r>
    <r>
      <rPr>
        <b/>
        <sz val="11"/>
        <color theme="1"/>
        <rFont val="Calibri"/>
        <charset val="134"/>
        <scheme val="minor"/>
      </rPr>
      <t>max number of concurrently registered subscribers</t>
    </r>
    <r>
      <rPr>
        <sz val="11"/>
        <rFont val="Calibri"/>
        <charset val="134"/>
        <scheme val="minor"/>
      </rPr>
      <t xml:space="preserve">; max number of Successfully Established Sessions in BH (SESBH); </t>
    </r>
    <r>
      <rPr>
        <b/>
        <sz val="11"/>
        <rFont val="Calibri"/>
        <charset val="134"/>
        <scheme val="minor"/>
      </rPr>
      <t>max number of Session Attempts in BH</t>
    </r>
    <r>
      <rPr>
        <sz val="11"/>
        <rFont val="Calibri"/>
        <charset val="134"/>
        <scheme val="minor"/>
      </rPr>
      <t xml:space="preserve">;  </t>
    </r>
    <r>
      <rPr>
        <b/>
        <sz val="11"/>
        <rFont val="Calibri"/>
        <charset val="134"/>
        <scheme val="minor"/>
      </rPr>
      <t>max number of SIP messages per second</t>
    </r>
    <r>
      <rPr>
        <sz val="11"/>
        <rFont val="Calibri"/>
        <charset val="134"/>
        <scheme val="minor"/>
      </rPr>
      <t xml:space="preserve"> (Initial Registration, DeRegistration, Re-Registration detail, SIP MESSAGE, etc)
</t>
    </r>
  </si>
  <si>
    <t>I-SBC</t>
  </si>
  <si>
    <r>
      <rPr>
        <b/>
        <sz val="11"/>
        <color theme="1"/>
        <rFont val="Calibri"/>
        <charset val="134"/>
        <scheme val="minor"/>
      </rPr>
      <t>Max number of concurrent sessions</t>
    </r>
    <r>
      <rPr>
        <sz val="11"/>
        <rFont val="Calibri"/>
        <charset val="134"/>
        <scheme val="minor"/>
      </rPr>
      <t xml:space="preserve">; max number of SIP messages per second; max number of Successfully Established Sessions in BH (SESBH); </t>
    </r>
    <r>
      <rPr>
        <b/>
        <sz val="11"/>
        <rFont val="Calibri"/>
        <charset val="134"/>
        <scheme val="minor"/>
      </rPr>
      <t xml:space="preserve">max number of Session Attempts in BH  </t>
    </r>
    <r>
      <rPr>
        <sz val="11"/>
        <rFont val="Calibri"/>
        <charset val="134"/>
        <scheme val="minor"/>
      </rPr>
      <t xml:space="preserve">
</t>
    </r>
  </si>
  <si>
    <t>I/S-CSCF</t>
  </si>
  <si>
    <r>
      <rPr>
        <b/>
        <sz val="11"/>
        <color theme="1"/>
        <rFont val="Calibri"/>
        <charset val="134"/>
        <scheme val="minor"/>
      </rPr>
      <t>Max number of concurrently registered subscribers</t>
    </r>
    <r>
      <rPr>
        <sz val="11"/>
        <color theme="1"/>
        <rFont val="Calibri"/>
        <charset val="134"/>
        <scheme val="minor"/>
      </rPr>
      <t xml:space="preserve">; </t>
    </r>
    <r>
      <rPr>
        <b/>
        <sz val="11"/>
        <color theme="1"/>
        <rFont val="Calibri"/>
        <charset val="134"/>
        <scheme val="minor"/>
      </rPr>
      <t>max number of concurrently unregistered subscribers (business)</t>
    </r>
    <r>
      <rPr>
        <sz val="11"/>
        <color theme="1"/>
        <rFont val="Calibri"/>
        <charset val="134"/>
        <scheme val="minor"/>
      </rPr>
      <t xml:space="preserve">; max number of Successfully Established Sessions in BH (SESBH); </t>
    </r>
    <r>
      <rPr>
        <b/>
        <sz val="11"/>
        <color theme="1"/>
        <rFont val="Calibri"/>
        <charset val="134"/>
        <scheme val="minor"/>
      </rPr>
      <t xml:space="preserve">max number of Session Attempts in BH; max number of concurrent sessions; max number of SIP messages per second </t>
    </r>
    <r>
      <rPr>
        <sz val="11"/>
        <color theme="1"/>
        <rFont val="Calibri"/>
        <charset val="134"/>
        <scheme val="minor"/>
      </rPr>
      <t>(overall considering all types of messages, but also per type of message including initial registration, de-registration, re-registration, SIP MESSAGE, etc.)</t>
    </r>
  </si>
  <si>
    <t>DNS/ENUM</t>
  </si>
  <si>
    <r>
      <rPr>
        <b/>
        <sz val="11"/>
        <color theme="1"/>
        <rFont val="Calibri"/>
        <charset val="134"/>
        <scheme val="minor"/>
      </rPr>
      <t>Max number of provisioned subscribers</t>
    </r>
    <r>
      <rPr>
        <sz val="11"/>
        <rFont val="Calibri"/>
        <charset val="134"/>
        <scheme val="minor"/>
      </rPr>
      <t xml:space="preserve">; </t>
    </r>
    <r>
      <rPr>
        <b/>
        <sz val="11"/>
        <rFont val="Calibri"/>
        <charset val="134"/>
        <scheme val="minor"/>
      </rPr>
      <t xml:space="preserve">max number of </t>
    </r>
    <r>
      <rPr>
        <b/>
        <sz val="11"/>
        <color theme="1"/>
        <rFont val="Calibri"/>
        <charset val="134"/>
        <scheme val="minor"/>
      </rPr>
      <t xml:space="preserve">transactions per second
</t>
    </r>
  </si>
  <si>
    <t>TAS</t>
  </si>
  <si>
    <r>
      <rPr>
        <b/>
        <sz val="11"/>
        <rFont val="Calibri"/>
        <charset val="134"/>
        <scheme val="minor"/>
      </rPr>
      <t>Max number of concurrent sessions</t>
    </r>
    <r>
      <rPr>
        <sz val="11"/>
        <rFont val="Calibri"/>
        <charset val="134"/>
        <scheme val="minor"/>
      </rPr>
      <t xml:space="preserve">; max number of SIP messages per second; </t>
    </r>
    <r>
      <rPr>
        <b/>
        <sz val="11"/>
        <color theme="1"/>
        <rFont val="Calibri"/>
        <charset val="134"/>
        <scheme val="minor"/>
      </rPr>
      <t>max number of concurrently registered subscribers</t>
    </r>
    <r>
      <rPr>
        <sz val="11"/>
        <rFont val="Calibri"/>
        <charset val="134"/>
        <scheme val="minor"/>
      </rPr>
      <t xml:space="preserve">; max number of Successfully Established Sessions in BH (SESBH); </t>
    </r>
    <r>
      <rPr>
        <b/>
        <sz val="11"/>
        <color theme="1"/>
        <rFont val="Calibri"/>
        <charset val="134"/>
        <scheme val="minor"/>
      </rPr>
      <t xml:space="preserve">max number of Session Attempts in BH; max number of registration attempts per second; max number of CS-&gt;IMS re-routing events </t>
    </r>
    <r>
      <rPr>
        <sz val="11"/>
        <color theme="1"/>
        <rFont val="Calibri"/>
        <charset val="134"/>
        <scheme val="minor"/>
      </rPr>
      <t>(for originating or terminating calls, where the call is rerouted to IMS using a CAMEL service provided by SCC-AS)</t>
    </r>
    <r>
      <rPr>
        <b/>
        <sz val="11"/>
        <color theme="1"/>
        <rFont val="Calibri"/>
        <charset val="134"/>
        <scheme val="minor"/>
      </rPr>
      <t xml:space="preserve"> per second; max number of announcements per second; max number of IN triggers per second; max number of Web Extensions API transactions per second</t>
    </r>
    <r>
      <rPr>
        <sz val="11"/>
        <rFont val="Calibri"/>
        <charset val="134"/>
        <scheme val="minor"/>
      </rPr>
      <t xml:space="preserve">
</t>
    </r>
  </si>
  <si>
    <t>PCRF</t>
  </si>
  <si>
    <r>
      <rPr>
        <b/>
        <sz val="11"/>
        <color theme="1"/>
        <rFont val="Calibri"/>
        <charset val="134"/>
        <scheme val="minor"/>
      </rPr>
      <t xml:space="preserve">Max number of transactions </t>
    </r>
    <r>
      <rPr>
        <sz val="11"/>
        <color theme="1"/>
        <rFont val="Calibri"/>
        <charset val="134"/>
        <scheme val="minor"/>
      </rPr>
      <t xml:space="preserve">(1 transaction = 1 message one way + 1 message the opposite way) </t>
    </r>
    <r>
      <rPr>
        <b/>
        <sz val="11"/>
        <color theme="1"/>
        <rFont val="Calibri"/>
        <charset val="134"/>
        <scheme val="minor"/>
      </rPr>
      <t xml:space="preserve">per second </t>
    </r>
    <r>
      <rPr>
        <sz val="11"/>
        <color theme="1"/>
        <rFont val="Calibri"/>
        <charset val="134"/>
        <scheme val="minor"/>
      </rPr>
      <t>on each of the Gx, Rx, Sy, Sd interfaces</t>
    </r>
    <r>
      <rPr>
        <b/>
        <sz val="11"/>
        <color theme="1"/>
        <rFont val="Calibri"/>
        <charset val="134"/>
        <scheme val="minor"/>
      </rPr>
      <t xml:space="preserve">; max number of concurrent sessions </t>
    </r>
    <r>
      <rPr>
        <sz val="11"/>
        <color theme="1"/>
        <rFont val="Calibri"/>
        <charset val="134"/>
        <scheme val="minor"/>
      </rPr>
      <t>on each of the Gx, Rx, Sy, Sd interfaces</t>
    </r>
    <r>
      <rPr>
        <b/>
        <sz val="11"/>
        <color theme="1"/>
        <rFont val="Calibri"/>
        <charset val="134"/>
        <scheme val="minor"/>
      </rPr>
      <t>; max number of SPR provisioned subscribers</t>
    </r>
  </si>
  <si>
    <t>MSC Server</t>
  </si>
  <si>
    <r>
      <rPr>
        <b/>
        <sz val="11"/>
        <rFont val="Calibri"/>
        <charset val="134"/>
        <scheme val="minor"/>
      </rPr>
      <t>Max number of VLR registered subscribers</t>
    </r>
    <r>
      <rPr>
        <sz val="11"/>
        <rFont val="Calibri"/>
        <charset val="134"/>
        <scheme val="minor"/>
      </rPr>
      <t xml:space="preserve">; </t>
    </r>
    <r>
      <rPr>
        <b/>
        <sz val="11"/>
        <rFont val="Calibri"/>
        <charset val="134"/>
        <scheme val="minor"/>
      </rPr>
      <t>max number of BHCA (total); max number simultaneous calls (total); max number of Erlangs (total)</t>
    </r>
  </si>
  <si>
    <t>TSC</t>
  </si>
  <si>
    <t>Max number of BHCA (total); max number of simultaneous calls (total); max number of Erlangs (total)</t>
  </si>
  <si>
    <t>CSDB Front Ends (HSS/HLR/EIR/ENUM/etc.)</t>
  </si>
  <si>
    <t>Max number of Diameter TPS; max number of MAP TPS</t>
  </si>
  <si>
    <t>CSDB Back End</t>
  </si>
  <si>
    <r>
      <rPr>
        <b/>
        <sz val="11"/>
        <color theme="1"/>
        <rFont val="Calibri"/>
        <charset val="134"/>
        <scheme val="minor"/>
      </rPr>
      <t xml:space="preserve">Max number of provisioned subscriber (per application); max number of active subscribers (per application); max number of activated licences per type of subscriber </t>
    </r>
    <r>
      <rPr>
        <sz val="11"/>
        <color theme="1"/>
        <rFont val="Calibri"/>
        <charset val="134"/>
        <scheme val="minor"/>
      </rPr>
      <t xml:space="preserve">(the node shall not have any kind of limitation by licences); </t>
    </r>
    <r>
      <rPr>
        <b/>
        <sz val="11"/>
        <color theme="1"/>
        <rFont val="Calibri"/>
        <charset val="134"/>
        <scheme val="minor"/>
      </rPr>
      <t>max number of TPS</t>
    </r>
    <r>
      <rPr>
        <sz val="11"/>
        <color theme="1"/>
        <rFont val="Calibri"/>
        <charset val="134"/>
        <scheme val="minor"/>
      </rPr>
      <t xml:space="preserve"> (total and per application)</t>
    </r>
  </si>
  <si>
    <t>Provisioning Gateway</t>
  </si>
  <si>
    <r>
      <rPr>
        <b/>
        <sz val="11"/>
        <color theme="1"/>
        <rFont val="Calibri"/>
        <charset val="134"/>
        <scheme val="minor"/>
      </rPr>
      <t xml:space="preserve">Max number of activated licences per type of subscriber </t>
    </r>
    <r>
      <rPr>
        <sz val="11"/>
        <color theme="1"/>
        <rFont val="Calibri"/>
        <charset val="134"/>
        <scheme val="minor"/>
      </rPr>
      <t xml:space="preserve">(the node shall not have any kind of limitation by licences); </t>
    </r>
    <r>
      <rPr>
        <b/>
        <sz val="11"/>
        <color theme="1"/>
        <rFont val="Calibri"/>
        <charset val="134"/>
        <scheme val="minor"/>
      </rPr>
      <t>max number of TPS</t>
    </r>
  </si>
  <si>
    <t>DRA</t>
  </si>
  <si>
    <r>
      <rPr>
        <b/>
        <sz val="11"/>
        <color theme="1"/>
        <rFont val="Calibri"/>
        <charset val="134"/>
        <scheme val="minor"/>
      </rPr>
      <t xml:space="preserve">Max number of Diameter TPS: </t>
    </r>
    <r>
      <rPr>
        <sz val="11"/>
        <color theme="1"/>
        <rFont val="Calibri"/>
        <charset val="134"/>
        <scheme val="minor"/>
      </rPr>
      <t>One Diameter Transaction comprises one Diameter Request message and the appropriate Answer message (in total 4 messages).</t>
    </r>
  </si>
  <si>
    <t>STP/SGW</t>
  </si>
  <si>
    <r>
      <rPr>
        <b/>
        <sz val="11"/>
        <color rgb="FF000000"/>
        <rFont val="Calibri"/>
        <charset val="134"/>
        <scheme val="minor"/>
      </rPr>
      <t>Max number of MSU per second</t>
    </r>
    <r>
      <rPr>
        <sz val="11"/>
        <color rgb="FF000000"/>
        <rFont val="Calibri"/>
        <charset val="134"/>
        <scheme val="minor"/>
      </rPr>
      <t>: 1 MSU = 1MSU transiting via the STP/SGW i.e. 1 MSU entering and 1 MSU exiting after routing</t>
    </r>
  </si>
  <si>
    <t>Ut Proxy</t>
  </si>
  <si>
    <t>Max number of activations/deactivations/interrogations per second; max number of authentications per second</t>
  </si>
  <si>
    <t>Max number of concurrent announcements (voice, video); max number of announcements per second (voice, video)</t>
  </si>
  <si>
    <t>Please replace "parameter X" headings with the correponding KPI defined in the Capacity KPIs TAB for each domain/VNF</t>
  </si>
  <si>
    <t>VM Type</t>
  </si>
  <si>
    <t>Active Subscribers / Registered Sub</t>
  </si>
  <si>
    <t>KIP Sessions</t>
  </si>
  <si>
    <t>BHCA</t>
  </si>
  <si>
    <t>Erlangs/SMMS / Session/sec</t>
  </si>
  <si>
    <t>MSU/SEC</t>
  </si>
  <si>
    <t>TPS</t>
  </si>
  <si>
    <t>MPS</t>
  </si>
  <si>
    <t>DNS/ENUM FE PL</t>
  </si>
  <si>
    <t>3809/5146</t>
  </si>
  <si>
    <t>HSS-FE PL (LTE/IMS)</t>
  </si>
  <si>
    <t>94,746/79,218</t>
  </si>
  <si>
    <t>vMSC-S Blades</t>
  </si>
  <si>
    <t xml:space="preserve">Active subscribers per blade is the total users using the blade (2G +3G + VoLTE + M2M/IoT). </t>
  </si>
  <si>
    <t>SAPC TP ( GX  interface)</t>
  </si>
  <si>
    <t>SAPC TP ( RX  interface)</t>
  </si>
  <si>
    <t>SAPC TP ( all interface)</t>
  </si>
  <si>
    <t>CSCF PL</t>
  </si>
  <si>
    <t>MTAS PL</t>
  </si>
  <si>
    <t>A-SBG PL</t>
  </si>
  <si>
    <t>A-BGF PL</t>
  </si>
  <si>
    <t>MRF PL</t>
  </si>
  <si>
    <t>AFG DDC VM</t>
  </si>
  <si>
    <t>AFG TS VM</t>
  </si>
  <si>
    <t>AFG SLB VM</t>
  </si>
  <si>
    <t>I-SBG PL VM</t>
  </si>
  <si>
    <t>35300 / 295</t>
  </si>
  <si>
    <t>I-BGF PL VM</t>
  </si>
  <si>
    <t>DA PL VM</t>
  </si>
  <si>
    <t>DRA PL VM</t>
  </si>
  <si>
    <t>DEA PL VM</t>
  </si>
  <si>
    <t>NOTE: The capacity statement for a VM is intended at the % level of utilization of an active VM's processing resources that is indicated in the deployment models of each VNF for each OpCo (that is contained in the OpCo's FSD document)</t>
  </si>
  <si>
    <t>Nominal Capacity</t>
  </si>
  <si>
    <t>Capacity Statement</t>
  </si>
  <si>
    <t>Margin</t>
  </si>
  <si>
    <t>CSCF</t>
  </si>
  <si>
    <t>MTAS</t>
  </si>
  <si>
    <t>AFG</t>
  </si>
  <si>
    <t>UPG</t>
  </si>
  <si>
    <t>DSC</t>
  </si>
  <si>
    <t>SAPC</t>
  </si>
  <si>
    <t>HSS-FE</t>
  </si>
  <si>
    <t>Minimum Size VNF instance description-SAPC</t>
  </si>
  <si>
    <t>Number of VMs per type</t>
  </si>
  <si>
    <t>RAM (GB) per VM</t>
  </si>
  <si>
    <t>Storage (GB) per VM</t>
  </si>
  <si>
    <t>SAPC-TP</t>
  </si>
  <si>
    <t>Total</t>
  </si>
  <si>
    <t>VNF capacity &amp; performance-SAPC</t>
  </si>
  <si>
    <t>KIP</t>
  </si>
  <si>
    <t xml:space="preserve">Please write in this row the max capacity values for the minimum size VNF, for each parameter in the columns </t>
  </si>
  <si>
    <t>Unitary Figures per vCPU</t>
  </si>
  <si>
    <t>Unitary Figures per Storage Unit</t>
  </si>
  <si>
    <t>Minimum Size VNF instance description (MSC)</t>
  </si>
  <si>
    <t>APG</t>
  </si>
  <si>
    <t>Blades</t>
  </si>
  <si>
    <t>IPLB</t>
  </si>
  <si>
    <t>SPX</t>
  </si>
  <si>
    <t>VNF capacity &amp; performance</t>
  </si>
  <si>
    <t xml:space="preserve">BHCA per blade is the total BHCA on the blade (2G + 3G + BI/BO + ITC + Backbone BICC). </t>
  </si>
  <si>
    <t>VLR Subscribers</t>
  </si>
  <si>
    <t>Erlang</t>
  </si>
  <si>
    <t xml:space="preserve">Erlangs per blade is the total Erlangs on the blade (2G + 3G + BI/BO + ITC + Backbone BICC). </t>
  </si>
  <si>
    <t>VLR Subs is the total subscribers (2G +3G + VoLTE + M2M/IoT).</t>
  </si>
  <si>
    <t>Minimum Size VNF instance description</t>
  </si>
  <si>
    <t>vENUM-FE_SC</t>
  </si>
  <si>
    <t>vENUM-FE_PL</t>
  </si>
  <si>
    <t>Active Subscribers</t>
  </si>
  <si>
    <t>parameter 2</t>
  </si>
  <si>
    <t>etc.</t>
  </si>
  <si>
    <t>vHSS-FE_SC</t>
  </si>
  <si>
    <t>vHSS-FE_PL</t>
  </si>
  <si>
    <t>LTE Subscribers</t>
  </si>
  <si>
    <t>IMS Subscribers</t>
  </si>
  <si>
    <t>CSCF SC</t>
  </si>
  <si>
    <t xml:space="preserve">Active Subs </t>
  </si>
  <si>
    <t>MTAS SC</t>
  </si>
  <si>
    <t>A-SBG SC</t>
  </si>
  <si>
    <t>SMMS</t>
  </si>
  <si>
    <t>I-SBG SC</t>
  </si>
  <si>
    <t>I-SBG ADC</t>
  </si>
  <si>
    <t>I-SBG PL</t>
  </si>
  <si>
    <t>I-BGF PL</t>
  </si>
  <si>
    <t>Active Subs</t>
  </si>
  <si>
    <t>AFG MN</t>
  </si>
  <si>
    <t>AFG MON</t>
  </si>
  <si>
    <t>AFG TS</t>
  </si>
  <si>
    <t>AFG DDC</t>
  </si>
  <si>
    <t>AFG SLB</t>
  </si>
  <si>
    <t>DSC (DA) SC</t>
  </si>
  <si>
    <t>DSC (DA) PL</t>
  </si>
  <si>
    <t>DSC (DRA) SC</t>
  </si>
  <si>
    <t>DSC (DRA) PL</t>
  </si>
  <si>
    <t>DSC (DEA) SC</t>
  </si>
  <si>
    <t>DSC (DEA) PL</t>
  </si>
  <si>
    <t>Maximum Size VNF instance description-SAPC</t>
  </si>
  <si>
    <t>VM Type n-1</t>
  </si>
  <si>
    <t>VM Type n</t>
  </si>
  <si>
    <t xml:space="preserve">Please write in this row the max capacity values for the maximum size VNF, for each parameter in the columns </t>
  </si>
  <si>
    <t>Unitary figures per vCPU</t>
  </si>
  <si>
    <t>Unitary figures per Storage unit (GB)</t>
  </si>
  <si>
    <t>Maximum Size VNF instance description (MSC)</t>
  </si>
  <si>
    <t>Note that 20 Blades is a theoretical maximum architecture and has not been tested.</t>
  </si>
  <si>
    <t>VLR Subs</t>
  </si>
  <si>
    <t>Maximum Size VNF instance description</t>
  </si>
  <si>
    <t>Active subs</t>
  </si>
  <si>
    <t>DSC(DA) SC</t>
  </si>
  <si>
    <t>DSC(DA) PL</t>
  </si>
  <si>
    <t>DSC(DRA) SC</t>
  </si>
  <si>
    <t>DSC(DRA) PL</t>
  </si>
  <si>
    <t>DSC(DEA) SC</t>
  </si>
  <si>
    <t>DSC(DEA) PL</t>
  </si>
  <si>
    <t>End Of FY1</t>
  </si>
  <si>
    <t>End Of FY2</t>
  </si>
  <si>
    <t>End Of FY3</t>
  </si>
  <si>
    <t>End Of FY4</t>
  </si>
  <si>
    <t>End Of FY5</t>
  </si>
  <si>
    <t>End of FY1</t>
  </si>
  <si>
    <t>Number of sites</t>
  </si>
  <si>
    <t>Number of VNF instances per site</t>
  </si>
  <si>
    <t>Number of VMs per type and per VNF instance (note: please consider all VMs includign those needed to achieve the relevant availability model, e.g. if a certain VM type need 1+1 High Availability and N VMs are needed to handle traffic, please place 2xN here)</t>
  </si>
  <si>
    <t xml:space="preserve">Number of vCPU per VM. Note: 1 vCPU = 1 physical Core @ 85% of the nominal CPU clock provided by the reference HW (in order to have spare CPU clock for the Hypervisor, i.e. 2,2 GHz in case of nominal CPU clock of 2,6 GHz) </t>
  </si>
  <si>
    <t>Storage IOPS per VM</t>
  </si>
  <si>
    <t>Raid 5/
Raid 10</t>
  </si>
  <si>
    <t>North/South VM bandwidth requirement (Mbit/s)</t>
  </si>
  <si>
    <t>East/West VM bandwidth requirement (Mbit/s)</t>
  </si>
  <si>
    <t>Any other requirement per VM?</t>
  </si>
  <si>
    <t>VNF A</t>
  </si>
  <si>
    <t>VM Type1</t>
  </si>
  <si>
    <t>See instuctions for valid values</t>
  </si>
  <si>
    <t>VM Type2</t>
  </si>
  <si>
    <t>VNF B</t>
  </si>
  <si>
    <t>VNF C</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</si>
</sst>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
    <numFmt numFmtId="181" formatCode="#,##0;\(#,##0\)"/>
    <numFmt numFmtId="182" formatCode="_-* #,##0&quot; DM&quot;_-;\-* #,##0&quot; DM&quot;_-;_-* &quot;-&quot;&quot; DM&quot;_-;_-@_-"/>
    <numFmt numFmtId="183" formatCode="_(* #,##0_);_(* \(#,##0\);_(* &quot;- &quot;_);_(@_)"/>
    <numFmt numFmtId="184" formatCode=";;;"/>
    <numFmt numFmtId="185" formatCode="_(* #,##0.00_);_(* \(#,##0.00\);_(* &quot;-&quot;??_);_(@_)"/>
    <numFmt numFmtId="186" formatCode="#,##0_);\(#,##0\);#,##0_);@_)"/>
    <numFmt numFmtId="187" formatCode="_(* #,##0_);_(* \(#,##0\);_(* &quot;-&quot;_);_(@_)"/>
    <numFmt numFmtId="188" formatCode="0.0_)\%;\(0.0\)\%;0.0_)\%;@_)_%"/>
    <numFmt numFmtId="189" formatCode="#,##0.0_)_%;\(#,##0.0\)_%;0.0_)_%;@_)_%"/>
    <numFmt numFmtId="190" formatCode="_-* #,##0.00_-;\-* #,##0.00_-;_-* &quot;-&quot;??_-;_-@_-"/>
    <numFmt numFmtId="191" formatCode="#,##0.0_);\(#,##0.0\)"/>
    <numFmt numFmtId="192" formatCode="#,##0.0_);\(#,##0.0\);#,##0.0_);@_)"/>
    <numFmt numFmtId="193" formatCode="&quot;$&quot;#,##0\);\(&quot;$&quot;#,##0\)"/>
    <numFmt numFmtId="194" formatCode="&quot;$&quot;#,##0_);\(&quot;$&quot;#,##0\)"/>
    <numFmt numFmtId="195" formatCode="&quot;£&quot;_(#,##0.00_);&quot;£&quot;\(#,##0.00\)"/>
    <numFmt numFmtId="196" formatCode="&quot;$&quot;_(#,##0.00_);&quot;$&quot;\(#,##0.00\);&quot;$&quot;_(0.00_);@_)"/>
    <numFmt numFmtId="197" formatCode="0.0_)"/>
    <numFmt numFmtId="198" formatCode="#,##0_ ;\-#,##0\ "/>
    <numFmt numFmtId="199" formatCode="&quot;£ &quot;#,##0.00;\-&quot;£ &quot;#,##0.00"/>
    <numFmt numFmtId="200" formatCode="0.000%"/>
    <numFmt numFmtId="201" formatCode="#,##0.00_);\(#,##0.00\);0.00_);@_)"/>
    <numFmt numFmtId="202" formatCode="#,##0.00_ ;[Red]\-#,##0.00;\-"/>
    <numFmt numFmtId="203" formatCode="&quot;$&quot;#,##0.0_%_);\(&quot;$&quot;#,##0.0\)_%;&quot;$&quot;#,##0.0_%_);@_%_)"/>
    <numFmt numFmtId="204" formatCode="#,##0\ \ "/>
    <numFmt numFmtId="205" formatCode="0;\ \(0\)"/>
    <numFmt numFmtId="206" formatCode="&quot;$&quot;#,##0.0_);\(&quot;$&quot;#,##0.0\)"/>
    <numFmt numFmtId="207" formatCode="&quot;On&quot;;&quot;On&quot;;&quot;Off&quot;"/>
    <numFmt numFmtId="208" formatCode="&quot;$&quot;#,##0.00;[Red]\-&quot;$&quot;#,##0.00"/>
    <numFmt numFmtId="209" formatCode="0.0000000"/>
    <numFmt numFmtId="210" formatCode="0&quot;A&quot;"/>
    <numFmt numFmtId="211" formatCode="0.0%;\(#.#%\)"/>
    <numFmt numFmtId="212" formatCode="0_%_);\(0\)_%;0_%_);@_%_)"/>
    <numFmt numFmtId="213" formatCode="#,##0.0;\ \(#,##0.0\)"/>
    <numFmt numFmtId="214" formatCode="#,##0.0_)\x;\(#,##0.0\)\x"/>
    <numFmt numFmtId="215" formatCode="0.00&quot;x&quot;"/>
    <numFmt numFmtId="216" formatCode="#,##0.0&quot;x&quot;\ ;\(#,##0.0\)&quot;x&quot;"/>
    <numFmt numFmtId="217" formatCode="&quot;$&quot;#,##0.00_);\(&quot;$&quot;#,##0.00\)"/>
    <numFmt numFmtId="218" formatCode="0.00_)"/>
    <numFmt numFmtId="219" formatCode="hh:mm\ AM/PM_)"/>
    <numFmt numFmtId="220" formatCode="#,##0.0_)_x;\(#,##0.0\)_x"/>
    <numFmt numFmtId="221" formatCode="#,##0.0_)"/>
    <numFmt numFmtId="222" formatCode="General_)"/>
    <numFmt numFmtId="223" formatCode="\ "/>
    <numFmt numFmtId="224" formatCode="#,##0\ ;\(#,##0\)"/>
    <numFmt numFmtId="225" formatCode="&quot;£m&quot;\ 0"/>
    <numFmt numFmtId="226" formatCode="#,##0.0_);[Red]\(#,##0.0\)"/>
    <numFmt numFmtId="227" formatCode="#,##0;\(###0\)_)"/>
    <numFmt numFmtId="228" formatCode="#,##0;[Red]\(#,##0\)"/>
    <numFmt numFmtId="229" formatCode="mm/dd/yy"/>
    <numFmt numFmtId="230" formatCode="#,##0.00;\ \(#,##0.00\)"/>
    <numFmt numFmtId="231" formatCode="0.0_)\%;\(0.0\)\%"/>
    <numFmt numFmtId="232" formatCode="&quot;£ &quot;#,##0.00;[Red]\-&quot;£ &quot;#,##0.00"/>
    <numFmt numFmtId="233" formatCode="_(&quot;$&quot;* #,##0_);_(&quot;$&quot;* \(#,##0\);_(&quot;$&quot;* &quot;-&quot;_);_(@_)"/>
    <numFmt numFmtId="234" formatCode="_-* #,##0_-;\-* #,##0_-;_-* &quot;-&quot;_-;_-@_-"/>
    <numFmt numFmtId="235" formatCode="#,##0.0_)_%;\(#,##0.0\)_%"/>
    <numFmt numFmtId="236" formatCode="0.0"/>
    <numFmt numFmtId="237" formatCode="0.0\ \x;\ \(0.0\ \x\)"/>
    <numFmt numFmtId="238" formatCode="#,##0;\(#,##0\);\-"/>
    <numFmt numFmtId="239" formatCode="0.0%_);\(0.0%\)"/>
    <numFmt numFmtId="240" formatCode="#,###,;\-#,###,"/>
    <numFmt numFmtId="241" formatCode="#,##0.0\ ;\(#,##0.0\)"/>
    <numFmt numFmtId="242" formatCode="#,##0.00\ ;\(#,##0.00\)"/>
    <numFmt numFmtId="243" formatCode="_(* #,##0.0_);_(* \(#,##0.0\);_(* &quot;-&quot;??_);_(@_)"/>
    <numFmt numFmtId="244" formatCode="&quot;€&quot;\ #,##0_);[Red]&quot;€&quot;\ \(#,##0\)"/>
    <numFmt numFmtId="245" formatCode="&quot;€&quot;\ #,##0.0,_)\K;[Red]\ &quot;€&quot;\ \(#,##0,\)\K;"/>
    <numFmt numFmtId="246" formatCode="&quot;€&quot;\ #,##0.00_);[Red]&quot;€&quot;\ \(#,##0.00\)"/>
    <numFmt numFmtId="247" formatCode="&quot;€&quot;\ #,##0,\ \K;[Red]&quot;€&quot;\ \(#,##0,\)\ \K;"/>
    <numFmt numFmtId="248" formatCode="m/d/yy"/>
    <numFmt numFmtId="249" formatCode="#,##0.0\x;\(#,##0.0\)"/>
    <numFmt numFmtId="250" formatCode="#,##0.0_);\(#,##0.0\);0.0_);* @_)"/>
    <numFmt numFmtId="251" formatCode="#,##0.00_);\(#,##0.00\);0.00_);* @_)"/>
    <numFmt numFmtId="252" formatCode="#,##0.000_);\(#,##0.000\);0.000_);* @_)"/>
    <numFmt numFmtId="253" formatCode="#,##0.0000_);\(#,##0.0000\);0.0000_);* @_)"/>
    <numFmt numFmtId="254" formatCode="_-* #,##0.0_-;\-\ #,##0.0_-;_-* &quot;-&quot;??_-;@"/>
    <numFmt numFmtId="255" formatCode="_-* #,##0.00_-;\-\ #,##0.00_-;_-* &quot;-&quot;??_-;@"/>
    <numFmt numFmtId="256" formatCode="_-* #,##0.000_-;\-\ #,##0.000_-;_-* &quot;-&quot;??_-;@"/>
    <numFmt numFmtId="257" formatCode="_-&quot;$&quot;* #,##0_-;\(&quot;$&quot;* #,##0\);_-&quot;$&quot;* &quot;-&quot;??_-;@"/>
    <numFmt numFmtId="258" formatCode="_-&quot;$&quot;* #,##0.00_-;\(&quot;$&quot;* #,##0.00\);_-&quot;$&quot;* &quot;-&quot;??_-;@"/>
    <numFmt numFmtId="259" formatCode="d\ mmm\ yyyy"/>
    <numFmt numFmtId="260" formatCode="[hh]:mm"/>
    <numFmt numFmtId="261" formatCode="mmm/yy"/>
    <numFmt numFmtId="262" formatCode="&quot;$&quot;#,##0_%_);\(&quot;$&quot;#,##0\)_%;&quot;$&quot;#,##0_%_);@_%_)"/>
    <numFmt numFmtId="263" formatCode="&quot;$&quot;#,##0.00_%_);\(&quot;$&quot;#,##0.00\)_%;&quot;$&quot;#,##0.00_%_);@_%_)"/>
    <numFmt numFmtId="264" formatCode="[$$]#,##0.0_);\([$$]#,##0.0\);[$$]#,##0.0_);@_)"/>
    <numFmt numFmtId="265" formatCode="#,##0.0\ ;\(#,##0.0\);\ \-\ "/>
    <numFmt numFmtId="266" formatCode="0;\-0;0;* @"/>
    <numFmt numFmtId="267" formatCode="#,##0.00_);[Red]\-#,##0.00_);0.00_);@_)"/>
    <numFmt numFmtId="268" formatCode="#,##0.0;[Red]\(#,##0.0\);\-"/>
    <numFmt numFmtId="269" formatCode="m/d/yy_%_)"/>
    <numFmt numFmtId="270" formatCode="#,##0.0_%_);\(#,##0.0\)_%;#,##0.0_%_);@_%_)"/>
    <numFmt numFmtId="271" formatCode="0_);\(0\);0_)"/>
    <numFmt numFmtId="272" formatCode="_-* #,##0.00\ _€_-;\-* #,##0.00\ _€_-;_-* &quot;-&quot;??\ _€_-;_-@_-"/>
    <numFmt numFmtId="273" formatCode="#,##0.00_-;[Red]\-#,##0.00_-;\ &quot;-          &quot;_-;_-@"/>
    <numFmt numFmtId="274" formatCode="_-* #,##0_ _D_M_-;\-* #,##0_ _D_M_-;_-* &quot;-&quot;_ _D_M_-;_-@_-"/>
    <numFmt numFmtId="275" formatCode="0%;\-0%;0%;* @_%"/>
    <numFmt numFmtId="276" formatCode="0.00%;\-0.00%;0.00%;* @_%"/>
    <numFmt numFmtId="277" formatCode="0.000%;\-0.000%;0.000%;* @_%"/>
    <numFmt numFmtId="278" formatCode="_-* #,##0_-;\(#,##0\);_-* &quot;-&quot;??_-;@"/>
    <numFmt numFmtId="279" formatCode="_-* #,##0.00_-;\(#,##0.00\);_-* &quot;-&quot;??_-;@"/>
    <numFmt numFmtId="280" formatCode="#,##0%;\-\ #,##0%;_-* &quot;-&quot;??_-;@"/>
    <numFmt numFmtId="281" formatCode="#,##0.0%;\-\ #,##0.0%;_-* &quot;-&quot;??_-;@"/>
    <numFmt numFmtId="282" formatCode="#,##0.00%;\-\ #,##0.00%;_-* &quot;-&quot;??_-;@"/>
    <numFmt numFmtId="283" formatCode="#,##0.00_%_);\(#,##0.00\)_%;#,##0.00_%_);@_%_)"/>
    <numFmt numFmtId="284" formatCode="yyyy&quot;A&quot;"/>
    <numFmt numFmtId="285" formatCode="0.00_);\(0.00\);0.00"/>
    <numFmt numFmtId="286" formatCode="_-* #,##0_-;[Red]\-\ #,##0_-;_-* &quot;-&quot;??_-;@"/>
    <numFmt numFmtId="287" formatCode="_-* #,##0.00_-;[Red]\-\ #,##0.00_-;_-* &quot;-&quot;??_-;@"/>
    <numFmt numFmtId="288" formatCode="&quot;£&quot;#,###;\(&quot;£&quot;#,###\);\-"/>
    <numFmt numFmtId="289" formatCode="* _(#,##0.00_);[Red]* \(#,##0.00\);* _(&quot;-&quot;?_);@_)"/>
    <numFmt numFmtId="290" formatCode="#,##0.00\ &quot;€&quot;;[Red]\-#,##0.00\ &quot;€&quot;"/>
    <numFmt numFmtId="291" formatCode="#,##0\ &quot;€&quot;;\-#,##0\ &quot;€&quot;"/>
    <numFmt numFmtId="292" formatCode="_-&quot;€&quot;* #,##0.00_-;\-&quot;€&quot;* #,##0.00_-;_-&quot;€&quot;* &quot;-&quot;??_-;_-@_-"/>
    <numFmt numFmtId="293" formatCode="&quot;€&quot;\ * _(#,##0_);[Red]&quot;€&quot;\ * \(#,##0\);&quot;€&quot;\ * _(&quot;-&quot;?_);@_)"/>
    <numFmt numFmtId="294" formatCode="dd/mmm/yy"/>
    <numFmt numFmtId="295" formatCode="dd/mm/yyyy"/>
    <numFmt numFmtId="296" formatCode="dd\ mmm\ yyyy"/>
    <numFmt numFmtId="297" formatCode="#,##0.000"/>
    <numFmt numFmtId="298" formatCode="#,##0.???_);\(#,##0.???\)"/>
    <numFmt numFmtId="299" formatCode="#,##0&quot; DM&quot;;[Red]\-#,##0&quot; DM&quot;"/>
    <numFmt numFmtId="300" formatCode="0.%"/>
    <numFmt numFmtId="301" formatCode="#,##0.0;\(#,##0.0\)"/>
    <numFmt numFmtId="302" formatCode="_ * #,##0_ ;_ * \(#,##0\);_ * &quot;-&quot;\ ;_ @_ "/>
    <numFmt numFmtId="303" formatCode="_-* #,##0.0000\ _D_M_-;\-* #,##0.0000\ _D_M_-;_-* &quot;-&quot;??\ _D_M_-;_-@_-"/>
    <numFmt numFmtId="304" formatCode="0.0%"/>
    <numFmt numFmtId="305" formatCode="0.0\%_);\(0.0\%\);0.0\%_);@_%_)"/>
    <numFmt numFmtId="306" formatCode="#,##0.00&quot; $&quot;;\-#,##0.00&quot; $&quot;"/>
    <numFmt numFmtId="307" formatCode="_-#,##0&quot; hours&quot;"/>
    <numFmt numFmtId="308" formatCode="d\ mmm"/>
    <numFmt numFmtId="309" formatCode="0&quot;P&quot;"/>
    <numFmt numFmtId="310" formatCode="#,##0_);[Red]\-#,##0_);0_);@_)"/>
    <numFmt numFmtId="311" formatCode="#,##0;\(#,##0\);\-_)"/>
    <numFmt numFmtId="312" formatCode="#,##0.0_);\(#,##0.0\);\-_)"/>
    <numFmt numFmtId="313" formatCode="#,##0.00_);\(#,##0.00\);\-_)"/>
    <numFmt numFmtId="314" formatCode="0.0%;\-0.0%;0.0%;* @_%"/>
    <numFmt numFmtId="315" formatCode="0.0000000000000000"/>
    <numFmt numFmtId="316" formatCode="#\ ##\ ###"/>
    <numFmt numFmtId="317" formatCode="#,##0_);\(#,##0\);\-_)"/>
    <numFmt numFmtId="318" formatCode="#,##0.0\x_);\(#,##0.0\x\)"/>
    <numFmt numFmtId="319" formatCode="_-#,##0.0&quot; max&quot;"/>
    <numFmt numFmtId="320" formatCode="0.0\x"/>
    <numFmt numFmtId="321" formatCode="_-* #,##0\ _P_t_s_-;\-* #,##0\ _P_t_s_-;_-* &quot;-&quot;\ _P_t_s_-;_-@_-"/>
    <numFmt numFmtId="322" formatCode="_-* #,##0.00\ _P_t_s_-;\-* #,##0.00\ _P_t_s_-;_-* &quot;-&quot;??\ _P_t_s_-;_-@_-"/>
    <numFmt numFmtId="323" formatCode="_-* #,##0\ _F_-;\-* #,##0\ _F_-;_-* &quot;-&quot;\ _F_-;_-@_-"/>
    <numFmt numFmtId="324" formatCode="#.00,,_-;\-#.00,,_-;_-* &quot;-&quot;_-;_-@_-"/>
    <numFmt numFmtId="325" formatCode="#,###,,;\-#,###,,"/>
    <numFmt numFmtId="326" formatCode="_-* #,##0\ &quot;F&quot;_-;\-* #,##0\ &quot;F&quot;_-;_-* &quot;-&quot;\ &quot;F&quot;_-;_-@_-"/>
    <numFmt numFmtId="327" formatCode="_-* #,##0\ &quot;Pts&quot;_-;\-* #,##0\ &quot;Pts&quot;_-;_-* &quot;-&quot;\ &quot;Pts&quot;_-;_-@_-"/>
    <numFmt numFmtId="328" formatCode="_-* #,##0.00\ &quot;Pts&quot;_-;\-* #,##0.00\ &quot;Pts&quot;_-;_-* &quot;-&quot;??\ &quot;Pts&quot;_-;_-@_-"/>
    <numFmt numFmtId="329" formatCode="&quot;DM&quot;\ #,##0.00_);\(&quot;DM&quot;\ #,##0.00\)"/>
    <numFmt numFmtId="330" formatCode="_(&quot;DM&quot;\ * #,##0_);_(&quot;DM&quot;\ * \(#,##0\);_(&quot;DM&quot;\ * &quot;-&quot;_);_(@_)"/>
    <numFmt numFmtId="331" formatCode="_-#,##0&quot; months&quot;"/>
    <numFmt numFmtId="332" formatCode="#,##0.0000;[Red]\(#,##0.0000\)"/>
    <numFmt numFmtId="333" formatCode="0.0&quot;x&quot;;&quot;nm&quot;;\-_x"/>
    <numFmt numFmtId="334" formatCode="_-#,##0&quot;MW&quot;"/>
    <numFmt numFmtId="335" formatCode="#,##0.0;[Red]\(#,##0.0\)"/>
    <numFmt numFmtId="336" formatCode="#,###;\(#,###\);\-"/>
    <numFmt numFmtId="337" formatCode="0.0%;\(0.0%\)"/>
    <numFmt numFmtId="338" formatCode="#,##0_);\(#,##0\);&quot;-  &quot;"/>
    <numFmt numFmtId="339" formatCode="#,##0_ ;[Red]\-#,##0\ "/>
    <numFmt numFmtId="340" formatCode="_-* #,##0_-;\-* #,##0_-;_-* &quot;-&quot;??_-;_-@_-"/>
    <numFmt numFmtId="341" formatCode="0.0%_);[Red]\(0.0%\);0.0%_)"/>
    <numFmt numFmtId="342" formatCode="0%_);\(0%\);\-_%_)"/>
    <numFmt numFmtId="343" formatCode="0.0%_);\(0.0%\);\-_%_)"/>
    <numFmt numFmtId="344" formatCode="##0&quot;bp&quot;_);\(##0&quot;bp&quot;\);\-_b_p_)"/>
    <numFmt numFmtId="345" formatCode="#,##0.00%;[Red]\-#,##0.00%;0.00%;@_)"/>
    <numFmt numFmtId="346" formatCode="0%;[Red]\-0%"/>
    <numFmt numFmtId="347" formatCode="_-* #,##0.000_-;\-* #,##0.000_-;_-* &quot;-&quot;???_-;_-@_-"/>
    <numFmt numFmtId="348" formatCode="#,##0.0\x"/>
    <numFmt numFmtId="349" formatCode="#,##0.00_ ;[Red]\-#,##0.00\ "/>
    <numFmt numFmtId="350" formatCode="0.00%;[Red]\-0.00%"/>
    <numFmt numFmtId="351" formatCode="0;[Red]\(0\);"/>
    <numFmt numFmtId="352" formatCode="_(* #,##0_);_(* \(#,##0\);_(* &quot;-&quot;??_);_(@_)"/>
    <numFmt numFmtId="353" formatCode="_-#,##0&quot; t&quot;"/>
    <numFmt numFmtId="354" formatCode="0.00000000"/>
    <numFmt numFmtId="355" formatCode="#,##0\ &quot;DM&quot;;[Red]\-#,##0\ &quot;DM&quot;"/>
    <numFmt numFmtId="356" formatCode="#,##0.00\ &quot;DM&quot;;[Red]\-#,##0.00\ &quot;DM&quot;"/>
    <numFmt numFmtId="357" formatCode="#,##0_-;[Red]\-#,##0_-;\ &quot;-          &quot;_-;_-@"/>
    <numFmt numFmtId="358" formatCode="_(&quot;$&quot;* #,##0.00_);_(&quot;$&quot;* \(#,##0.00\);_(&quot;$&quot;* &quot;-&quot;??_);_(@_)"/>
    <numFmt numFmtId="359" formatCode="yyyy"/>
    <numFmt numFmtId="360" formatCode="yyyy&quot;E&quot;"/>
    <numFmt numFmtId="361" formatCode="###0_)"/>
    <numFmt numFmtId="362" formatCode="mm/dd/yy_)"/>
    <numFmt numFmtId="363" formatCode="&quot;\&quot;#,##0;[Red]&quot;\&quot;\-#,##0"/>
  </numFmts>
  <fonts count="78">
    <font>
      <sz val="11"/>
      <color theme="1"/>
      <name val="Calibri"/>
      <charset val="134"/>
      <scheme val="minor"/>
    </font>
    <font>
      <sz val="16"/>
      <color rgb="FFE60000"/>
      <name val="Vodafone Rg"/>
      <charset val="134"/>
    </font>
    <font>
      <b/>
      <sz val="10.5"/>
      <name val="Calibri"/>
      <charset val="134"/>
    </font>
    <font>
      <sz val="10.5"/>
      <name val="Calibri"/>
      <charset val="134"/>
      <scheme val="minor"/>
    </font>
    <font>
      <sz val="11"/>
      <color theme="0"/>
      <name val="Calibri"/>
      <charset val="134"/>
      <scheme val="minor"/>
    </font>
    <font>
      <sz val="12"/>
      <color theme="3" tint="-0.249977111117893"/>
      <name val="Calibri"/>
      <charset val="134"/>
      <scheme val="minor"/>
    </font>
    <font>
      <sz val="11"/>
      <color theme="1"/>
      <name val="Calibri"/>
      <charset val="134"/>
      <scheme val="minor"/>
    </font>
    <font>
      <b/>
      <sz val="11"/>
      <color theme="0"/>
      <name val="Calibri"/>
      <charset val="134"/>
      <scheme val="minor"/>
    </font>
    <font>
      <i/>
      <sz val="11"/>
      <color theme="1"/>
      <name val="Calibri"/>
      <charset val="134"/>
      <scheme val="minor"/>
    </font>
    <font>
      <sz val="10"/>
      <name val="Calibri"/>
      <charset val="134"/>
      <scheme val="minor"/>
    </font>
    <font>
      <sz val="10"/>
      <name val="Arial"/>
      <charset val="134"/>
    </font>
    <font>
      <b/>
      <sz val="11"/>
      <color theme="1"/>
      <name val="Calibri"/>
      <charset val="134"/>
      <scheme val="minor"/>
    </font>
    <font>
      <sz val="11"/>
      <color rgb="FFFF0000"/>
      <name val="Calibri"/>
      <charset val="134"/>
      <scheme val="minor"/>
    </font>
    <font>
      <sz val="11"/>
      <color rgb="FF000000"/>
      <name val="Calibri"/>
      <charset val="134"/>
    </font>
    <font>
      <sz val="11"/>
      <name val="Calibri"/>
      <charset val="134"/>
      <scheme val="minor"/>
    </font>
    <font>
      <b/>
      <sz val="11"/>
      <name val="Calibri"/>
      <charset val="134"/>
      <scheme val="minor"/>
    </font>
    <font>
      <b/>
      <sz val="11"/>
      <color rgb="FF000000"/>
      <name val="Calibri"/>
      <charset val="134"/>
      <scheme val="minor"/>
    </font>
    <font>
      <b/>
      <u/>
      <sz val="11"/>
      <color theme="1"/>
      <name val="Calibri"/>
      <charset val="134"/>
      <scheme val="minor"/>
    </font>
    <font>
      <sz val="11"/>
      <name val="Calibri"/>
      <charset val="134"/>
    </font>
    <font>
      <sz val="10"/>
      <color theme="1"/>
      <name val="Times New Roman"/>
      <charset val="134"/>
    </font>
    <font>
      <sz val="11"/>
      <color rgb="FF000000"/>
      <name val="DengXian"/>
      <charset val="134"/>
    </font>
    <font>
      <sz val="11"/>
      <name val="DengXian"/>
      <charset val="134"/>
    </font>
    <font>
      <b/>
      <sz val="18"/>
      <color rgb="FFFFFFFF"/>
      <name val="Calibri"/>
      <charset val="134"/>
      <scheme val="minor"/>
    </font>
    <font>
      <b/>
      <sz val="14"/>
      <color rgb="FFFFFFFF"/>
      <name val="Calibri"/>
      <charset val="134"/>
      <scheme val="minor"/>
    </font>
    <font>
      <sz val="12"/>
      <color rgb="FF000000"/>
      <name val="Calibri"/>
      <charset val="134"/>
      <scheme val="minor"/>
    </font>
    <font>
      <sz val="18"/>
      <name val="Calibri"/>
      <charset val="134"/>
      <scheme val="minor"/>
    </font>
    <font>
      <sz val="10"/>
      <name val="Arial"/>
      <charset val="134"/>
    </font>
    <font>
      <sz val="12"/>
      <name val="Calibri"/>
      <charset val="134"/>
      <scheme val="minor"/>
    </font>
    <font>
      <sz val="12"/>
      <color indexed="8"/>
      <name val="Calibri"/>
      <charset val="134"/>
    </font>
    <font>
      <b/>
      <sz val="12"/>
      <color rgb="FFFF0000"/>
      <name val="Arial"/>
      <charset val="134"/>
    </font>
    <font>
      <b/>
      <sz val="11"/>
      <color theme="1"/>
      <name val="Calibri"/>
      <charset val="134"/>
      <scheme val="minor"/>
    </font>
    <font>
      <sz val="10.5"/>
      <color theme="1"/>
      <name val="Calibri"/>
      <charset val="134"/>
      <scheme val="minor"/>
    </font>
    <font>
      <sz val="9"/>
      <color theme="1"/>
      <name val="Calibri"/>
      <charset val="134"/>
      <scheme val="minor"/>
    </font>
    <font>
      <sz val="9"/>
      <name val="Calibri"/>
      <charset val="134"/>
      <scheme val="minor"/>
    </font>
    <font>
      <b/>
      <u/>
      <sz val="10.5"/>
      <color theme="1"/>
      <name val="Calibri"/>
      <charset val="134"/>
      <scheme val="minor"/>
    </font>
    <font>
      <b/>
      <sz val="10.5"/>
      <color theme="1"/>
      <name val="Calibri"/>
      <charset val="134"/>
      <scheme val="minor"/>
    </font>
    <font>
      <sz val="10.5"/>
      <color rgb="FF000000"/>
      <name val="Calibri"/>
      <charset val="134"/>
      <scheme val="minor"/>
    </font>
    <font>
      <sz val="11"/>
      <name val="Calibri"/>
      <charset val="134"/>
      <scheme val="minor"/>
    </font>
    <font>
      <u/>
      <sz val="11"/>
      <color theme="10"/>
      <name val="Calibri"/>
      <charset val="134"/>
      <scheme val="minor"/>
    </font>
    <font>
      <i/>
      <sz val="11"/>
      <color theme="1"/>
      <name val="Calibri"/>
      <charset val="134"/>
      <scheme val="minor"/>
    </font>
    <font>
      <sz val="10.5"/>
      <color rgb="FF000000"/>
      <name val="Calibri"/>
      <charset val="134"/>
    </font>
    <font>
      <b/>
      <sz val="10.5"/>
      <color rgb="FFFF0000"/>
      <name val="Calibri"/>
      <charset val="134"/>
      <scheme val="minor"/>
    </font>
    <font>
      <b/>
      <u/>
      <sz val="11"/>
      <color rgb="FFFF0000"/>
      <name val="Calibri"/>
      <charset val="134"/>
      <scheme val="minor"/>
    </font>
    <font>
      <sz val="10"/>
      <name val="Vodafone Rg"/>
      <charset val="161"/>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61"/>
    </font>
    <font>
      <sz val="11"/>
      <color theme="1"/>
      <name val="Calibri"/>
      <charset val="134"/>
    </font>
    <font>
      <sz val="11"/>
      <color indexed="8"/>
      <name val="Calibri"/>
      <charset val="134"/>
    </font>
    <font>
      <sz val="11"/>
      <color rgb="FF3F3F76"/>
      <name val="Calibri"/>
      <charset val="134"/>
      <scheme val="minor"/>
    </font>
    <font>
      <sz val="11"/>
      <color indexed="20"/>
      <name val="Calibri"/>
      <charset val="134"/>
    </font>
    <font>
      <u/>
      <sz val="11"/>
      <color theme="10"/>
      <name val="Calibri"/>
      <charset val="134"/>
    </font>
    <font>
      <sz val="12"/>
      <color theme="1"/>
      <name val="Calibri"/>
      <charset val="134"/>
      <scheme val="minor"/>
    </font>
    <font>
      <sz val="8"/>
      <name val="Arial"/>
      <charset val="161"/>
    </font>
    <font>
      <sz val="10"/>
      <color indexed="8"/>
      <name val="Arial"/>
      <charset val="134"/>
    </font>
    <font>
      <u/>
      <sz val="9"/>
      <name val="Calibri"/>
      <charset val="134"/>
      <scheme val="minor"/>
    </font>
    <font>
      <sz val="12"/>
      <color rgb="FFE60000"/>
      <name val="Vodafone Rg"/>
      <charset val="134"/>
    </font>
    <font>
      <b/>
      <u/>
      <sz val="9"/>
      <color theme="1"/>
      <name val="Calibri"/>
      <charset val="134"/>
      <scheme val="minor"/>
    </font>
    <font>
      <sz val="11"/>
      <color rgb="FF000000"/>
      <name val="Calibri"/>
      <charset val="134"/>
      <scheme val="minor"/>
    </font>
    <font>
      <i/>
      <u/>
      <sz val="9"/>
      <name val="Calibri"/>
      <charset val="134"/>
      <scheme val="minor"/>
    </font>
    <font>
      <sz val="12"/>
      <color rgb="FFFF0000"/>
      <name val="Calibri"/>
      <charset val="134"/>
      <scheme val="minor"/>
    </font>
    <font>
      <b/>
      <sz val="10.5"/>
      <color rgb="FF000000"/>
      <name val="Calibri"/>
      <charset val="134"/>
      <scheme val="minor"/>
    </font>
  </fonts>
  <fills count="90">
    <fill>
      <patternFill patternType="none"/>
    </fill>
    <fill>
      <patternFill patternType="gray125"/>
    </fill>
    <fill>
      <patternFill patternType="solid">
        <fgColor rgb="FFFFFF00"/>
        <bgColor indexed="64"/>
      </patternFill>
    </fill>
    <fill>
      <patternFill patternType="solid">
        <fgColor theme="4" tint="0.799951170384838"/>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rgb="FFFFFF00"/>
        <bgColor indexed="21"/>
      </patternFill>
    </fill>
    <fill>
      <patternFill patternType="solid">
        <fgColor theme="0" tint="-0.499984740745262"/>
        <bgColor indexed="64"/>
      </patternFill>
    </fill>
    <fill>
      <patternFill patternType="solid">
        <fgColor theme="8" tint="0.599993896298105"/>
        <bgColor indexed="64"/>
      </patternFill>
    </fill>
    <fill>
      <patternFill patternType="solid">
        <fgColor theme="4" tint="0.599963377788629"/>
        <bgColor indexed="64"/>
      </patternFill>
    </fill>
    <fill>
      <patternFill patternType="solid">
        <fgColor rgb="FFFFFFFF"/>
        <bgColor indexed="64"/>
      </patternFill>
    </fill>
    <fill>
      <patternFill patternType="solid">
        <fgColor rgb="FFC00000"/>
        <bgColor indexed="64"/>
      </patternFill>
    </fill>
    <fill>
      <patternFill patternType="solid">
        <fgColor theme="1"/>
        <bgColor indexed="64"/>
      </patternFill>
    </fill>
    <fill>
      <patternFill patternType="solid">
        <fgColor theme="4" tint="0.799951170384838"/>
        <bgColor indexed="21"/>
      </patternFill>
    </fill>
    <fill>
      <patternFill patternType="solid">
        <fgColor indexed="4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22"/>
        <bgColor indexed="22"/>
      </patternFill>
    </fill>
    <fill>
      <patternFill patternType="solid">
        <fgColor indexed="26"/>
        <bgColor indexed="64"/>
      </patternFill>
    </fill>
    <fill>
      <patternFill patternType="solid">
        <fgColor indexed="43"/>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7"/>
        <bgColor indexed="64"/>
      </patternFill>
    </fill>
    <fill>
      <patternFill patternType="solid">
        <fgColor indexed="31"/>
        <bgColor indexed="64"/>
      </patternFill>
    </fill>
    <fill>
      <patternFill patternType="solid">
        <fgColor indexed="44"/>
        <bgColor indexed="64"/>
      </patternFill>
    </fill>
    <fill>
      <patternFill patternType="solid">
        <fgColor indexed="18"/>
        <bgColor indexed="64"/>
      </patternFill>
    </fill>
    <fill>
      <patternFill patternType="solid">
        <fgColor indexed="29"/>
        <bgColor indexed="64"/>
      </patternFill>
    </fill>
    <fill>
      <patternFill patternType="gray0625">
        <bgColor indexed="9"/>
      </patternFill>
    </fill>
    <fill>
      <patternFill patternType="lightGray">
        <fgColor indexed="15"/>
      </patternFill>
    </fill>
    <fill>
      <patternFill patternType="solid">
        <fgColor indexed="41"/>
        <bgColor indexed="64"/>
      </patternFill>
    </fill>
    <fill>
      <patternFill patternType="lightGray">
        <fgColor indexed="12"/>
      </patternFill>
    </fill>
    <fill>
      <patternFill patternType="solid">
        <fgColor indexed="24"/>
        <bgColor indexed="64"/>
      </patternFill>
    </fill>
    <fill>
      <patternFill patternType="solid">
        <fgColor rgb="FFFFCC99"/>
        <bgColor indexed="64"/>
      </patternFill>
    </fill>
    <fill>
      <patternFill patternType="solid">
        <fgColor indexed="45"/>
        <bgColor indexed="29"/>
      </patternFill>
    </fill>
    <fill>
      <patternFill patternType="gray0625"/>
    </fill>
    <fill>
      <patternFill patternType="solid">
        <fgColor indexed="13"/>
        <bgColor indexed="15"/>
      </patternFill>
    </fill>
    <fill>
      <patternFill patternType="solid">
        <fgColor indexed="49"/>
        <bgColor indexed="64"/>
      </patternFill>
    </fill>
    <fill>
      <patternFill patternType="solid">
        <fgColor indexed="11"/>
        <bgColor indexed="64"/>
      </patternFill>
    </fill>
    <fill>
      <patternFill patternType="solid">
        <fgColor indexed="12"/>
        <bgColor indexed="64"/>
      </patternFill>
    </fill>
    <fill>
      <patternFill patternType="gray0625">
        <fgColor indexed="22"/>
      </patternFill>
    </fill>
    <fill>
      <patternFill patternType="solid">
        <fgColor indexed="13"/>
        <bgColor indexed="64"/>
      </patternFill>
    </fill>
    <fill>
      <patternFill patternType="solid">
        <fgColor indexed="40"/>
        <bgColor indexed="64"/>
      </patternFill>
    </fill>
    <fill>
      <patternFill patternType="mediumGray">
        <fgColor indexed="22"/>
      </patternFill>
    </fill>
    <fill>
      <patternFill patternType="solid">
        <fgColor indexed="10"/>
        <bgColor indexed="64"/>
      </patternFill>
    </fill>
    <fill>
      <patternFill patternType="solid">
        <fgColor indexed="45"/>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23"/>
        <bgColor indexed="64"/>
      </patternFill>
    </fill>
    <fill>
      <patternFill patternType="solid">
        <fgColor indexed="22"/>
        <bgColor indexed="24"/>
      </patternFill>
    </fill>
    <fill>
      <patternFill patternType="gray125">
        <fgColor indexed="15"/>
        <bgColor indexed="9"/>
      </patternFill>
    </fill>
    <fill>
      <patternFill patternType="solid">
        <fgColor indexed="16"/>
        <bgColor indexed="64"/>
      </patternFill>
    </fill>
    <fill>
      <patternFill patternType="solid">
        <fgColor indexed="8"/>
        <bgColor indexed="64"/>
      </patternFill>
    </fill>
    <fill>
      <patternFill patternType="lightGray">
        <fgColor indexed="13"/>
      </patternFill>
    </fill>
  </fills>
  <borders count="110">
    <border>
      <left/>
      <right/>
      <top/>
      <bottom/>
      <diagonal/>
    </border>
    <border>
      <left/>
      <right/>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style="medium">
        <color rgb="FF000000"/>
      </right>
      <top style="medium">
        <color rgb="FF000000"/>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right/>
      <top/>
      <bottom style="hair">
        <color indexed="22"/>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style="double">
        <color auto="1"/>
      </left>
      <right/>
      <top/>
      <bottom style="hair">
        <color auto="1"/>
      </bottom>
      <diagonal/>
    </border>
    <border>
      <left/>
      <right style="thin">
        <color indexed="18"/>
      </right>
      <top/>
      <bottom/>
      <diagonal/>
    </border>
    <border>
      <left style="medium">
        <color indexed="9"/>
      </left>
      <right style="medium">
        <color indexed="9"/>
      </right>
      <top style="medium">
        <color indexed="9"/>
      </top>
      <bottom style="medium">
        <color indexed="9"/>
      </bottom>
      <diagonal/>
    </border>
    <border>
      <left style="medium">
        <color auto="1"/>
      </left>
      <right/>
      <top style="thin">
        <color auto="1"/>
      </top>
      <bottom style="thin">
        <color auto="1"/>
      </bottom>
      <diagonal/>
    </border>
    <border>
      <left/>
      <right/>
      <top/>
      <bottom style="thin">
        <color indexed="22"/>
      </bottom>
      <diagonal/>
    </border>
    <border>
      <left/>
      <right/>
      <top style="thin">
        <color auto="1"/>
      </top>
      <bottom/>
      <diagonal/>
    </border>
    <border>
      <left/>
      <right/>
      <top/>
      <bottom style="hair">
        <color auto="1"/>
      </bottom>
      <diagonal/>
    </border>
    <border>
      <left/>
      <right/>
      <top style="hair">
        <color auto="1"/>
      </top>
      <bottom style="double">
        <color auto="1"/>
      </bottom>
      <diagonal/>
    </border>
    <border>
      <left style="thin">
        <color auto="1"/>
      </left>
      <right/>
      <top style="medium">
        <color auto="1"/>
      </top>
      <bottom style="medium">
        <color auto="1"/>
      </bottom>
      <diagonal/>
    </border>
    <border>
      <left style="thin">
        <color indexed="55"/>
      </left>
      <right style="thin">
        <color indexed="55"/>
      </right>
      <top style="thin">
        <color indexed="55"/>
      </top>
      <bottom style="thin">
        <color indexed="55"/>
      </bottom>
      <diagonal/>
    </border>
    <border>
      <left/>
      <right style="double">
        <color auto="1"/>
      </right>
      <top/>
      <bottom/>
      <diagonal/>
    </border>
    <border>
      <left/>
      <right style="thin">
        <color indexed="8"/>
      </right>
      <top style="thin">
        <color indexed="8"/>
      </top>
      <bottom/>
      <diagonal/>
    </border>
    <border>
      <left/>
      <right/>
      <top style="hair">
        <color auto="1"/>
      </top>
      <bottom/>
      <diagonal/>
    </border>
    <border>
      <left/>
      <right/>
      <top/>
      <bottom style="dotted">
        <color auto="1"/>
      </bottom>
      <diagonal/>
    </border>
    <border>
      <left/>
      <right/>
      <top/>
      <bottom style="medium">
        <color indexed="63"/>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right/>
      <top/>
      <bottom style="thick">
        <color auto="1"/>
      </bottom>
      <diagonal/>
    </border>
    <border>
      <left style="double">
        <color auto="1"/>
      </left>
      <right style="double">
        <color auto="1"/>
      </right>
      <top style="double">
        <color auto="1"/>
      </top>
      <bottom style="double">
        <color auto="1"/>
      </bottom>
      <diagonal/>
    </border>
    <border>
      <left style="thin">
        <color indexed="9"/>
      </left>
      <right style="thin">
        <color indexed="9"/>
      </right>
      <top style="thin">
        <color indexed="9"/>
      </top>
      <bottom style="thin">
        <color indexed="9"/>
      </bottom>
      <diagonal/>
    </border>
    <border>
      <left style="dotted">
        <color indexed="57"/>
      </left>
      <right style="dotted">
        <color indexed="57"/>
      </right>
      <top style="dotted">
        <color indexed="57"/>
      </top>
      <bottom style="dotted">
        <color indexed="57"/>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auto="1"/>
      </left>
      <right style="thin">
        <color auto="1"/>
      </right>
      <top/>
      <bottom/>
      <diagonal/>
    </border>
    <border>
      <left style="hair">
        <color auto="1"/>
      </left>
      <right/>
      <top style="hair">
        <color auto="1"/>
      </top>
      <bottom/>
      <diagonal/>
    </border>
    <border>
      <left style="thin">
        <color indexed="8"/>
      </left>
      <right style="thin">
        <color indexed="8"/>
      </right>
      <top style="thin">
        <color indexed="8"/>
      </top>
      <bottom style="thin">
        <color indexed="8"/>
      </bottom>
      <diagonal/>
    </border>
    <border>
      <left/>
      <right style="hair">
        <color auto="1"/>
      </right>
      <top/>
      <bottom/>
      <diagonal/>
    </border>
    <border>
      <left/>
      <right style="thin">
        <color auto="1"/>
      </right>
      <top/>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3"/>
      </top>
      <bottom style="thin">
        <color indexed="63"/>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auto="1"/>
      </left>
      <right/>
      <top style="thin">
        <color auto="1"/>
      </top>
      <bottom/>
      <diagonal/>
    </border>
    <border>
      <left style="thin">
        <color auto="1"/>
      </left>
      <right/>
      <top/>
      <bottom style="thin">
        <color auto="1"/>
      </bottom>
      <diagonal/>
    </border>
    <border>
      <left/>
      <right/>
      <top style="thin">
        <color auto="1"/>
      </top>
      <bottom style="double">
        <color auto="1"/>
      </bottom>
      <diagonal/>
    </border>
    <border>
      <left/>
      <right/>
      <top style="medium">
        <color indexed="41"/>
      </top>
      <bottom style="medium">
        <color indexed="41"/>
      </bottom>
      <diagonal/>
    </border>
    <border>
      <left/>
      <right/>
      <top style="medium">
        <color indexed="41"/>
      </top>
      <bottom/>
      <diagonal/>
    </border>
    <border>
      <left/>
      <right/>
      <top/>
      <bottom style="thick">
        <color theme="4"/>
      </bottom>
      <diagonal/>
    </border>
    <border>
      <left style="thin">
        <color indexed="9"/>
      </left>
      <right/>
      <top style="thin">
        <color indexed="9"/>
      </top>
      <bottom style="thin">
        <color indexed="23"/>
      </bottom>
      <diagonal/>
    </border>
    <border>
      <left style="thick">
        <color auto="1"/>
      </left>
      <right style="thin">
        <color auto="1"/>
      </right>
      <top/>
      <bottom/>
      <diagonal/>
    </border>
  </borders>
  <cellStyleXfs count="2355">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37" fontId="43" fillId="15" borderId="0" applyBorder="0"/>
    <xf numFmtId="0" fontId="44" fillId="0" borderId="0" applyNumberFormat="0" applyFill="0" applyBorder="0" applyAlignment="0" applyProtection="0">
      <alignment vertical="center"/>
    </xf>
    <xf numFmtId="0" fontId="0" fillId="16" borderId="54"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55" applyNumberFormat="0" applyFill="0" applyAlignment="0" applyProtection="0">
      <alignment vertical="center"/>
    </xf>
    <xf numFmtId="0" fontId="49" fillId="0" borderId="55" applyNumberFormat="0" applyFill="0" applyAlignment="0" applyProtection="0">
      <alignment vertical="center"/>
    </xf>
    <xf numFmtId="0" fontId="50" fillId="0" borderId="56" applyNumberFormat="0" applyFill="0" applyAlignment="0" applyProtection="0">
      <alignment vertical="center"/>
    </xf>
    <xf numFmtId="0" fontId="50" fillId="0" borderId="0" applyNumberFormat="0" applyFill="0" applyBorder="0" applyAlignment="0" applyProtection="0">
      <alignment vertical="center"/>
    </xf>
    <xf numFmtId="0" fontId="51" fillId="17" borderId="57" applyNumberFormat="0" applyAlignment="0" applyProtection="0">
      <alignment vertical="center"/>
    </xf>
    <xf numFmtId="0" fontId="52" fillId="18" borderId="58" applyNumberFormat="0" applyAlignment="0" applyProtection="0">
      <alignment vertical="center"/>
    </xf>
    <xf numFmtId="0" fontId="53" fillId="18" borderId="57" applyNumberFormat="0" applyAlignment="0" applyProtection="0">
      <alignment vertical="center"/>
    </xf>
    <xf numFmtId="0" fontId="54" fillId="19" borderId="59" applyNumberFormat="0" applyAlignment="0" applyProtection="0">
      <alignment vertical="center"/>
    </xf>
    <xf numFmtId="0" fontId="55" fillId="0" borderId="60" applyNumberFormat="0" applyFill="0" applyAlignment="0" applyProtection="0">
      <alignment vertical="center"/>
    </xf>
    <xf numFmtId="0" fontId="56" fillId="0" borderId="61" applyNumberFormat="0" applyFill="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60"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0" fillId="38" borderId="0" applyNumberFormat="0" applyBorder="0" applyAlignment="0" applyProtection="0">
      <alignment vertical="center"/>
    </xf>
    <xf numFmtId="0" fontId="60"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0" fillId="42" borderId="0" applyNumberFormat="0" applyBorder="0" applyAlignment="0" applyProtection="0">
      <alignment vertical="center"/>
    </xf>
    <xf numFmtId="0" fontId="60"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0" fillId="46" borderId="0" applyNumberFormat="0" applyBorder="0" applyAlignment="0" applyProtection="0">
      <alignment vertical="center"/>
    </xf>
    <xf numFmtId="9" fontId="43" fillId="0" borderId="0">
      <alignment horizontal="right"/>
    </xf>
    <xf numFmtId="0" fontId="26" fillId="0" borderId="0"/>
    <xf numFmtId="0" fontId="26" fillId="0" borderId="0"/>
    <xf numFmtId="0" fontId="43" fillId="0" borderId="0"/>
    <xf numFmtId="0" fontId="43" fillId="0" borderId="0"/>
    <xf numFmtId="0" fontId="43" fillId="0" borderId="0"/>
    <xf numFmtId="39" fontId="43" fillId="0" borderId="62">
      <alignment horizontal="right"/>
    </xf>
    <xf numFmtId="39" fontId="43" fillId="0" borderId="62">
      <alignment horizontal="right"/>
    </xf>
    <xf numFmtId="37" fontId="43" fillId="0" borderId="62">
      <alignment horizontal="right"/>
    </xf>
    <xf numFmtId="37" fontId="43" fillId="0" borderId="62">
      <alignment horizontal="right"/>
    </xf>
    <xf numFmtId="0" fontId="43" fillId="0" borderId="62">
      <alignment horizontal="right"/>
    </xf>
    <xf numFmtId="0" fontId="43" fillId="0" borderId="62">
      <alignment horizontal="right"/>
    </xf>
    <xf numFmtId="0" fontId="43" fillId="0" borderId="0">
      <alignment horizontal="right"/>
    </xf>
    <xf numFmtId="0" fontId="43" fillId="0" borderId="62">
      <alignment horizontal="right"/>
    </xf>
    <xf numFmtId="0" fontId="43" fillId="0" borderId="62">
      <alignment horizontal="right"/>
    </xf>
    <xf numFmtId="0" fontId="43" fillId="0" borderId="0" applyBorder="0"/>
    <xf numFmtId="180" fontId="43" fillId="0" borderId="0"/>
    <xf numFmtId="0" fontId="43" fillId="0" borderId="0"/>
    <xf numFmtId="0" fontId="43" fillId="0" borderId="0"/>
    <xf numFmtId="0" fontId="62" fillId="0" borderId="0"/>
    <xf numFmtId="181" fontId="43" fillId="47" borderId="0">
      <alignment horizontal="right"/>
    </xf>
    <xf numFmtId="0" fontId="43" fillId="47" borderId="0">
      <alignment horizontal="right"/>
    </xf>
    <xf numFmtId="181" fontId="43" fillId="47" borderId="0">
      <alignment horizontal="right"/>
    </xf>
    <xf numFmtId="18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180" fontId="43" fillId="0" borderId="0"/>
    <xf numFmtId="180" fontId="43" fillId="0" borderId="0"/>
    <xf numFmtId="10" fontId="43" fillId="48" borderId="1" applyNumberFormat="0" applyBorder="0" applyAlignment="0">
      <alignment horizontal="center"/>
      <protection locked="0"/>
    </xf>
    <xf numFmtId="10" fontId="43" fillId="48" borderId="1" applyNumberFormat="0" applyBorder="0" applyAlignment="0">
      <alignment horizontal="center"/>
      <protection locked="0"/>
    </xf>
    <xf numFmtId="0" fontId="43" fillId="49" borderId="0" applyNumberFormat="0" applyFont="0" applyBorder="0" applyAlignment="0">
      <protection hidden="1"/>
    </xf>
    <xf numFmtId="182" fontId="43" fillId="50" borderId="0" applyNumberFormat="0" applyFont="0" applyBorder="0" applyAlignment="0">
      <alignment horizontal="center"/>
      <protection locked="0" hidden="1"/>
    </xf>
    <xf numFmtId="0" fontId="43" fillId="0" borderId="0" applyFont="0" applyFill="0" applyBorder="0" applyAlignment="0" applyProtection="0">
      <alignment horizontal="right"/>
    </xf>
    <xf numFmtId="183" fontId="43" fillId="0" borderId="0" applyFont="0" applyFill="0" applyBorder="0" applyAlignment="0" applyProtection="0"/>
    <xf numFmtId="0" fontId="43" fillId="0" borderId="0" applyNumberFormat="0" applyFont="0" applyFill="0" applyBorder="0" applyAlignment="0" applyProtection="0"/>
    <xf numFmtId="184" fontId="43" fillId="0" borderId="0" applyFont="0" applyFill="0" applyBorder="0" applyAlignment="0"/>
    <xf numFmtId="0" fontId="43" fillId="0" borderId="0" applyFont="0" applyFill="0" applyBorder="0" applyAlignment="0" applyProtection="0"/>
    <xf numFmtId="0" fontId="43" fillId="0" borderId="0" applyFont="0" applyFill="0" applyBorder="0" applyAlignment="0" applyProtection="0"/>
    <xf numFmtId="0" fontId="43" fillId="0" borderId="0"/>
    <xf numFmtId="185" fontId="43" fillId="0" borderId="0" applyFont="0" applyFill="0" applyBorder="0" applyAlignment="0" applyProtection="0"/>
    <xf numFmtId="186"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applyFont="0" applyFill="0" applyBorder="0" applyAlignment="0" applyProtection="0"/>
    <xf numFmtId="187" fontId="43" fillId="0" borderId="0" applyFont="0" applyFill="0" applyBorder="0" applyAlignment="0" applyProtection="0"/>
    <xf numFmtId="187" fontId="43" fillId="0" borderId="0" applyFont="0" applyFill="0" applyBorder="0" applyAlignment="0" applyProtection="0"/>
    <xf numFmtId="185" fontId="43" fillId="0" borderId="0" applyFont="0" applyFill="0" applyBorder="0" applyAlignment="0" applyProtection="0"/>
    <xf numFmtId="0" fontId="43" fillId="0" borderId="0"/>
    <xf numFmtId="188" fontId="43" fillId="0" borderId="0" applyFont="0" applyFill="0" applyBorder="0" applyAlignment="0" applyProtection="0"/>
    <xf numFmtId="189" fontId="43" fillId="0" borderId="0" applyFont="0" applyFill="0" applyBorder="0" applyAlignment="0" applyProtection="0"/>
    <xf numFmtId="0" fontId="43" fillId="0" borderId="0" applyNumberFormat="0" applyFill="0">
      <alignment vertical="center"/>
    </xf>
    <xf numFmtId="0" fontId="43" fillId="0" borderId="0" applyNumberFormat="0" applyFill="0">
      <alignment vertical="center"/>
    </xf>
    <xf numFmtId="40" fontId="43" fillId="0" borderId="0">
      <alignment vertical="center"/>
    </xf>
    <xf numFmtId="3" fontId="43" fillId="0" borderId="0"/>
    <xf numFmtId="0" fontId="43"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xf numFmtId="0" fontId="43" fillId="0" borderId="0"/>
    <xf numFmtId="0" fontId="43" fillId="0" borderId="0"/>
    <xf numFmtId="185" fontId="43" fillId="0" borderId="0"/>
    <xf numFmtId="190" fontId="43" fillId="0" borderId="0"/>
    <xf numFmtId="190" fontId="43" fillId="0" borderId="0"/>
    <xf numFmtId="0" fontId="43" fillId="0" borderId="0"/>
    <xf numFmtId="190" fontId="43" fillId="0" borderId="0"/>
    <xf numFmtId="0" fontId="43" fillId="0" borderId="0"/>
    <xf numFmtId="185" fontId="43" fillId="0" borderId="0"/>
    <xf numFmtId="0" fontId="43" fillId="0" borderId="0"/>
    <xf numFmtId="0" fontId="43" fillId="0" borderId="0" applyNumberFormat="0" applyFill="0">
      <alignment vertical="center"/>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NumberFormat="0" applyFill="0">
      <alignment vertical="center"/>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NumberFormat="0" applyFill="0">
      <alignment vertical="center"/>
    </xf>
    <xf numFmtId="0" fontId="43" fillId="0" borderId="0" applyNumberFormat="0" applyFill="0">
      <alignment vertical="center"/>
    </xf>
    <xf numFmtId="0" fontId="43" fillId="0" borderId="0"/>
    <xf numFmtId="0" fontId="43" fillId="0" borderId="0"/>
    <xf numFmtId="0" fontId="43" fillId="0" borderId="0"/>
    <xf numFmtId="0" fontId="43" fillId="0" borderId="0" applyNumberFormat="0" applyFill="0">
      <alignment vertical="center"/>
    </xf>
    <xf numFmtId="0" fontId="43" fillId="0"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2" borderId="0"/>
    <xf numFmtId="0" fontId="43" fillId="52" borderId="0"/>
    <xf numFmtId="0" fontId="43" fillId="52" borderId="0"/>
    <xf numFmtId="0" fontId="43" fillId="52" borderId="0"/>
    <xf numFmtId="0" fontId="43" fillId="52" borderId="0"/>
    <xf numFmtId="0" fontId="43" fillId="51" borderId="0"/>
    <xf numFmtId="0" fontId="43" fillId="52" borderId="0"/>
    <xf numFmtId="0" fontId="43" fillId="52" borderId="0"/>
    <xf numFmtId="0" fontId="43" fillId="52" borderId="0"/>
    <xf numFmtId="0" fontId="43" fillId="51" borderId="0"/>
    <xf numFmtId="0" fontId="43" fillId="52" borderId="0"/>
    <xf numFmtId="0" fontId="43" fillId="52" borderId="0"/>
    <xf numFmtId="0" fontId="43" fillId="52" borderId="0"/>
    <xf numFmtId="0" fontId="43" fillId="52" borderId="0"/>
    <xf numFmtId="0" fontId="43" fillId="52" borderId="0"/>
    <xf numFmtId="0" fontId="43" fillId="51" borderId="0"/>
    <xf numFmtId="0" fontId="43" fillId="51" borderId="0"/>
    <xf numFmtId="0" fontId="43" fillId="52" borderId="0"/>
    <xf numFmtId="0" fontId="43" fillId="51" borderId="0"/>
    <xf numFmtId="0" fontId="43" fillId="53" borderId="0"/>
    <xf numFmtId="0" fontId="43" fillId="53" borderId="0"/>
    <xf numFmtId="0" fontId="43" fillId="53" borderId="0"/>
    <xf numFmtId="0" fontId="43" fillId="53" borderId="0"/>
    <xf numFmtId="0" fontId="43" fillId="53" borderId="0"/>
    <xf numFmtId="0" fontId="43" fillId="51" borderId="0"/>
    <xf numFmtId="0" fontId="43" fillId="53" borderId="0"/>
    <xf numFmtId="0" fontId="43" fillId="53" borderId="0"/>
    <xf numFmtId="0" fontId="43" fillId="53" borderId="0"/>
    <xf numFmtId="0" fontId="43" fillId="51" borderId="0"/>
    <xf numFmtId="0" fontId="43" fillId="53" borderId="0"/>
    <xf numFmtId="0" fontId="43" fillId="53" borderId="0"/>
    <xf numFmtId="0" fontId="43" fillId="53" borderId="0"/>
    <xf numFmtId="0" fontId="43" fillId="53" borderId="0"/>
    <xf numFmtId="0" fontId="43" fillId="53" borderId="0"/>
    <xf numFmtId="0" fontId="43" fillId="51" borderId="0"/>
    <xf numFmtId="0" fontId="43" fillId="51" borderId="0"/>
    <xf numFmtId="0" fontId="43" fillId="53" borderId="0"/>
    <xf numFmtId="0" fontId="43" fillId="51" borderId="0"/>
    <xf numFmtId="0" fontId="43" fillId="54" borderId="0"/>
    <xf numFmtId="0" fontId="43" fillId="54" borderId="0"/>
    <xf numFmtId="0" fontId="43" fillId="54" borderId="0"/>
    <xf numFmtId="0" fontId="43" fillId="54" borderId="0"/>
    <xf numFmtId="0" fontId="43" fillId="54" borderId="0"/>
    <xf numFmtId="0" fontId="43" fillId="51" borderId="0"/>
    <xf numFmtId="0" fontId="43" fillId="54" borderId="0"/>
    <xf numFmtId="0" fontId="43" fillId="54" borderId="0"/>
    <xf numFmtId="0" fontId="43" fillId="54" borderId="0"/>
    <xf numFmtId="0" fontId="43" fillId="51" borderId="0"/>
    <xf numFmtId="0" fontId="43" fillId="54" borderId="0"/>
    <xf numFmtId="0" fontId="43" fillId="54" borderId="0"/>
    <xf numFmtId="0" fontId="43" fillId="54" borderId="0"/>
    <xf numFmtId="0" fontId="43" fillId="54" borderId="0"/>
    <xf numFmtId="0" fontId="43" fillId="54" borderId="0"/>
    <xf numFmtId="0" fontId="43" fillId="51" borderId="0"/>
    <xf numFmtId="0" fontId="43" fillId="51" borderId="0"/>
    <xf numFmtId="0" fontId="43" fillId="54" borderId="0"/>
    <xf numFmtId="0" fontId="43" fillId="51" borderId="0"/>
    <xf numFmtId="0" fontId="43" fillId="51" borderId="0"/>
    <xf numFmtId="0" fontId="43" fillId="0" borderId="0"/>
    <xf numFmtId="0" fontId="43" fillId="0" borderId="0"/>
    <xf numFmtId="0" fontId="43" fillId="51" borderId="0"/>
    <xf numFmtId="0" fontId="43" fillId="51" borderId="0"/>
    <xf numFmtId="0" fontId="43" fillId="51" borderId="0"/>
    <xf numFmtId="0" fontId="43" fillId="51" borderId="0"/>
    <xf numFmtId="0" fontId="43" fillId="51"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191" fontId="43" fillId="0" borderId="0" applyFont="0" applyFill="0" applyBorder="0" applyAlignment="0" applyProtection="0"/>
    <xf numFmtId="192" fontId="43" fillId="0" borderId="0" applyFont="0" applyFill="0" applyBorder="0" applyAlignment="0" applyProtection="0"/>
    <xf numFmtId="193" fontId="43" fillId="0" borderId="0" applyFont="0" applyFill="0" applyBorder="0" applyAlignment="0" applyProtection="0"/>
    <xf numFmtId="191" fontId="43" fillId="0" borderId="0" applyFont="0" applyFill="0" applyBorder="0" applyAlignment="0" applyProtection="0"/>
    <xf numFmtId="0" fontId="43" fillId="0" borderId="0"/>
    <xf numFmtId="0" fontId="43" fillId="0" borderId="0"/>
    <xf numFmtId="194" fontId="43" fillId="0" borderId="0" applyFont="0" applyFill="0" applyBorder="0" applyAlignment="0" applyProtection="0"/>
    <xf numFmtId="0" fontId="43" fillId="0" borderId="0" applyFont="0" applyFill="0" applyBorder="0" applyAlignment="0" applyProtection="0"/>
    <xf numFmtId="195" fontId="43" fillId="0" borderId="0" applyFont="0" applyFill="0" applyBorder="0" applyAlignment="0" applyProtection="0"/>
    <xf numFmtId="194" fontId="43" fillId="0" borderId="0" applyFont="0" applyFill="0" applyBorder="0" applyAlignment="0" applyProtection="0"/>
    <xf numFmtId="196" fontId="43" fillId="0" borderId="0" applyFont="0" applyFill="0" applyBorder="0" applyAlignment="0" applyProtection="0"/>
    <xf numFmtId="197" fontId="43" fillId="0" borderId="0" applyFont="0" applyFill="0" applyBorder="0" applyAlignment="0" applyProtection="0"/>
    <xf numFmtId="0" fontId="43" fillId="0" borderId="0" applyFont="0" applyFill="0" applyBorder="0" applyAlignment="0" applyProtection="0"/>
    <xf numFmtId="185" fontId="43" fillId="0" borderId="0" applyFont="0" applyFill="0" applyBorder="0" applyAlignment="0" applyProtection="0"/>
    <xf numFmtId="0" fontId="43" fillId="0" borderId="0" applyFont="0" applyFill="0" applyBorder="0" applyAlignment="0" applyProtection="0"/>
    <xf numFmtId="198" fontId="43" fillId="0" borderId="0" applyFont="0" applyFill="0" applyBorder="0" applyAlignment="0" applyProtection="0"/>
    <xf numFmtId="199" fontId="43" fillId="0" borderId="0" applyFont="0" applyFill="0" applyBorder="0" applyAlignment="0" applyProtection="0"/>
    <xf numFmtId="200" fontId="43" fillId="0" borderId="0" applyFont="0" applyFill="0" applyBorder="0" applyAlignment="0" applyProtection="0"/>
    <xf numFmtId="190" fontId="43" fillId="0" borderId="0" applyFont="0" applyFill="0" applyBorder="0" applyAlignment="0" applyProtection="0"/>
    <xf numFmtId="0" fontId="43" fillId="0" borderId="0" applyFont="0" applyFill="0" applyBorder="0" applyAlignment="0" applyProtection="0"/>
    <xf numFmtId="201" fontId="43" fillId="0" borderId="0" applyFont="0" applyFill="0" applyBorder="0" applyAlignment="0" applyProtection="0"/>
    <xf numFmtId="201" fontId="43" fillId="0" borderId="0" applyFont="0" applyFill="0" applyBorder="0" applyAlignment="0" applyProtection="0"/>
    <xf numFmtId="39"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39" fontId="43" fillId="0" borderId="0" applyFont="0" applyFill="0" applyBorder="0" applyAlignment="0" applyProtection="0"/>
    <xf numFmtId="39" fontId="43" fillId="0" borderId="0" applyFont="0" applyFill="0" applyBorder="0" applyAlignment="0" applyProtection="0"/>
    <xf numFmtId="39" fontId="43" fillId="0" borderId="0" applyFont="0" applyFill="0" applyBorder="0" applyAlignment="0" applyProtection="0"/>
    <xf numFmtId="191" fontId="43" fillId="0" borderId="0" applyFont="0" applyFill="0" applyBorder="0" applyAlignment="0" applyProtection="0"/>
    <xf numFmtId="39" fontId="43" fillId="0" borderId="0" applyFont="0" applyFill="0" applyBorder="0" applyAlignment="0" applyProtection="0"/>
    <xf numFmtId="202" fontId="43" fillId="49" borderId="63"/>
    <xf numFmtId="4" fontId="43" fillId="49" borderId="0"/>
    <xf numFmtId="4" fontId="43" fillId="49" borderId="0"/>
    <xf numFmtId="4" fontId="43" fillId="49" borderId="0"/>
    <xf numFmtId="4" fontId="43" fillId="49" borderId="0"/>
    <xf numFmtId="4" fontId="43" fillId="49" borderId="0"/>
    <xf numFmtId="4" fontId="43" fillId="49" borderId="0"/>
    <xf numFmtId="202" fontId="43" fillId="49" borderId="63"/>
    <xf numFmtId="4" fontId="43" fillId="49" borderId="0"/>
    <xf numFmtId="4" fontId="43" fillId="49" borderId="0"/>
    <xf numFmtId="203" fontId="43" fillId="49" borderId="63"/>
    <xf numFmtId="0" fontId="43" fillId="49" borderId="63"/>
    <xf numFmtId="204" fontId="43" fillId="49" borderId="63"/>
    <xf numFmtId="0" fontId="43" fillId="49" borderId="63"/>
    <xf numFmtId="204" fontId="43" fillId="49" borderId="63"/>
    <xf numFmtId="0" fontId="43" fillId="49" borderId="63"/>
    <xf numFmtId="205" fontId="43" fillId="49" borderId="63"/>
    <xf numFmtId="203" fontId="43" fillId="49" borderId="63"/>
    <xf numFmtId="203" fontId="43" fillId="49" borderId="63"/>
    <xf numFmtId="0" fontId="43" fillId="49" borderId="63"/>
    <xf numFmtId="206" fontId="43" fillId="49" borderId="63"/>
    <xf numFmtId="0" fontId="43" fillId="49" borderId="63"/>
    <xf numFmtId="207" fontId="43" fillId="49" borderId="63"/>
    <xf numFmtId="204" fontId="43" fillId="49" borderId="63"/>
    <xf numFmtId="4" fontId="43" fillId="49" borderId="0"/>
    <xf numFmtId="202" fontId="43" fillId="49" borderId="63"/>
    <xf numFmtId="4" fontId="43" fillId="49" borderId="0"/>
    <xf numFmtId="4" fontId="43" fillId="49" borderId="0"/>
    <xf numFmtId="4" fontId="43" fillId="49" borderId="0"/>
    <xf numFmtId="4" fontId="43" fillId="49" borderId="0"/>
    <xf numFmtId="4" fontId="43" fillId="49" borderId="0"/>
    <xf numFmtId="202" fontId="43" fillId="49" borderId="63"/>
    <xf numFmtId="202" fontId="43" fillId="49" borderId="63"/>
    <xf numFmtId="0" fontId="43" fillId="49" borderId="63"/>
    <xf numFmtId="4" fontId="43" fillId="49" borderId="0"/>
    <xf numFmtId="208" fontId="43" fillId="49" borderId="63"/>
    <xf numFmtId="209" fontId="43" fillId="49" borderId="63"/>
    <xf numFmtId="209" fontId="43" fillId="49" borderId="63"/>
    <xf numFmtId="209" fontId="43" fillId="49" borderId="63"/>
    <xf numFmtId="210" fontId="43" fillId="49" borderId="63"/>
    <xf numFmtId="203" fontId="43" fillId="49" borderId="63"/>
    <xf numFmtId="204" fontId="43" fillId="49" borderId="63"/>
    <xf numFmtId="203" fontId="43" fillId="49" borderId="63"/>
    <xf numFmtId="206" fontId="43" fillId="49" borderId="63"/>
    <xf numFmtId="204" fontId="43" fillId="49" borderId="63"/>
    <xf numFmtId="0" fontId="43" fillId="0" borderId="0" applyFont="0" applyFill="0" applyBorder="0" applyAlignment="0" applyProtection="0"/>
    <xf numFmtId="40" fontId="43" fillId="0" borderId="0">
      <alignment vertical="center"/>
    </xf>
    <xf numFmtId="3" fontId="43" fillId="0" borderId="0"/>
    <xf numFmtId="0" fontId="43" fillId="0" borderId="0" applyBorder="0"/>
    <xf numFmtId="184" fontId="43" fillId="0" borderId="0" applyFont="0" applyFill="0" applyBorder="0" applyAlignment="0" applyProtection="0"/>
    <xf numFmtId="211" fontId="43" fillId="0" borderId="0" applyFont="0" applyFill="0" applyBorder="0" applyAlignment="0" applyProtection="0"/>
    <xf numFmtId="0" fontId="43" fillId="0" borderId="0"/>
    <xf numFmtId="0" fontId="43" fillId="0" borderId="0"/>
    <xf numFmtId="0" fontId="43" fillId="0" borderId="0" applyNumberFormat="0" applyFill="0" applyBorder="0" applyAlignment="0" applyProtection="0"/>
    <xf numFmtId="185" fontId="43" fillId="0" borderId="0" applyFont="0" applyFill="0" applyBorder="0" applyAlignment="0" applyProtection="0"/>
    <xf numFmtId="0" fontId="43" fillId="0" borderId="0" applyFont="0" applyFill="0" applyBorder="0" applyAlignment="0" applyProtection="0"/>
    <xf numFmtId="212" fontId="43" fillId="0" borderId="0" applyFont="0" applyFill="0" applyBorder="0" applyAlignment="0" applyProtection="0"/>
    <xf numFmtId="212" fontId="43" fillId="0" borderId="0" applyFont="0" applyFill="0" applyBorder="0" applyAlignment="0" applyProtection="0"/>
    <xf numFmtId="212" fontId="43" fillId="0" borderId="0" applyFont="0" applyFill="0" applyBorder="0" applyAlignment="0" applyProtection="0"/>
    <xf numFmtId="212" fontId="43" fillId="0" borderId="0" applyFont="0" applyFill="0" applyBorder="0" applyAlignment="0" applyProtection="0"/>
    <xf numFmtId="190" fontId="43" fillId="0" borderId="0" applyFont="0" applyFill="0" applyBorder="0" applyAlignment="0" applyProtection="0"/>
    <xf numFmtId="212"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Border="0"/>
    <xf numFmtId="0" fontId="43" fillId="0" borderId="0" applyNumberFormat="0" applyFill="0">
      <alignment vertical="center"/>
    </xf>
    <xf numFmtId="0" fontId="43" fillId="0" borderId="0" applyNumberFormat="0" applyFill="0">
      <alignment vertical="center"/>
    </xf>
    <xf numFmtId="0" fontId="43" fillId="0" borderId="0" applyNumberFormat="0" applyFill="0">
      <alignment vertical="center"/>
    </xf>
    <xf numFmtId="0" fontId="43" fillId="0" borderId="0"/>
    <xf numFmtId="0" fontId="43" fillId="0" borderId="0" applyBorder="0"/>
    <xf numFmtId="0" fontId="43" fillId="0" borderId="0"/>
    <xf numFmtId="0" fontId="43" fillId="0" borderId="0"/>
    <xf numFmtId="0" fontId="43" fillId="0" borderId="0"/>
    <xf numFmtId="0" fontId="43" fillId="0" borderId="0"/>
    <xf numFmtId="0" fontId="43" fillId="0" borderId="0"/>
    <xf numFmtId="0" fontId="43" fillId="0" borderId="0" applyNumberFormat="0" applyFill="0" applyBorder="0" applyAlignment="0" applyProtection="0"/>
    <xf numFmtId="0" fontId="43" fillId="0" borderId="0" applyNumberFormat="0" applyFont="0" applyFill="0" applyBorder="0" applyAlignment="0" applyProtection="0"/>
    <xf numFmtId="0" fontId="43" fillId="0" borderId="0"/>
    <xf numFmtId="0" fontId="43" fillId="0" borderId="0"/>
    <xf numFmtId="0" fontId="43" fillId="0" borderId="0"/>
    <xf numFmtId="0" fontId="43" fillId="0" borderId="0"/>
    <xf numFmtId="0" fontId="43" fillId="49" borderId="0"/>
    <xf numFmtId="0" fontId="43" fillId="55" borderId="0"/>
    <xf numFmtId="0" fontId="43" fillId="55" borderId="0"/>
    <xf numFmtId="0" fontId="43" fillId="55" borderId="0"/>
    <xf numFmtId="0" fontId="43" fillId="55" borderId="0"/>
    <xf numFmtId="0" fontId="43" fillId="55" borderId="0"/>
    <xf numFmtId="0" fontId="43" fillId="49" borderId="0"/>
    <xf numFmtId="0" fontId="43" fillId="55" borderId="0"/>
    <xf numFmtId="0" fontId="43" fillId="55" borderId="0"/>
    <xf numFmtId="0" fontId="43" fillId="55" borderId="0"/>
    <xf numFmtId="0" fontId="43" fillId="49" borderId="0"/>
    <xf numFmtId="0" fontId="43" fillId="55" borderId="0"/>
    <xf numFmtId="0" fontId="43" fillId="55" borderId="0"/>
    <xf numFmtId="0" fontId="43" fillId="55" borderId="0"/>
    <xf numFmtId="0" fontId="43" fillId="55" borderId="0"/>
    <xf numFmtId="0" fontId="43" fillId="55" borderId="0"/>
    <xf numFmtId="0" fontId="43" fillId="49" borderId="0"/>
    <xf numFmtId="0" fontId="43" fillId="49" borderId="0"/>
    <xf numFmtId="0" fontId="43" fillId="55"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50" borderId="0" applyNumberFormat="0" applyFont="0" applyAlignment="0" applyProtection="0"/>
    <xf numFmtId="0" fontId="43" fillId="0" borderId="0"/>
    <xf numFmtId="0" fontId="43" fillId="0" borderId="0" applyBorder="0"/>
    <xf numFmtId="0" fontId="43" fillId="0" borderId="0" applyBorder="0"/>
    <xf numFmtId="0" fontId="43" fillId="0" borderId="0"/>
    <xf numFmtId="0" fontId="43" fillId="0" borderId="0"/>
    <xf numFmtId="0" fontId="43" fillId="0" borderId="0" applyBorder="0"/>
    <xf numFmtId="0" fontId="43" fillId="0" borderId="0" applyBorder="0"/>
    <xf numFmtId="0" fontId="43" fillId="0" borderId="0"/>
    <xf numFmtId="0" fontId="43" fillId="0" borderId="0"/>
    <xf numFmtId="0" fontId="43" fillId="0" borderId="0"/>
    <xf numFmtId="0" fontId="43" fillId="0" borderId="0"/>
    <xf numFmtId="213" fontId="43" fillId="0" borderId="0" applyFont="0" applyFill="0" applyBorder="0" applyAlignment="0" applyProtection="0"/>
    <xf numFmtId="214" fontId="43" fillId="0" borderId="0" applyFont="0" applyFill="0" applyBorder="0" applyAlignment="0" applyProtection="0"/>
    <xf numFmtId="213" fontId="43" fillId="0" borderId="0" applyFont="0" applyFill="0" applyBorder="0" applyAlignment="0" applyProtection="0"/>
    <xf numFmtId="214" fontId="43" fillId="0" borderId="0" applyFont="0" applyFill="0" applyBorder="0" applyAlignment="0" applyProtection="0"/>
    <xf numFmtId="215" fontId="43" fillId="0" borderId="0" applyFont="0" applyFill="0" applyBorder="0" applyAlignment="0" applyProtection="0"/>
    <xf numFmtId="216" fontId="43" fillId="0" borderId="0" applyFont="0" applyFill="0" applyBorder="0" applyAlignment="0" applyProtection="0"/>
    <xf numFmtId="217" fontId="43" fillId="0" borderId="0" applyFont="0" applyFill="0" applyBorder="0" applyAlignment="0" applyProtection="0"/>
    <xf numFmtId="218" fontId="43" fillId="0" borderId="0" applyFont="0" applyFill="0" applyBorder="0" applyAlignment="0" applyProtection="0"/>
    <xf numFmtId="213" fontId="43" fillId="0" borderId="0" applyFont="0" applyFill="0" applyBorder="0" applyAlignment="0" applyProtection="0"/>
    <xf numFmtId="0" fontId="43" fillId="0" borderId="0" applyFont="0" applyFill="0" applyBorder="0" applyAlignment="0" applyProtection="0"/>
    <xf numFmtId="219" fontId="43" fillId="0" borderId="0" applyFont="0" applyFill="0" applyBorder="0" applyAlignment="0" applyProtection="0"/>
    <xf numFmtId="219" fontId="43" fillId="0" borderId="0" applyFont="0" applyFill="0" applyBorder="0" applyAlignment="0" applyProtection="0"/>
    <xf numFmtId="219" fontId="43" fillId="0" borderId="0" applyFont="0" applyFill="0" applyBorder="0" applyAlignment="0" applyProtection="0"/>
    <xf numFmtId="220" fontId="43" fillId="0" borderId="0" applyFont="0" applyFill="0" applyBorder="0" applyAlignment="0" applyProtection="0"/>
    <xf numFmtId="219" fontId="43" fillId="0" borderId="0" applyFont="0" applyFill="0" applyBorder="0" applyAlignment="0" applyProtection="0"/>
    <xf numFmtId="221" fontId="43" fillId="0" borderId="0" applyFont="0" applyFill="0" applyBorder="0" applyAlignment="0" applyProtection="0"/>
    <xf numFmtId="219" fontId="43" fillId="0" borderId="0" applyFont="0" applyFill="0" applyBorder="0" applyAlignment="0" applyProtection="0"/>
    <xf numFmtId="222" fontId="43" fillId="0" borderId="0" applyFont="0" applyFill="0" applyBorder="0" applyAlignment="0" applyProtection="0"/>
    <xf numFmtId="213" fontId="43" fillId="0" borderId="0" applyFont="0" applyFill="0" applyBorder="0" applyAlignment="0" applyProtection="0"/>
    <xf numFmtId="0" fontId="43" fillId="0" borderId="0" applyFont="0" applyFill="0" applyBorder="0" applyAlignment="0" applyProtection="0"/>
    <xf numFmtId="213" fontId="43" fillId="0" borderId="0" applyFont="0" applyFill="0" applyBorder="0" applyAlignment="0" applyProtection="0"/>
    <xf numFmtId="223" fontId="43" fillId="0" borderId="0" applyFont="0" applyFill="0" applyBorder="0" applyAlignment="0" applyProtection="0"/>
    <xf numFmtId="220" fontId="43" fillId="0" borderId="0" applyFont="0" applyFill="0" applyBorder="0" applyAlignment="0" applyProtection="0"/>
    <xf numFmtId="0" fontId="43" fillId="0" borderId="0" applyFont="0" applyFill="0" applyBorder="0" applyProtection="0">
      <alignment horizontal="right"/>
    </xf>
    <xf numFmtId="220" fontId="43" fillId="0" borderId="0" applyFont="0" applyFill="0" applyBorder="0" applyAlignment="0" applyProtection="0"/>
    <xf numFmtId="224" fontId="43" fillId="0" borderId="0" applyFont="0" applyFill="0" applyBorder="0" applyAlignment="0" applyProtection="0"/>
    <xf numFmtId="225" fontId="43" fillId="0" borderId="0" applyFont="0" applyFill="0" applyBorder="0" applyAlignment="0" applyProtection="0"/>
    <xf numFmtId="226" fontId="43" fillId="0" borderId="0" applyFont="0" applyFill="0" applyBorder="0" applyAlignment="0" applyProtection="0"/>
    <xf numFmtId="223" fontId="43" fillId="0" borderId="0" applyFont="0" applyFill="0" applyBorder="0" applyAlignment="0" applyProtection="0"/>
    <xf numFmtId="227" fontId="43" fillId="0" borderId="0" applyFont="0" applyFill="0" applyBorder="0" applyAlignment="0" applyProtection="0"/>
    <xf numFmtId="228" fontId="43" fillId="0" borderId="0" applyFont="0" applyFill="0" applyBorder="0" applyAlignment="0" applyProtection="0"/>
    <xf numFmtId="227" fontId="43" fillId="0" borderId="0" applyFont="0" applyFill="0" applyBorder="0" applyAlignment="0" applyProtection="0"/>
    <xf numFmtId="229" fontId="43" fillId="0" borderId="0" applyFont="0" applyFill="0" applyBorder="0" applyAlignment="0" applyProtection="0"/>
    <xf numFmtId="223" fontId="43" fillId="0" borderId="0" applyFont="0" applyFill="0" applyBorder="0" applyAlignment="0" applyProtection="0"/>
    <xf numFmtId="216" fontId="43" fillId="0" borderId="0" applyFont="0" applyFill="0" applyBorder="0" applyAlignment="0" applyProtection="0"/>
    <xf numFmtId="22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30" fontId="43" fillId="0" borderId="0" applyFont="0" applyFill="0" applyBorder="0" applyAlignment="0" applyProtection="0"/>
    <xf numFmtId="231" fontId="43" fillId="0" borderId="0" applyFont="0" applyFill="0" applyBorder="0" applyAlignment="0" applyProtection="0"/>
    <xf numFmtId="231" fontId="43" fillId="0" borderId="0" applyFont="0" applyFill="0" applyBorder="0" applyAlignment="0" applyProtection="0"/>
    <xf numFmtId="231" fontId="43" fillId="0" borderId="0" applyFont="0" applyFill="0" applyBorder="0" applyAlignment="0" applyProtection="0"/>
    <xf numFmtId="230" fontId="43" fillId="0" borderId="0" applyFont="0" applyFill="0" applyBorder="0" applyAlignment="0" applyProtection="0"/>
    <xf numFmtId="231" fontId="43" fillId="0" borderId="0" applyFont="0" applyFill="0" applyBorder="0" applyAlignment="0" applyProtection="0"/>
    <xf numFmtId="187" fontId="43" fillId="0" borderId="0" applyFont="0" applyFill="0" applyBorder="0" applyAlignment="0" applyProtection="0"/>
    <xf numFmtId="232" fontId="43" fillId="0" borderId="0" applyFont="0" applyFill="0" applyBorder="0" applyAlignment="0" applyProtection="0"/>
    <xf numFmtId="233" fontId="43" fillId="0" borderId="0" applyFont="0" applyFill="0" applyBorder="0" applyAlignment="0" applyProtection="0"/>
    <xf numFmtId="234" fontId="43" fillId="0" borderId="0" applyFont="0" applyFill="0" applyBorder="0" applyAlignment="0" applyProtection="0"/>
    <xf numFmtId="205" fontId="43" fillId="0" borderId="0" applyFont="0" applyFill="0" applyBorder="0" applyAlignment="0" applyProtection="0"/>
    <xf numFmtId="235" fontId="43" fillId="0" borderId="0" applyFont="0" applyFill="0" applyBorder="0" applyAlignment="0" applyProtection="0"/>
    <xf numFmtId="205" fontId="43" fillId="0" borderId="0" applyFont="0" applyFill="0" applyBorder="0" applyAlignment="0" applyProtection="0"/>
    <xf numFmtId="235"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NumberFormat="0" applyFill="0">
      <alignment vertical="center"/>
    </xf>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2" borderId="0"/>
    <xf numFmtId="0" fontId="43" fillId="52" borderId="0"/>
    <xf numFmtId="0" fontId="43" fillId="52" borderId="0"/>
    <xf numFmtId="0" fontId="43" fillId="52" borderId="0"/>
    <xf numFmtId="0" fontId="43" fillId="51" borderId="0"/>
    <xf numFmtId="0" fontId="43" fillId="52" borderId="0"/>
    <xf numFmtId="0" fontId="43" fillId="52" borderId="0"/>
    <xf numFmtId="0" fontId="43" fillId="52" borderId="0"/>
    <xf numFmtId="0" fontId="43" fillId="51" borderId="0"/>
    <xf numFmtId="0" fontId="43" fillId="52" borderId="0"/>
    <xf numFmtId="0" fontId="43" fillId="52" borderId="0"/>
    <xf numFmtId="0" fontId="43" fillId="52" borderId="0"/>
    <xf numFmtId="0" fontId="43" fillId="52" borderId="0"/>
    <xf numFmtId="0" fontId="43" fillId="52" borderId="0"/>
    <xf numFmtId="0" fontId="43" fillId="51" borderId="0"/>
    <xf numFmtId="0" fontId="43" fillId="51" borderId="0"/>
    <xf numFmtId="0" fontId="43" fillId="52" borderId="0"/>
    <xf numFmtId="0" fontId="43" fillId="51" borderId="0"/>
    <xf numFmtId="0" fontId="43" fillId="53" borderId="0"/>
    <xf numFmtId="0" fontId="43" fillId="53" borderId="0"/>
    <xf numFmtId="0" fontId="43" fillId="53" borderId="0"/>
    <xf numFmtId="0" fontId="43" fillId="53" borderId="0"/>
    <xf numFmtId="0" fontId="43" fillId="51" borderId="0"/>
    <xf numFmtId="0" fontId="43" fillId="53" borderId="0"/>
    <xf numFmtId="0" fontId="43" fillId="53" borderId="0"/>
    <xf numFmtId="0" fontId="43" fillId="53" borderId="0"/>
    <xf numFmtId="0" fontId="43" fillId="51" borderId="0"/>
    <xf numFmtId="0" fontId="43" fillId="53" borderId="0"/>
    <xf numFmtId="0" fontId="43" fillId="53" borderId="0"/>
    <xf numFmtId="0" fontId="43" fillId="53" borderId="0"/>
    <xf numFmtId="0" fontId="43" fillId="53" borderId="0"/>
    <xf numFmtId="0" fontId="43" fillId="53" borderId="0"/>
    <xf numFmtId="0" fontId="43" fillId="51" borderId="0"/>
    <xf numFmtId="0" fontId="43" fillId="51" borderId="0"/>
    <xf numFmtId="0" fontId="43" fillId="53" borderId="0"/>
    <xf numFmtId="0" fontId="43" fillId="51" borderId="0"/>
    <xf numFmtId="0" fontId="43" fillId="54" borderId="0"/>
    <xf numFmtId="0" fontId="43" fillId="54" borderId="0"/>
    <xf numFmtId="0" fontId="43" fillId="54" borderId="0"/>
    <xf numFmtId="0" fontId="43" fillId="54" borderId="0"/>
    <xf numFmtId="0" fontId="43" fillId="51" borderId="0"/>
    <xf numFmtId="0" fontId="43" fillId="54" borderId="0"/>
    <xf numFmtId="0" fontId="43" fillId="54" borderId="0"/>
    <xf numFmtId="0" fontId="43" fillId="54" borderId="0"/>
    <xf numFmtId="0" fontId="43" fillId="51" borderId="0"/>
    <xf numFmtId="0" fontId="43" fillId="54" borderId="0"/>
    <xf numFmtId="0" fontId="43" fillId="54" borderId="0"/>
    <xf numFmtId="0" fontId="43" fillId="54" borderId="0"/>
    <xf numFmtId="0" fontId="43" fillId="54" borderId="0"/>
    <xf numFmtId="0" fontId="43" fillId="54" borderId="0"/>
    <xf numFmtId="0" fontId="43" fillId="51" borderId="0"/>
    <xf numFmtId="0" fontId="43" fillId="51" borderId="0"/>
    <xf numFmtId="0" fontId="43" fillId="54" borderId="0"/>
    <xf numFmtId="0" fontId="43" fillId="51" borderId="0"/>
    <xf numFmtId="0" fontId="43" fillId="51" borderId="0"/>
    <xf numFmtId="0" fontId="43" fillId="0" borderId="0"/>
    <xf numFmtId="0" fontId="43" fillId="51" borderId="0"/>
    <xf numFmtId="0" fontId="43" fillId="51" borderId="0"/>
    <xf numFmtId="0" fontId="43" fillId="51" borderId="0"/>
    <xf numFmtId="0" fontId="43" fillId="51" borderId="0"/>
    <xf numFmtId="0" fontId="43" fillId="51"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51" borderId="0"/>
    <xf numFmtId="0" fontId="43" fillId="0"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51" borderId="0"/>
    <xf numFmtId="0" fontId="43" fillId="0" borderId="0"/>
    <xf numFmtId="0" fontId="43" fillId="0" borderId="0"/>
    <xf numFmtId="0" fontId="43" fillId="0" borderId="0"/>
    <xf numFmtId="0" fontId="43" fillId="0" borderId="0"/>
    <xf numFmtId="0" fontId="43" fillId="0" borderId="0"/>
    <xf numFmtId="0" fontId="43" fillId="51" borderId="0"/>
    <xf numFmtId="0" fontId="43" fillId="51" borderId="0"/>
    <xf numFmtId="0" fontId="43" fillId="0" borderId="0"/>
    <xf numFmtId="0" fontId="43" fillId="0" borderId="0"/>
    <xf numFmtId="0" fontId="43" fillId="0" borderId="0"/>
    <xf numFmtId="0" fontId="43" fillId="0" borderId="0" applyNumberFormat="0" applyFill="0" applyBorder="0" applyAlignment="0" applyProtection="0"/>
    <xf numFmtId="0" fontId="43" fillId="0" borderId="0"/>
    <xf numFmtId="0" fontId="43" fillId="0" borderId="0" applyNumberFormat="0" applyFill="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Protection="0">
      <alignment vertical="top"/>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Protection="0">
      <alignment vertical="top"/>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64"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64" applyNumberFormat="0" applyFill="0" applyAlignment="0" applyProtection="0"/>
    <xf numFmtId="0" fontId="43" fillId="0" borderId="0" applyNumberFormat="0" applyFill="0" applyBorder="0" applyAlignment="0" applyProtection="0"/>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5" applyNumberFormat="0" applyFill="0" applyProtection="0">
      <alignment horizontal="center"/>
    </xf>
    <xf numFmtId="0" fontId="43" fillId="0" borderId="66" applyNumberFormat="0" applyFont="0" applyFill="0" applyAlignment="0" applyProtection="0"/>
    <xf numFmtId="0" fontId="43" fillId="0" borderId="66" applyNumberFormat="0" applyFont="0" applyFill="0" applyAlignment="0" applyProtection="0"/>
    <xf numFmtId="0" fontId="43" fillId="0" borderId="66" applyNumberFormat="0" applyFont="0" applyFill="0" applyAlignment="0" applyProtection="0"/>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Protection="0">
      <alignment horizontal="centerContinuous"/>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Font="0" applyFill="0" applyBorder="0" applyAlignment="0" applyProtection="0"/>
    <xf numFmtId="0" fontId="43" fillId="0" borderId="0"/>
    <xf numFmtId="3" fontId="43" fillId="0" borderId="0"/>
    <xf numFmtId="0" fontId="43" fillId="0" borderId="0" applyNumberFormat="0" applyFill="0">
      <alignment vertical="center"/>
    </xf>
    <xf numFmtId="0" fontId="43" fillId="0" borderId="0" applyNumberFormat="0" applyFill="0">
      <alignment vertical="center"/>
    </xf>
    <xf numFmtId="0" fontId="43" fillId="0" borderId="0" applyNumberFormat="0" applyFill="0">
      <alignment vertical="center"/>
    </xf>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applyFont="0" applyFill="0" applyBorder="0" applyAlignment="0" applyProtection="0"/>
    <xf numFmtId="0" fontId="43" fillId="0" borderId="0"/>
    <xf numFmtId="0" fontId="26" fillId="0" borderId="0"/>
    <xf numFmtId="0" fontId="43" fillId="0" borderId="0"/>
    <xf numFmtId="3" fontId="43" fillId="0" borderId="62" applyFont="0" applyFill="0" applyBorder="0" applyAlignment="0" applyProtection="0">
      <alignment horizontal="right"/>
    </xf>
    <xf numFmtId="3" fontId="43" fillId="0" borderId="62" applyFont="0" applyFill="0" applyBorder="0" applyAlignment="0" applyProtection="0">
      <alignment horizontal="right"/>
    </xf>
    <xf numFmtId="0" fontId="43" fillId="0" borderId="0"/>
    <xf numFmtId="0" fontId="43" fillId="0" borderId="0"/>
    <xf numFmtId="236" fontId="43" fillId="0" borderId="62" applyFont="0" applyFill="0" applyBorder="0" applyAlignment="0" applyProtection="0">
      <alignment horizontal="right"/>
    </xf>
    <xf numFmtId="236" fontId="43" fillId="0" borderId="62" applyFont="0" applyFill="0" applyBorder="0" applyAlignment="0" applyProtection="0">
      <alignment horizontal="right"/>
    </xf>
    <xf numFmtId="237" fontId="43" fillId="0" borderId="32" applyBorder="0"/>
    <xf numFmtId="237" fontId="43" fillId="0" borderId="32" applyBorder="0"/>
    <xf numFmtId="237" fontId="43" fillId="0" borderId="32" applyBorder="0"/>
    <xf numFmtId="0" fontId="43" fillId="0" borderId="62" applyFont="0" applyFill="0" applyBorder="0" applyAlignment="0" applyProtection="0">
      <alignment horizontal="right"/>
    </xf>
    <xf numFmtId="2" fontId="43" fillId="0" borderId="62" applyFont="0" applyFill="0" applyBorder="0" applyAlignment="0" applyProtection="0">
      <alignment horizontal="right"/>
    </xf>
    <xf numFmtId="2" fontId="43" fillId="0" borderId="62" applyFont="0" applyFill="0" applyBorder="0" applyAlignment="0" applyProtection="0">
      <alignment horizontal="right"/>
    </xf>
    <xf numFmtId="238" fontId="43" fillId="0" borderId="0">
      <alignment horizontal="center"/>
    </xf>
    <xf numFmtId="239" fontId="43" fillId="0" borderId="0" applyFont="0" applyFill="0" applyBorder="0" applyAlignment="0" applyProtection="0"/>
    <xf numFmtId="0" fontId="43" fillId="0" borderId="0">
      <alignment horizontal="center"/>
    </xf>
    <xf numFmtId="240" fontId="43" fillId="0" borderId="0" applyFont="0" applyFill="0" applyBorder="0" applyAlignment="0" applyProtection="0"/>
    <xf numFmtId="241" fontId="43" fillId="0" borderId="0" applyFont="0" applyFill="0" applyBorder="0" applyAlignment="0" applyProtection="0">
      <alignment horizontal="right"/>
    </xf>
    <xf numFmtId="191" fontId="43" fillId="0" borderId="0"/>
    <xf numFmtId="224" fontId="43" fillId="0" borderId="0" applyFill="0" applyBorder="0" applyProtection="0"/>
    <xf numFmtId="242" fontId="43" fillId="0" borderId="0" applyFill="0" applyBorder="0" applyProtection="0"/>
    <xf numFmtId="0" fontId="43" fillId="0" borderId="0" applyFill="0" applyBorder="0" applyProtection="0">
      <alignment horizontal="left"/>
    </xf>
    <xf numFmtId="0" fontId="43" fillId="0" borderId="0" applyFill="0" applyBorder="0" applyAlignment="0" applyProtection="0">
      <alignment horizontal="center"/>
    </xf>
    <xf numFmtId="0" fontId="0" fillId="56" borderId="0" applyNumberFormat="0" applyBorder="0" applyAlignment="0" applyProtection="0"/>
    <xf numFmtId="243" fontId="43" fillId="0" borderId="0">
      <alignment vertical="center"/>
    </xf>
    <xf numFmtId="0" fontId="43" fillId="0" borderId="0">
      <alignment vertical="center"/>
    </xf>
    <xf numFmtId="243" fontId="43" fillId="0" borderId="0">
      <alignment vertical="center"/>
    </xf>
    <xf numFmtId="0" fontId="43" fillId="0" borderId="0">
      <alignment vertical="center"/>
    </xf>
    <xf numFmtId="0" fontId="43" fillId="0" borderId="0">
      <alignment horizontal="center"/>
    </xf>
    <xf numFmtId="224" fontId="43" fillId="0" borderId="0"/>
    <xf numFmtId="37" fontId="43" fillId="0" borderId="0"/>
    <xf numFmtId="37" fontId="43" fillId="0" borderId="0"/>
    <xf numFmtId="37" fontId="43" fillId="0" borderId="0"/>
    <xf numFmtId="0" fontId="43" fillId="0" borderId="0" applyFont="0" applyProtection="0">
      <alignment vertical="center"/>
      <protection locked="0"/>
    </xf>
    <xf numFmtId="0" fontId="43" fillId="0" borderId="0" applyFill="0" applyBorder="0" applyProtection="0">
      <alignment vertical="center"/>
      <protection locked="0"/>
    </xf>
    <xf numFmtId="244" fontId="43" fillId="0" borderId="0" applyFill="0" applyBorder="0" applyProtection="0">
      <alignment vertical="center"/>
      <protection locked="0"/>
    </xf>
    <xf numFmtId="245" fontId="43" fillId="0" borderId="0" applyFill="0" applyBorder="0" applyProtection="0">
      <alignment vertical="center"/>
      <protection locked="0"/>
    </xf>
    <xf numFmtId="246" fontId="43" fillId="0" borderId="0" applyFill="0" applyBorder="0" applyProtection="0">
      <alignment vertical="center"/>
      <protection locked="0"/>
    </xf>
    <xf numFmtId="247" fontId="43" fillId="0" borderId="0" applyFill="0" applyBorder="0" applyProtection="0">
      <alignment vertical="center"/>
      <protection locked="0"/>
    </xf>
    <xf numFmtId="0" fontId="43" fillId="0" borderId="0" applyFill="0" applyBorder="0" applyProtection="0">
      <alignment vertical="center"/>
      <protection locked="0"/>
    </xf>
    <xf numFmtId="248" fontId="43" fillId="57" borderId="67">
      <alignment horizontal="center" vertical="center"/>
    </xf>
    <xf numFmtId="248" fontId="43" fillId="57" borderId="67">
      <alignment horizontal="center" vertical="center"/>
    </xf>
    <xf numFmtId="0" fontId="43" fillId="0" borderId="0"/>
    <xf numFmtId="0" fontId="43" fillId="0" borderId="68" applyFont="0" applyFill="0" applyBorder="0" applyAlignment="0" applyProtection="0"/>
    <xf numFmtId="0" fontId="43" fillId="0" borderId="68" applyFont="0" applyFill="0" applyBorder="0" applyAlignment="0" applyProtection="0"/>
    <xf numFmtId="0" fontId="43" fillId="0" borderId="0">
      <alignment horizontal="right"/>
    </xf>
    <xf numFmtId="0" fontId="43" fillId="0" borderId="0">
      <alignment horizontal="center" wrapText="1"/>
      <protection locked="0"/>
    </xf>
    <xf numFmtId="0" fontId="43" fillId="0" borderId="0" applyNumberFormat="0" applyFill="0" applyBorder="0" applyAlignment="0" applyProtection="0"/>
    <xf numFmtId="0" fontId="43" fillId="0" borderId="0" applyNumberFormat="0" applyFill="0" applyBorder="0" applyAlignment="0" applyProtection="0"/>
    <xf numFmtId="0" fontId="43" fillId="49" borderId="0" applyBorder="0" applyAlignment="0" applyProtection="0"/>
    <xf numFmtId="0" fontId="43" fillId="0" borderId="0"/>
    <xf numFmtId="0" fontId="43" fillId="0" borderId="0" applyNumberFormat="0" applyFill="0" applyBorder="0" applyAlignment="0" applyProtection="0"/>
    <xf numFmtId="191" fontId="43" fillId="0" borderId="14" applyNumberFormat="0" applyFont="0" applyFill="0" applyBorder="0" applyAlignment="0"/>
    <xf numFmtId="0" fontId="43" fillId="58" borderId="69" applyNumberFormat="0" applyAlignment="0" applyProtection="0"/>
    <xf numFmtId="3" fontId="43" fillId="0" borderId="0"/>
    <xf numFmtId="0" fontId="43" fillId="0" borderId="0" applyNumberFormat="0" applyFill="0" applyBorder="0" applyAlignment="0" applyProtection="0">
      <alignment vertical="top"/>
      <protection locked="0"/>
    </xf>
    <xf numFmtId="249" fontId="43" fillId="0" borderId="0" applyFont="0" applyFill="0" applyBorder="0" applyAlignment="0" applyProtection="0">
      <alignment horizontal="center"/>
    </xf>
    <xf numFmtId="0" fontId="43" fillId="0" borderId="0" applyNumberFormat="0" applyFill="0" applyBorder="0" applyAlignment="0" applyProtection="0"/>
    <xf numFmtId="0" fontId="43" fillId="59" borderId="0"/>
    <xf numFmtId="236" fontId="43" fillId="60" borderId="51" applyNumberFormat="0" applyFont="0" applyBorder="0" applyAlignment="0" applyProtection="0">
      <alignment horizontal="centerContinuous"/>
    </xf>
    <xf numFmtId="236" fontId="43" fillId="60" borderId="51" applyNumberFormat="0" applyFont="0" applyBorder="0" applyAlignment="0" applyProtection="0">
      <alignment horizontal="centerContinuous"/>
    </xf>
    <xf numFmtId="236" fontId="43" fillId="60" borderId="51" applyNumberFormat="0" applyFont="0" applyBorder="0" applyAlignment="0" applyProtection="0">
      <alignment horizontal="centerContinuous"/>
    </xf>
    <xf numFmtId="236" fontId="43" fillId="60" borderId="51" applyNumberFormat="0" applyFont="0" applyBorder="0" applyAlignment="0" applyProtection="0">
      <alignment horizontal="centerContinuous"/>
    </xf>
    <xf numFmtId="0" fontId="43" fillId="0" borderId="9" applyNumberFormat="0" applyFont="0" applyFill="0" applyBorder="0" applyAlignment="0">
      <alignment horizontal="center"/>
    </xf>
    <xf numFmtId="0" fontId="43" fillId="0" borderId="9" applyNumberFormat="0" applyFont="0" applyFill="0" applyBorder="0" applyAlignment="0">
      <alignment horizontal="center"/>
    </xf>
    <xf numFmtId="0" fontId="43" fillId="0" borderId="9" applyNumberFormat="0" applyFont="0" applyFill="0" applyBorder="0" applyAlignment="0">
      <alignment horizontal="center"/>
    </xf>
    <xf numFmtId="0" fontId="43" fillId="0" borderId="9" applyNumberFormat="0" applyFont="0" applyFill="0" applyBorder="0" applyAlignment="0">
      <alignment horizontal="center"/>
    </xf>
    <xf numFmtId="0" fontId="43" fillId="0" borderId="0" applyNumberFormat="0" applyFill="0" applyBorder="0" applyAlignment="0" applyProtection="0"/>
    <xf numFmtId="217" fontId="43" fillId="0" borderId="0">
      <alignment horizontal="right"/>
      <protection locked="0"/>
    </xf>
    <xf numFmtId="0" fontId="43" fillId="0" borderId="0" applyNumberFormat="0" applyFill="0" applyBorder="0" applyAlignment="0" applyProtection="0"/>
    <xf numFmtId="0" fontId="43" fillId="0" borderId="0" applyNumberFormat="0"/>
    <xf numFmtId="0" fontId="43" fillId="0" borderId="45"/>
    <xf numFmtId="0" fontId="43" fillId="0" borderId="45"/>
    <xf numFmtId="0" fontId="43" fillId="0" borderId="70" applyNumberFormat="0" applyFill="0" applyBorder="0" applyAlignment="0" applyProtection="0">
      <alignment horizontal="left" vertical="center" wrapText="1"/>
    </xf>
    <xf numFmtId="0" fontId="43" fillId="0" borderId="70" applyNumberFormat="0" applyFill="0" applyBorder="0" applyAlignment="0" applyProtection="0">
      <alignment horizontal="left" vertical="center" wrapText="1"/>
    </xf>
    <xf numFmtId="0" fontId="43" fillId="0" borderId="0" applyNumberFormat="0"/>
    <xf numFmtId="37" fontId="43" fillId="0" borderId="1" applyNumberFormat="0" applyFont="0" applyFill="0" applyAlignment="0" applyProtection="0"/>
    <xf numFmtId="37" fontId="43" fillId="0" borderId="1" applyNumberFormat="0" applyFont="0" applyFill="0" applyAlignment="0" applyProtection="0"/>
    <xf numFmtId="0" fontId="43" fillId="0" borderId="1" applyNumberFormat="0" applyFont="0" applyFill="0" applyAlignment="0" applyProtection="0"/>
    <xf numFmtId="0" fontId="43" fillId="0" borderId="1" applyNumberFormat="0" applyFont="0" applyFill="0" applyAlignment="0" applyProtection="0"/>
    <xf numFmtId="0" fontId="43" fillId="0" borderId="71" applyNumberFormat="0" applyFont="0" applyFill="0" applyAlignment="0" applyProtection="0"/>
    <xf numFmtId="37" fontId="43" fillId="0" borderId="72" applyNumberFormat="0" applyFont="0" applyFill="0" applyAlignment="0" applyProtection="0"/>
    <xf numFmtId="37" fontId="43" fillId="0" borderId="72" applyNumberFormat="0" applyFont="0" applyFill="0" applyAlignment="0" applyProtection="0"/>
    <xf numFmtId="37" fontId="43" fillId="0" borderId="72" applyNumberFormat="0" applyFont="0" applyFill="0" applyAlignment="0" applyProtection="0"/>
    <xf numFmtId="37" fontId="43" fillId="0" borderId="72" applyNumberFormat="0" applyFont="0" applyFill="0" applyAlignment="0" applyProtection="0"/>
    <xf numFmtId="0" fontId="43" fillId="0" borderId="73">
      <alignment horizontal="right"/>
    </xf>
    <xf numFmtId="0" fontId="43" fillId="0" borderId="73">
      <alignment horizontal="right"/>
    </xf>
    <xf numFmtId="224" fontId="43" fillId="0" borderId="74" applyNumberFormat="0" applyFont="0" applyFill="0" applyAlignment="0" applyProtection="0"/>
    <xf numFmtId="224" fontId="43" fillId="0" borderId="74" applyNumberFormat="0" applyFont="0" applyFill="0" applyAlignment="0" applyProtection="0"/>
    <xf numFmtId="0" fontId="43" fillId="0" borderId="0" applyFont="0" applyFill="0" applyBorder="0" applyAlignment="0" applyProtection="0"/>
    <xf numFmtId="0" fontId="43" fillId="56" borderId="75" applyNumberFormat="0" applyFont="0" applyBorder="0" applyAlignment="0" applyProtection="0">
      <alignment horizontal="left"/>
    </xf>
    <xf numFmtId="0" fontId="43" fillId="56" borderId="75" applyNumberFormat="0" applyFont="0" applyBorder="0" applyAlignment="0" applyProtection="0">
      <alignment horizontal="left"/>
    </xf>
    <xf numFmtId="243" fontId="43" fillId="0" borderId="0" applyFill="0" applyBorder="0" applyAlignment="0"/>
    <xf numFmtId="0" fontId="43" fillId="0" borderId="0" applyFill="0" applyBorder="0" applyAlignment="0"/>
    <xf numFmtId="0" fontId="43" fillId="0" borderId="0" applyFill="0" applyBorder="0" applyAlignment="0"/>
    <xf numFmtId="0" fontId="43" fillId="0" borderId="76" applyNumberFormat="0" applyFill="0"/>
    <xf numFmtId="0" fontId="43" fillId="0" borderId="76" applyNumberFormat="0" applyFill="0"/>
    <xf numFmtId="0" fontId="43" fillId="0" borderId="76" applyNumberFormat="0" applyFill="0"/>
    <xf numFmtId="0" fontId="43" fillId="0" borderId="76" applyNumberFormat="0" applyFill="0"/>
    <xf numFmtId="0" fontId="43" fillId="0" borderId="76" applyNumberFormat="0" applyFill="0"/>
    <xf numFmtId="0" fontId="43" fillId="0" borderId="76" applyNumberFormat="0" applyFill="0"/>
    <xf numFmtId="0" fontId="43" fillId="0" borderId="76" applyNumberFormat="0" applyFill="0"/>
    <xf numFmtId="0" fontId="43" fillId="0" borderId="76" applyNumberFormat="0" applyFill="0"/>
    <xf numFmtId="0" fontId="43" fillId="61" borderId="0" applyNumberFormat="0" applyFont="0" applyBorder="0" applyAlignment="0">
      <protection locked="0"/>
    </xf>
    <xf numFmtId="191" fontId="43" fillId="0" borderId="14" applyFill="0"/>
    <xf numFmtId="191" fontId="43" fillId="0" borderId="14" applyFill="0"/>
    <xf numFmtId="0" fontId="43" fillId="0" borderId="0"/>
    <xf numFmtId="0" fontId="43" fillId="0" borderId="0" applyFill="0" applyBorder="0"/>
    <xf numFmtId="250" fontId="43" fillId="0" borderId="0" applyFill="0" applyBorder="0"/>
    <xf numFmtId="251" fontId="43" fillId="0" borderId="0" applyFill="0" applyBorder="0"/>
    <xf numFmtId="252" fontId="43" fillId="0" borderId="0" applyFill="0" applyBorder="0"/>
    <xf numFmtId="253" fontId="43" fillId="0" borderId="0" applyFill="0" applyBorder="0"/>
    <xf numFmtId="0" fontId="43" fillId="0" borderId="0" applyBorder="0">
      <alignment vertical="top"/>
    </xf>
    <xf numFmtId="254" fontId="43" fillId="0" borderId="0" applyBorder="0">
      <alignment vertical="top"/>
    </xf>
    <xf numFmtId="255" fontId="43" fillId="0" borderId="0" applyBorder="0">
      <alignment vertical="top"/>
    </xf>
    <xf numFmtId="256" fontId="43" fillId="0" borderId="0" applyBorder="0">
      <alignment vertical="top"/>
    </xf>
    <xf numFmtId="257" fontId="43" fillId="0" borderId="0" applyBorder="0">
      <alignment vertical="top"/>
    </xf>
    <xf numFmtId="258" fontId="43" fillId="0" borderId="0" applyBorder="0">
      <alignment vertical="top"/>
    </xf>
    <xf numFmtId="0" fontId="43" fillId="0" borderId="0">
      <alignment vertical="top"/>
    </xf>
    <xf numFmtId="259" fontId="43" fillId="0" borderId="0">
      <alignment vertical="top"/>
    </xf>
    <xf numFmtId="260" fontId="43" fillId="0" borderId="0">
      <alignment vertical="top"/>
    </xf>
    <xf numFmtId="261" fontId="43" fillId="0" borderId="0">
      <alignment vertical="top"/>
    </xf>
    <xf numFmtId="20" fontId="43" fillId="0" borderId="0">
      <alignment vertical="top"/>
    </xf>
    <xf numFmtId="0" fontId="43" fillId="0" borderId="0" applyFill="0" applyBorder="0"/>
    <xf numFmtId="262" fontId="43" fillId="0" borderId="0" applyFill="0" applyBorder="0"/>
    <xf numFmtId="263" fontId="43" fillId="0" borderId="0" applyFill="0" applyBorder="0"/>
    <xf numFmtId="264" fontId="43" fillId="0" borderId="0" applyFill="0" applyBorder="0"/>
    <xf numFmtId="265" fontId="43" fillId="0" borderId="0" applyFill="0" applyBorder="0"/>
    <xf numFmtId="0" fontId="43" fillId="0" borderId="0" applyFill="0" applyBorder="0">
      <alignment horizontal="center"/>
    </xf>
    <xf numFmtId="0" fontId="43" fillId="0" borderId="9" applyNumberFormat="0">
      <alignment horizontal="center" vertical="center"/>
    </xf>
    <xf numFmtId="0" fontId="43" fillId="0" borderId="9" applyNumberFormat="0">
      <alignment horizontal="center" vertical="center"/>
    </xf>
    <xf numFmtId="0" fontId="43" fillId="0" borderId="9" applyNumberFormat="0">
      <alignment horizontal="center" vertical="center"/>
    </xf>
    <xf numFmtId="0" fontId="43" fillId="0" borderId="9" applyNumberFormat="0">
      <alignment horizontal="center" vertical="center"/>
    </xf>
    <xf numFmtId="0" fontId="43" fillId="0" borderId="45" applyBorder="0">
      <alignment horizontal="centerContinuous"/>
    </xf>
    <xf numFmtId="0" fontId="43" fillId="0" borderId="45" applyBorder="0">
      <alignment horizontal="centerContinuous"/>
    </xf>
    <xf numFmtId="266" fontId="43" fillId="0" borderId="0" applyFill="0" applyBorder="0"/>
    <xf numFmtId="187" fontId="43" fillId="0" borderId="0" applyFont="0" applyFill="0" applyBorder="0" applyAlignment="0"/>
    <xf numFmtId="267" fontId="43" fillId="0" borderId="0" applyNumberFormat="0" applyAlignment="0">
      <alignment vertical="center"/>
    </xf>
    <xf numFmtId="268" fontId="43" fillId="0" borderId="0" applyFill="0" applyBorder="0"/>
    <xf numFmtId="269" fontId="43" fillId="0" borderId="0" applyFill="0" applyBorder="0"/>
    <xf numFmtId="0" fontId="43" fillId="0" borderId="0" applyNumberFormat="0" applyFill="0" applyBorder="0" applyAlignment="0" applyProtection="0"/>
    <xf numFmtId="0" fontId="43" fillId="0" borderId="45" applyNumberFormat="0" applyFill="0" applyBorder="0" applyAlignment="0" applyProtection="0">
      <alignment horizontal="center"/>
    </xf>
    <xf numFmtId="0" fontId="43" fillId="0" borderId="45" applyNumberFormat="0" applyFill="0" applyBorder="0" applyAlignment="0" applyProtection="0">
      <alignment horizontal="center"/>
    </xf>
    <xf numFmtId="0" fontId="43" fillId="0" borderId="45" applyNumberFormat="0" applyFill="0" applyProtection="0">
      <alignment horizontal="left" vertical="center"/>
    </xf>
    <xf numFmtId="0" fontId="43" fillId="0" borderId="0">
      <alignment horizontal="center" wrapText="1"/>
      <protection hidden="1"/>
    </xf>
    <xf numFmtId="37" fontId="43" fillId="0" borderId="0" applyNumberFormat="0" applyFill="0" applyBorder="0" applyProtection="0">
      <alignment horizontal="right" wrapText="1"/>
    </xf>
    <xf numFmtId="0" fontId="43" fillId="62" borderId="0" applyNumberFormat="0">
      <alignment horizontal="center" vertical="top" wrapText="1"/>
    </xf>
    <xf numFmtId="0" fontId="43" fillId="62" borderId="0" applyNumberFormat="0">
      <alignment horizontal="left" vertical="top" wrapText="1"/>
    </xf>
    <xf numFmtId="0" fontId="43" fillId="62" borderId="0" applyNumberFormat="0">
      <alignment horizontal="centerContinuous" vertical="top"/>
    </xf>
    <xf numFmtId="0" fontId="43" fillId="62" borderId="0" applyNumberFormat="0">
      <alignment horizontal="center" vertical="top" wrapText="1"/>
    </xf>
    <xf numFmtId="0" fontId="43" fillId="0" borderId="0">
      <alignment horizontal="right"/>
    </xf>
    <xf numFmtId="0" fontId="43" fillId="0" borderId="0" applyNumberFormat="0" applyFill="0" applyBorder="0" applyAlignment="0"/>
    <xf numFmtId="190" fontId="43" fillId="0" borderId="0" applyFont="0" applyFill="0" applyBorder="0" applyAlignment="0" applyProtection="0"/>
    <xf numFmtId="190" fontId="43" fillId="0" borderId="0" applyFont="0" applyFill="0" applyBorder="0" applyAlignment="0" applyProtection="0"/>
    <xf numFmtId="270" fontId="43" fillId="0" borderId="0"/>
    <xf numFmtId="270" fontId="43" fillId="0" borderId="0"/>
    <xf numFmtId="270" fontId="43" fillId="0" borderId="0"/>
    <xf numFmtId="270" fontId="43" fillId="0" borderId="0"/>
    <xf numFmtId="270" fontId="43" fillId="0" borderId="0"/>
    <xf numFmtId="270" fontId="43" fillId="0" borderId="0"/>
    <xf numFmtId="270" fontId="43" fillId="0" borderId="0"/>
    <xf numFmtId="270" fontId="43" fillId="0" borderId="0"/>
    <xf numFmtId="0" fontId="43" fillId="0" borderId="0" applyFont="0" applyFill="0" applyBorder="0" applyAlignment="0" applyProtection="0"/>
    <xf numFmtId="0" fontId="43" fillId="0" borderId="0" applyFont="0" applyFill="0" applyBorder="0" applyProtection="0">
      <alignment horizontal="right"/>
    </xf>
    <xf numFmtId="271" fontId="43" fillId="0" borderId="0" applyFont="0" applyFill="0" applyBorder="0" applyAlignment="0" applyProtection="0"/>
    <xf numFmtId="0" fontId="43" fillId="0" borderId="0" applyFont="0" applyFill="0" applyBorder="0" applyProtection="0">
      <alignment horizontal="right"/>
    </xf>
    <xf numFmtId="0" fontId="43" fillId="0" borderId="0" applyFont="0" applyFill="0" applyBorder="0" applyAlignment="0" applyProtection="0">
      <alignment horizontal="right"/>
    </xf>
    <xf numFmtId="190" fontId="63" fillId="0" borderId="0" applyFont="0" applyFill="0" applyBorder="0" applyAlignment="0" applyProtection="0"/>
    <xf numFmtId="190" fontId="63" fillId="0" borderId="0" applyFont="0" applyFill="0" applyBorder="0" applyAlignment="0" applyProtection="0"/>
    <xf numFmtId="190" fontId="64" fillId="0" borderId="0" applyFont="0" applyFill="0" applyBorder="0" applyAlignment="0" applyProtection="0"/>
    <xf numFmtId="272" fontId="64" fillId="0" borderId="0" applyFont="0" applyFill="0" applyBorder="0" applyAlignment="0" applyProtection="0"/>
    <xf numFmtId="190" fontId="63" fillId="0" borderId="0" applyFont="0" applyFill="0" applyBorder="0" applyAlignment="0" applyProtection="0"/>
    <xf numFmtId="190" fontId="63" fillId="0" borderId="0" applyFont="0" applyFill="0" applyBorder="0" applyAlignment="0" applyProtection="0"/>
    <xf numFmtId="272" fontId="43" fillId="0" borderId="0" applyFont="0" applyFill="0" applyBorder="0" applyAlignment="0" applyProtection="0"/>
    <xf numFmtId="190" fontId="43" fillId="0" borderId="0" applyFont="0" applyFill="0" applyBorder="0" applyAlignment="0" applyProtection="0"/>
    <xf numFmtId="185" fontId="0" fillId="0" borderId="0" applyFont="0" applyFill="0" applyBorder="0" applyAlignment="0" applyProtection="0"/>
    <xf numFmtId="3" fontId="43" fillId="0" borderId="0" applyFont="0" applyFill="0" applyBorder="0" applyAlignment="0" applyProtection="0"/>
    <xf numFmtId="0" fontId="43" fillId="0" borderId="0" applyFill="0" applyBorder="0" applyProtection="0">
      <alignment horizontal="left"/>
    </xf>
    <xf numFmtId="0" fontId="43" fillId="63" borderId="0">
      <alignment horizontal="center" vertical="center" wrapText="1"/>
    </xf>
    <xf numFmtId="191" fontId="43" fillId="0" borderId="0"/>
    <xf numFmtId="0" fontId="43" fillId="63" borderId="0">
      <alignment horizontal="center" vertical="center" wrapText="1"/>
    </xf>
    <xf numFmtId="181" fontId="43" fillId="0" borderId="9" applyBorder="0"/>
    <xf numFmtId="181" fontId="43" fillId="0" borderId="9" applyBorder="0"/>
    <xf numFmtId="181" fontId="43" fillId="0" borderId="9" applyBorder="0"/>
    <xf numFmtId="181" fontId="43" fillId="0" borderId="9" applyBorder="0"/>
    <xf numFmtId="0" fontId="43" fillId="0" borderId="0" applyNumberFormat="0" applyAlignment="0">
      <alignment horizontal="left"/>
    </xf>
    <xf numFmtId="3" fontId="43" fillId="51" borderId="0">
      <protection hidden="1"/>
    </xf>
    <xf numFmtId="273" fontId="43" fillId="51" borderId="0">
      <protection hidden="1"/>
    </xf>
    <xf numFmtId="3" fontId="43" fillId="51" borderId="0">
      <protection hidden="1"/>
    </xf>
    <xf numFmtId="217" fontId="43" fillId="51" borderId="0">
      <protection hidden="1"/>
    </xf>
    <xf numFmtId="274" fontId="43" fillId="51" borderId="0">
      <protection hidden="1"/>
    </xf>
    <xf numFmtId="0" fontId="43" fillId="51" borderId="0">
      <protection hidden="1"/>
    </xf>
    <xf numFmtId="0" fontId="43" fillId="62" borderId="77" applyProtection="0"/>
    <xf numFmtId="275" fontId="43" fillId="0" borderId="0" applyFill="0" applyBorder="0"/>
    <xf numFmtId="0" fontId="43" fillId="0" borderId="0" applyFill="0" applyBorder="0"/>
    <xf numFmtId="276" fontId="43" fillId="0" borderId="0" applyFill="0" applyBorder="0"/>
    <xf numFmtId="277" fontId="43" fillId="0" borderId="0" applyFill="0" applyBorder="0"/>
    <xf numFmtId="278" fontId="43" fillId="0" borderId="0" applyBorder="0">
      <alignment vertical="top"/>
    </xf>
    <xf numFmtId="279" fontId="43" fillId="0" borderId="0" applyBorder="0">
      <alignment vertical="top"/>
    </xf>
    <xf numFmtId="280" fontId="43" fillId="0" borderId="0" applyBorder="0">
      <alignment vertical="top"/>
    </xf>
    <xf numFmtId="281" fontId="43" fillId="0" borderId="0" applyBorder="0">
      <alignment vertical="top"/>
    </xf>
    <xf numFmtId="282" fontId="43" fillId="0" borderId="0" applyBorder="0">
      <alignment vertical="top"/>
    </xf>
    <xf numFmtId="283" fontId="43" fillId="0" borderId="0" applyFill="0" applyBorder="0"/>
    <xf numFmtId="273" fontId="43" fillId="0" borderId="0" applyFill="0" applyBorder="0"/>
    <xf numFmtId="274" fontId="43" fillId="0" borderId="0" applyFill="0" applyBorder="0"/>
    <xf numFmtId="284" fontId="43" fillId="0" borderId="0" applyFill="0" applyBorder="0"/>
    <xf numFmtId="285" fontId="43" fillId="0" borderId="0" applyFill="0" applyBorder="0"/>
    <xf numFmtId="286" fontId="43" fillId="0" borderId="0" applyBorder="0">
      <alignment vertical="top"/>
    </xf>
    <xf numFmtId="287" fontId="43" fillId="0" borderId="0" applyBorder="0">
      <alignment vertical="top"/>
    </xf>
    <xf numFmtId="0" fontId="43" fillId="0" borderId="0">
      <alignment vertical="top"/>
    </xf>
    <xf numFmtId="0" fontId="43" fillId="0" borderId="0">
      <alignment horizontal="center"/>
    </xf>
    <xf numFmtId="0" fontId="43" fillId="0" borderId="0">
      <alignment horizontal="center" vertical="top"/>
    </xf>
    <xf numFmtId="0" fontId="43" fillId="0" borderId="0">
      <alignment vertical="top" wrapText="1"/>
    </xf>
    <xf numFmtId="0" fontId="43" fillId="0" borderId="0">
      <alignment vertical="top"/>
    </xf>
    <xf numFmtId="0" fontId="43" fillId="0" borderId="0">
      <alignment vertical="top"/>
    </xf>
    <xf numFmtId="0" fontId="43" fillId="0" borderId="0">
      <alignment vertical="top" wrapText="1"/>
    </xf>
    <xf numFmtId="0" fontId="43" fillId="0" borderId="0">
      <alignment vertical="top"/>
    </xf>
    <xf numFmtId="191" fontId="43" fillId="0" borderId="0" applyFill="0" applyBorder="0" applyAlignment="0" applyProtection="0">
      <alignment horizontal="left"/>
    </xf>
    <xf numFmtId="4" fontId="43" fillId="0" borderId="0"/>
    <xf numFmtId="285" fontId="43" fillId="0" borderId="0" applyFill="0" applyBorder="0">
      <alignment horizontal="right"/>
      <protection locked="0"/>
    </xf>
    <xf numFmtId="288" fontId="43" fillId="0" borderId="0"/>
    <xf numFmtId="288" fontId="43" fillId="0" borderId="72"/>
    <xf numFmtId="288" fontId="43" fillId="0" borderId="72"/>
    <xf numFmtId="288" fontId="43" fillId="0" borderId="72"/>
    <xf numFmtId="288" fontId="43" fillId="0" borderId="72"/>
    <xf numFmtId="288" fontId="43" fillId="0" borderId="48"/>
    <xf numFmtId="288" fontId="43" fillId="0" borderId="48"/>
    <xf numFmtId="288" fontId="43" fillId="0" borderId="48"/>
    <xf numFmtId="288" fontId="43" fillId="0" borderId="48"/>
    <xf numFmtId="288" fontId="43" fillId="0" borderId="0"/>
    <xf numFmtId="37" fontId="43" fillId="0" borderId="0" applyBorder="0" applyAlignment="0"/>
    <xf numFmtId="289" fontId="43" fillId="0" borderId="0" applyFont="0" applyFill="0" applyBorder="0" applyAlignment="0" applyProtection="0">
      <alignment vertical="center"/>
    </xf>
    <xf numFmtId="0" fontId="43" fillId="0" borderId="0" applyFont="0" applyFill="0" applyBorder="0" applyAlignment="0" applyProtection="0"/>
    <xf numFmtId="0" fontId="43" fillId="0" borderId="78">
      <protection locked="0"/>
    </xf>
    <xf numFmtId="0" fontId="43" fillId="0" borderId="78">
      <protection locked="0"/>
    </xf>
    <xf numFmtId="0" fontId="43" fillId="0" borderId="78">
      <protection locked="0"/>
    </xf>
    <xf numFmtId="0" fontId="43" fillId="0" borderId="78">
      <protection locked="0"/>
    </xf>
    <xf numFmtId="0" fontId="43" fillId="0" borderId="78">
      <protection locked="0"/>
    </xf>
    <xf numFmtId="0" fontId="43" fillId="0" borderId="78">
      <protection locked="0"/>
    </xf>
    <xf numFmtId="0" fontId="43" fillId="0" borderId="78">
      <protection locked="0"/>
    </xf>
    <xf numFmtId="0" fontId="43" fillId="0" borderId="78">
      <protection locked="0"/>
    </xf>
    <xf numFmtId="0" fontId="43" fillId="0" borderId="0" applyFont="0" applyFill="0" applyBorder="0" applyAlignment="0" applyProtection="0">
      <alignment horizontal="right"/>
    </xf>
    <xf numFmtId="263" fontId="43" fillId="0" borderId="0" applyFont="0" applyFill="0" applyBorder="0" applyAlignment="0" applyProtection="0">
      <alignment horizontal="right"/>
    </xf>
    <xf numFmtId="290" fontId="43" fillId="0" borderId="0" applyFont="0" applyFill="0" applyBorder="0" applyAlignment="0" applyProtection="0"/>
    <xf numFmtId="291" fontId="43" fillId="0" borderId="0" applyFont="0" applyFill="0" applyBorder="0" applyAlignment="0" applyProtection="0"/>
    <xf numFmtId="290" fontId="43" fillId="0" borderId="0" applyFont="0" applyFill="0" applyBorder="0" applyAlignment="0" applyProtection="0"/>
    <xf numFmtId="292" fontId="43" fillId="0" borderId="0" applyFont="0" applyFill="0" applyBorder="0" applyAlignment="0" applyProtection="0"/>
    <xf numFmtId="0" fontId="43" fillId="0" borderId="0" applyFont="0" applyFill="0" applyBorder="0" applyAlignment="0" applyProtection="0">
      <alignment vertical="center"/>
    </xf>
    <xf numFmtId="0" fontId="43" fillId="0" borderId="0" applyFont="0" applyFill="0" applyBorder="0" applyAlignment="0" applyProtection="0">
      <alignment vertical="center"/>
    </xf>
    <xf numFmtId="0" fontId="43" fillId="0" borderId="0" applyFont="0" applyFill="0" applyBorder="0" applyAlignment="0" applyProtection="0">
      <alignment vertical="center"/>
    </xf>
    <xf numFmtId="0" fontId="43" fillId="0" borderId="0" applyFont="0" applyFill="0" applyBorder="0" applyAlignment="0" applyProtection="0">
      <alignment vertical="center"/>
    </xf>
    <xf numFmtId="293" fontId="43" fillId="0" borderId="0" applyFont="0" applyFill="0" applyBorder="0" applyAlignment="0" applyProtection="0">
      <alignment vertical="center"/>
    </xf>
    <xf numFmtId="0" fontId="43" fillId="0" borderId="0" applyFont="0" applyFill="0" applyBorder="0" applyAlignment="0" applyProtection="0">
      <alignment vertical="center"/>
    </xf>
    <xf numFmtId="198" fontId="43" fillId="0" borderId="0" applyFont="0" applyFill="0" applyBorder="0" applyAlignment="0" applyProtection="0">
      <alignment vertical="center"/>
    </xf>
    <xf numFmtId="199" fontId="43" fillId="0" borderId="0" applyFont="0" applyFill="0" applyBorder="0" applyAlignment="0" applyProtection="0">
      <alignment vertical="center"/>
    </xf>
    <xf numFmtId="0" fontId="43" fillId="0" borderId="0" applyFont="0" applyFill="0" applyBorder="0" applyAlignment="0" applyProtection="0">
      <alignment vertical="center"/>
    </xf>
    <xf numFmtId="197" fontId="43" fillId="0" borderId="0" applyFont="0" applyFill="0" applyBorder="0" applyAlignment="0" applyProtection="0">
      <alignment vertical="center"/>
    </xf>
    <xf numFmtId="0" fontId="43" fillId="0" borderId="0" applyFont="0" applyFill="0" applyBorder="0" applyAlignment="0" applyProtection="0">
      <alignment vertical="center"/>
    </xf>
    <xf numFmtId="0" fontId="43" fillId="0" borderId="0" applyFont="0" applyFill="0" applyBorder="0" applyAlignment="0" applyProtection="0">
      <alignment vertical="center"/>
    </xf>
    <xf numFmtId="0" fontId="43" fillId="0" borderId="0" applyFont="0" applyFill="0" applyBorder="0" applyAlignment="0" applyProtection="0"/>
    <xf numFmtId="206" fontId="43" fillId="0" borderId="0"/>
    <xf numFmtId="0" fontId="43" fillId="0" borderId="0" applyFont="0" applyFill="0" applyBorder="0" applyAlignment="0">
      <protection locked="0"/>
    </xf>
    <xf numFmtId="3" fontId="43" fillId="59" borderId="9"/>
    <xf numFmtId="3" fontId="43" fillId="59" borderId="9"/>
    <xf numFmtId="3" fontId="43" fillId="59" borderId="9"/>
    <xf numFmtId="3" fontId="43" fillId="59" borderId="9"/>
    <xf numFmtId="294" fontId="43" fillId="0" borderId="0" applyFont="0" applyFill="0" applyBorder="0" applyAlignment="0" applyProtection="0"/>
    <xf numFmtId="0" fontId="43" fillId="0" borderId="0"/>
    <xf numFmtId="215" fontId="43" fillId="0" borderId="0" applyNumberFormat="0">
      <alignment horizontal="right"/>
    </xf>
    <xf numFmtId="0" fontId="43" fillId="50" borderId="9">
      <alignment horizontal="right"/>
    </xf>
    <xf numFmtId="0" fontId="43" fillId="50" borderId="9">
      <alignment horizontal="right"/>
    </xf>
    <xf numFmtId="0" fontId="43" fillId="50" borderId="9">
      <alignment horizontal="right"/>
    </xf>
    <xf numFmtId="0" fontId="43" fillId="50" borderId="9">
      <alignment horizontal="right"/>
    </xf>
    <xf numFmtId="0" fontId="43" fillId="0" borderId="0"/>
    <xf numFmtId="268" fontId="43" fillId="50" borderId="9">
      <protection locked="0"/>
    </xf>
    <xf numFmtId="0" fontId="43" fillId="0" borderId="0" applyFont="0" applyFill="0" applyBorder="0" applyAlignment="0" applyProtection="0"/>
    <xf numFmtId="202" fontId="43" fillId="0" borderId="0" applyFont="0" applyFill="0" applyBorder="0" applyAlignment="0" applyProtection="0">
      <alignment vertical="center"/>
    </xf>
    <xf numFmtId="203" fontId="43" fillId="0" borderId="0" applyFont="0" applyFill="0" applyBorder="0" applyAlignment="0" applyProtection="0">
      <alignment vertical="center"/>
    </xf>
    <xf numFmtId="269" fontId="43" fillId="0" borderId="0" applyFont="0" applyFill="0" applyBorder="0" applyAlignment="0" applyProtection="0"/>
    <xf numFmtId="295" fontId="43" fillId="0" borderId="0" applyFill="0" applyBorder="0" applyAlignment="0"/>
    <xf numFmtId="296" fontId="43" fillId="0" borderId="0" applyFill="0" applyBorder="0" applyProtection="0"/>
    <xf numFmtId="295" fontId="43" fillId="0" borderId="0" applyFill="0" applyBorder="0" applyProtection="0"/>
    <xf numFmtId="0" fontId="43" fillId="0" borderId="0" applyFont="0" applyFill="0" applyBorder="0" applyProtection="0">
      <alignment horizontal="right"/>
    </xf>
    <xf numFmtId="0" fontId="43" fillId="0" borderId="0" applyFill="0" applyBorder="0" applyProtection="0">
      <alignment horizontal="center"/>
      <protection locked="0"/>
    </xf>
    <xf numFmtId="297" fontId="43" fillId="0" borderId="0" applyFont="0" applyFill="0" applyBorder="0" applyAlignment="0" applyProtection="0">
      <alignment horizontal="right"/>
    </xf>
    <xf numFmtId="295" fontId="43" fillId="0" borderId="31" applyFill="0" applyBorder="0"/>
    <xf numFmtId="295" fontId="43" fillId="0" borderId="31" applyFill="0" applyBorder="0"/>
    <xf numFmtId="295" fontId="43" fillId="0" borderId="31" applyFill="0" applyBorder="0"/>
    <xf numFmtId="264" fontId="43" fillId="0" borderId="0" applyFont="0" applyFill="0" applyBorder="0" applyAlignment="0" applyProtection="0"/>
    <xf numFmtId="0" fontId="43" fillId="0" borderId="0"/>
    <xf numFmtId="0" fontId="43" fillId="0" borderId="0"/>
    <xf numFmtId="295" fontId="43" fillId="0" borderId="0" applyFill="0" applyBorder="0" applyAlignment="0" applyProtection="0"/>
    <xf numFmtId="0" fontId="43" fillId="0" borderId="0">
      <alignment horizontal="right"/>
    </xf>
    <xf numFmtId="4" fontId="43" fillId="0" borderId="0">
      <alignment horizontal="right"/>
    </xf>
    <xf numFmtId="298" fontId="43" fillId="0" borderId="0" applyFont="0" applyFill="0" applyBorder="0" applyAlignment="0" applyProtection="0"/>
    <xf numFmtId="299" fontId="43" fillId="0" borderId="0">
      <protection hidden="1"/>
    </xf>
    <xf numFmtId="273" fontId="43" fillId="0" borderId="0">
      <protection hidden="1"/>
    </xf>
    <xf numFmtId="300" fontId="43" fillId="0" borderId="0">
      <protection hidden="1"/>
    </xf>
    <xf numFmtId="191" fontId="43" fillId="0" borderId="0"/>
    <xf numFmtId="39" fontId="43" fillId="0" borderId="0"/>
    <xf numFmtId="301" fontId="43" fillId="0" borderId="0">
      <protection locked="0"/>
    </xf>
    <xf numFmtId="3" fontId="43" fillId="0" borderId="79"/>
    <xf numFmtId="3" fontId="43" fillId="0" borderId="79"/>
    <xf numFmtId="3" fontId="43" fillId="0" borderId="0" applyFont="0" applyFill="0" applyBorder="0" applyAlignment="0" applyProtection="0"/>
    <xf numFmtId="4" fontId="43" fillId="0" borderId="0"/>
    <xf numFmtId="0" fontId="43" fillId="0" borderId="0" applyFont="0" applyFill="0" applyBorder="0" applyAlignment="0" applyProtection="0"/>
    <xf numFmtId="236" fontId="43" fillId="0" borderId="0"/>
    <xf numFmtId="0" fontId="43" fillId="0" borderId="0"/>
    <xf numFmtId="0" fontId="43" fillId="0" borderId="80" applyNumberFormat="0" applyFont="0" applyFill="0" applyAlignment="0" applyProtection="0"/>
    <xf numFmtId="0" fontId="43" fillId="0" borderId="0" applyFill="0" applyBorder="0" applyAlignment="0" applyProtection="0"/>
    <xf numFmtId="181" fontId="43" fillId="0" borderId="9"/>
    <xf numFmtId="181" fontId="43" fillId="0" borderId="9"/>
    <xf numFmtId="181" fontId="43" fillId="0" borderId="9"/>
    <xf numFmtId="181" fontId="43" fillId="0" borderId="9"/>
    <xf numFmtId="0" fontId="43" fillId="64" borderId="0">
      <alignment vertical="center"/>
    </xf>
    <xf numFmtId="0" fontId="43" fillId="0" borderId="0">
      <alignment vertical="center"/>
    </xf>
    <xf numFmtId="0" fontId="43" fillId="0" borderId="0">
      <alignment vertical="center"/>
    </xf>
    <xf numFmtId="0" fontId="43" fillId="47" borderId="81" applyNumberFormat="0" applyAlignment="0">
      <alignment horizontal="center" vertical="center"/>
    </xf>
    <xf numFmtId="0" fontId="43" fillId="47" borderId="0">
      <alignment horizontal="center" vertical="center"/>
    </xf>
    <xf numFmtId="295" fontId="43" fillId="47" borderId="0">
      <alignment horizontal="center" vertical="center"/>
    </xf>
    <xf numFmtId="261" fontId="43" fillId="47" borderId="0">
      <alignment horizontal="center" vertical="center"/>
    </xf>
    <xf numFmtId="0" fontId="43" fillId="0" borderId="0">
      <alignment vertical="center"/>
    </xf>
    <xf numFmtId="0" fontId="43" fillId="47" borderId="0">
      <alignment vertical="center"/>
    </xf>
    <xf numFmtId="0" fontId="43" fillId="47" borderId="0">
      <alignment vertical="center"/>
    </xf>
    <xf numFmtId="0" fontId="43" fillId="47" borderId="79">
      <alignment vertical="center"/>
    </xf>
    <xf numFmtId="0" fontId="43" fillId="47" borderId="79">
      <alignment vertical="center"/>
    </xf>
    <xf numFmtId="0" fontId="43" fillId="47" borderId="79">
      <alignment vertical="center"/>
    </xf>
    <xf numFmtId="0" fontId="43" fillId="47" borderId="79">
      <alignment vertical="center"/>
    </xf>
    <xf numFmtId="37" fontId="43" fillId="47" borderId="0">
      <alignment horizontal="left" vertical="center"/>
    </xf>
    <xf numFmtId="0" fontId="43" fillId="47" borderId="0">
      <alignment horizontal="center" vertical="center"/>
    </xf>
    <xf numFmtId="0" fontId="43" fillId="47" borderId="0">
      <alignment horizontal="right" vertical="center"/>
    </xf>
    <xf numFmtId="0" fontId="43" fillId="47" borderId="0">
      <alignment horizontal="right" vertical="center"/>
    </xf>
    <xf numFmtId="0" fontId="43" fillId="47" borderId="72">
      <alignment horizontal="right" vertical="center"/>
    </xf>
    <xf numFmtId="0" fontId="43" fillId="47" borderId="72">
      <alignment horizontal="right" vertical="center"/>
    </xf>
    <xf numFmtId="0" fontId="43" fillId="47" borderId="72">
      <alignment horizontal="right" vertical="center"/>
    </xf>
    <xf numFmtId="0" fontId="43" fillId="47" borderId="72">
      <alignment horizontal="right" vertical="center"/>
    </xf>
    <xf numFmtId="0" fontId="43" fillId="47" borderId="79">
      <alignment horizontal="right" vertical="center"/>
    </xf>
    <xf numFmtId="0" fontId="43" fillId="47" borderId="79">
      <alignment horizontal="right" vertical="center"/>
    </xf>
    <xf numFmtId="0" fontId="43" fillId="47" borderId="0">
      <alignment horizontal="right" vertical="center"/>
    </xf>
    <xf numFmtId="4" fontId="43" fillId="47" borderId="0">
      <alignment horizontal="right" vertical="center"/>
    </xf>
    <xf numFmtId="0" fontId="43" fillId="47" borderId="45">
      <alignment horizontal="right" vertical="center"/>
    </xf>
    <xf numFmtId="0" fontId="43" fillId="47" borderId="45">
      <alignment horizontal="right" vertical="center"/>
    </xf>
    <xf numFmtId="0" fontId="43" fillId="47" borderId="45">
      <alignment horizontal="right" vertical="center"/>
    </xf>
    <xf numFmtId="0" fontId="43" fillId="47" borderId="45">
      <alignment horizontal="right" vertical="center"/>
    </xf>
    <xf numFmtId="0" fontId="43" fillId="47" borderId="0">
      <alignment horizontal="right" vertical="center"/>
    </xf>
    <xf numFmtId="0" fontId="43" fillId="47" borderId="0">
      <alignment horizontal="right" vertical="center"/>
    </xf>
    <xf numFmtId="0" fontId="43" fillId="0" borderId="0">
      <alignment vertical="center"/>
    </xf>
    <xf numFmtId="0" fontId="43" fillId="47" borderId="45" applyBorder="0">
      <alignment horizontal="left" vertical="center"/>
    </xf>
    <xf numFmtId="0" fontId="43" fillId="47" borderId="45" applyBorder="0">
      <alignment horizontal="left" vertical="center"/>
    </xf>
    <xf numFmtId="0" fontId="43" fillId="47" borderId="0">
      <alignment horizontal="left" vertical="center"/>
    </xf>
    <xf numFmtId="0" fontId="43" fillId="47" borderId="82">
      <alignment horizontal="left"/>
    </xf>
    <xf numFmtId="0" fontId="43" fillId="47" borderId="83">
      <alignment vertical="center"/>
    </xf>
    <xf numFmtId="0" fontId="43" fillId="47" borderId="84">
      <alignment vertical="center"/>
    </xf>
    <xf numFmtId="0" fontId="43" fillId="47" borderId="72">
      <alignment vertical="center"/>
    </xf>
    <xf numFmtId="0" fontId="43" fillId="47" borderId="72">
      <alignment vertical="center"/>
    </xf>
    <xf numFmtId="0" fontId="43" fillId="47" borderId="72">
      <alignment vertical="center"/>
    </xf>
    <xf numFmtId="0" fontId="43" fillId="47" borderId="72">
      <alignment vertical="center"/>
    </xf>
    <xf numFmtId="0" fontId="43" fillId="47" borderId="85">
      <alignment horizontal="center" vertical="center"/>
    </xf>
    <xf numFmtId="0" fontId="43" fillId="0" borderId="0">
      <alignment vertical="center"/>
    </xf>
    <xf numFmtId="0" fontId="65" fillId="65" borderId="57" applyNumberFormat="0" applyAlignment="0" applyProtection="0"/>
    <xf numFmtId="3" fontId="43" fillId="50" borderId="0">
      <protection locked="0"/>
    </xf>
    <xf numFmtId="0" fontId="43" fillId="0" borderId="0" applyNumberFormat="0" applyAlignment="0">
      <alignment horizontal="left"/>
    </xf>
    <xf numFmtId="192" fontId="43" fillId="0" borderId="0" applyFont="0" applyFill="0" applyBorder="0" applyAlignment="0" applyProtection="0"/>
    <xf numFmtId="0" fontId="66" fillId="66" borderId="0" applyNumberFormat="0" applyBorder="0" applyAlignment="0" applyProtection="0"/>
    <xf numFmtId="0" fontId="43" fillId="0" borderId="9"/>
    <xf numFmtId="0" fontId="43" fillId="0" borderId="9"/>
    <xf numFmtId="0" fontId="43" fillId="0" borderId="9"/>
    <xf numFmtId="0" fontId="43" fillId="0" borderId="9"/>
    <xf numFmtId="302" fontId="43" fillId="0" borderId="0" applyFill="0" applyBorder="0" applyProtection="0"/>
    <xf numFmtId="0" fontId="43" fillId="0" borderId="0" applyNumberFormat="0" applyAlignment="0" applyProtection="0"/>
    <xf numFmtId="0" fontId="43" fillId="0" borderId="0" applyNumberFormat="0" applyFill="0" applyBorder="0" applyAlignment="0" applyProtection="0"/>
    <xf numFmtId="303" fontId="43" fillId="0" borderId="0" applyFont="0" applyFill="0" applyBorder="0" applyAlignment="0" applyProtection="0"/>
    <xf numFmtId="2" fontId="43" fillId="0" borderId="0" applyFont="0" applyFill="0" applyBorder="0" applyAlignment="0" applyProtection="0"/>
    <xf numFmtId="0" fontId="43" fillId="0" borderId="0">
      <alignment vertical="center"/>
    </xf>
    <xf numFmtId="0" fontId="43" fillId="0" borderId="0" applyNumberFormat="0" applyFill="0" applyBorder="0" applyAlignment="0" applyProtection="0">
      <alignment vertical="top"/>
      <protection locked="0"/>
    </xf>
    <xf numFmtId="0" fontId="43" fillId="0" borderId="0" applyFill="0" applyBorder="0" applyProtection="0">
      <alignment horizontal="left"/>
    </xf>
    <xf numFmtId="0" fontId="43" fillId="0" borderId="0"/>
    <xf numFmtId="0" fontId="43" fillId="0" borderId="0">
      <protection hidden="1"/>
    </xf>
    <xf numFmtId="3" fontId="43" fillId="49" borderId="9"/>
    <xf numFmtId="3" fontId="43" fillId="49" borderId="9"/>
    <xf numFmtId="3" fontId="43" fillId="49" borderId="9"/>
    <xf numFmtId="3" fontId="43" fillId="49" borderId="9"/>
    <xf numFmtId="0" fontId="43" fillId="0" borderId="0" applyNumberFormat="0" applyFill="0" applyBorder="0" applyAlignment="0" applyProtection="0"/>
    <xf numFmtId="38" fontId="43" fillId="51" borderId="0" applyNumberFormat="0" applyBorder="0" applyAlignment="0" applyProtection="0"/>
    <xf numFmtId="0" fontId="43" fillId="0" borderId="0" applyNumberFormat="0">
      <alignment horizontal="right"/>
    </xf>
    <xf numFmtId="0" fontId="43" fillId="0" borderId="0" applyNumberFormat="0">
      <alignment horizontal="right"/>
    </xf>
    <xf numFmtId="0" fontId="43" fillId="0" borderId="0" applyNumberFormat="0">
      <alignment horizontal="left"/>
    </xf>
    <xf numFmtId="0" fontId="43" fillId="0" borderId="0" applyNumberFormat="0">
      <alignment horizontal="left"/>
    </xf>
    <xf numFmtId="0" fontId="43" fillId="0" borderId="0"/>
    <xf numFmtId="0" fontId="43" fillId="62" borderId="0" applyNumberFormat="0">
      <alignment vertical="center"/>
    </xf>
    <xf numFmtId="0" fontId="43" fillId="0" borderId="0" applyFill="0" applyBorder="0"/>
    <xf numFmtId="0" fontId="43" fillId="0" borderId="0" applyNumberFormat="0" applyFill="0" applyBorder="0" applyAlignment="0" applyProtection="0">
      <alignment vertical="center"/>
    </xf>
    <xf numFmtId="0" fontId="43" fillId="0" borderId="0" applyFill="0" applyBorder="0"/>
    <xf numFmtId="0" fontId="43" fillId="0" borderId="0" applyNumberFormat="0" applyFill="0" applyBorder="0" applyAlignment="0" applyProtection="0"/>
    <xf numFmtId="0" fontId="43" fillId="0" borderId="0" applyNumberFormat="0" applyFill="0" applyBorder="0" applyAlignment="0" applyProtection="0">
      <alignment vertical="center"/>
    </xf>
    <xf numFmtId="0" fontId="43" fillId="0" borderId="0" applyFill="0" applyBorder="0"/>
    <xf numFmtId="0" fontId="43" fillId="0" borderId="0" applyNumberFormat="0" applyFill="0" applyBorder="0" applyAlignment="0" applyProtection="0"/>
    <xf numFmtId="0" fontId="43" fillId="0" borderId="0" applyNumberFormat="0" applyFill="0" applyBorder="0" applyAlignment="0" applyProtection="0">
      <alignment horizontal="left" vertical="center"/>
    </xf>
    <xf numFmtId="0" fontId="43" fillId="0" borderId="0" applyFill="0" applyBorder="0"/>
    <xf numFmtId="0" fontId="43" fillId="0" borderId="0" applyNumberFormat="0" applyFill="0" applyBorder="0" applyAlignment="0" applyProtection="0"/>
    <xf numFmtId="0" fontId="43" fillId="0" borderId="0" applyNumberFormat="0" applyFill="0" applyBorder="0" applyAlignment="0" applyProtection="0">
      <alignment vertical="center"/>
    </xf>
    <xf numFmtId="2" fontId="43" fillId="67" borderId="0"/>
    <xf numFmtId="304" fontId="43" fillId="15" borderId="9" applyNumberFormat="0" applyFont="0" applyBorder="0" applyAlignment="0" applyProtection="0"/>
    <xf numFmtId="304" fontId="43" fillId="15" borderId="9" applyNumberFormat="0" applyFont="0" applyBorder="0" applyAlignment="0" applyProtection="0"/>
    <xf numFmtId="304" fontId="43" fillId="15" borderId="9" applyNumberFormat="0" applyFont="0" applyBorder="0" applyAlignment="0" applyProtection="0"/>
    <xf numFmtId="304" fontId="43" fillId="15" borderId="9" applyNumberFormat="0" applyFont="0" applyBorder="0" applyAlignment="0" applyProtection="0"/>
    <xf numFmtId="305" fontId="43" fillId="0" borderId="0" applyFont="0" applyFill="0" applyBorder="0" applyAlignment="0" applyProtection="0">
      <alignment horizontal="right"/>
    </xf>
    <xf numFmtId="191" fontId="43" fillId="15" borderId="0" applyNumberFormat="0" applyFont="0" applyAlignment="0"/>
    <xf numFmtId="0" fontId="43" fillId="67" borderId="9" applyNumberFormat="0" applyFont="0" applyBorder="0" applyAlignment="0" applyProtection="0"/>
    <xf numFmtId="0" fontId="43" fillId="67" borderId="9" applyNumberFormat="0" applyFont="0" applyBorder="0" applyAlignment="0" applyProtection="0"/>
    <xf numFmtId="0" fontId="43" fillId="67" borderId="9" applyNumberFormat="0" applyFont="0" applyBorder="0" applyAlignment="0" applyProtection="0"/>
    <xf numFmtId="0" fontId="43" fillId="67" borderId="9" applyNumberFormat="0" applyFont="0" applyBorder="0" applyAlignment="0" applyProtection="0"/>
    <xf numFmtId="0" fontId="43" fillId="0" borderId="0" applyProtection="0">
      <alignment horizontal="right"/>
    </xf>
    <xf numFmtId="0" fontId="43" fillId="0" borderId="2" applyNumberFormat="0" applyAlignment="0" applyProtection="0">
      <alignment horizontal="left" vertical="center"/>
    </xf>
    <xf numFmtId="0" fontId="43" fillId="0" borderId="2" applyNumberFormat="0" applyAlignment="0" applyProtection="0">
      <alignment horizontal="left" vertical="center"/>
    </xf>
    <xf numFmtId="0" fontId="43" fillId="0" borderId="51">
      <alignment horizontal="left" vertical="center"/>
    </xf>
    <xf numFmtId="0" fontId="43" fillId="0" borderId="51">
      <alignment horizontal="left" vertical="center"/>
    </xf>
    <xf numFmtId="0" fontId="43" fillId="0" borderId="51">
      <alignment horizontal="left" vertical="center"/>
    </xf>
    <xf numFmtId="0" fontId="43" fillId="0" borderId="51">
      <alignment horizontal="left" vertical="center"/>
    </xf>
    <xf numFmtId="0" fontId="43" fillId="0" borderId="0">
      <alignment horizontal="center"/>
    </xf>
    <xf numFmtId="0" fontId="43" fillId="50" borderId="0" applyNumberFormat="0" applyBorder="0" applyAlignment="0" applyProtection="0"/>
    <xf numFmtId="0" fontId="43" fillId="0" borderId="0"/>
    <xf numFmtId="0" fontId="43" fillId="0" borderId="0" applyAlignment="0"/>
    <xf numFmtId="0" fontId="43" fillId="0" borderId="0"/>
    <xf numFmtId="9" fontId="43" fillId="0" borderId="0" applyNumberFormat="0">
      <protection locked="0"/>
    </xf>
    <xf numFmtId="306" fontId="43" fillId="0" borderId="0">
      <protection locked="0"/>
    </xf>
    <xf numFmtId="37" fontId="43" fillId="0" borderId="45">
      <alignment horizontal="right"/>
    </xf>
    <xf numFmtId="37" fontId="43" fillId="0" borderId="45">
      <alignment horizontal="right"/>
    </xf>
    <xf numFmtId="0" fontId="43" fillId="0" borderId="86" applyNumberFormat="0" applyFill="0" applyBorder="0" applyAlignment="0" applyProtection="0">
      <alignment horizontal="left"/>
    </xf>
    <xf numFmtId="0" fontId="43" fillId="0" borderId="86" applyNumberFormat="0" applyFill="0" applyBorder="0" applyAlignment="0" applyProtection="0">
      <alignment horizontal="left"/>
    </xf>
    <xf numFmtId="0" fontId="43" fillId="0" borderId="86" applyNumberFormat="0" applyFill="0" applyBorder="0" applyAlignment="0" applyProtection="0">
      <alignment horizontal="left"/>
    </xf>
    <xf numFmtId="0" fontId="43" fillId="0" borderId="0">
      <alignment vertical="center"/>
    </xf>
    <xf numFmtId="0" fontId="43" fillId="0" borderId="0"/>
    <xf numFmtId="0" fontId="43" fillId="0" borderId="0"/>
    <xf numFmtId="0" fontId="43" fillId="51" borderId="0" applyBorder="0" applyAlignment="0"/>
    <xf numFmtId="0" fontId="43" fillId="0" borderId="45" applyNumberFormat="0" applyFill="0" applyBorder="0"/>
    <xf numFmtId="0" fontId="43" fillId="0" borderId="45" applyNumberFormat="0" applyFill="0" applyBorder="0"/>
    <xf numFmtId="37" fontId="43" fillId="0" borderId="0" applyNumberFormat="0" applyFill="0" applyBorder="0" applyAlignment="0" applyProtection="0"/>
    <xf numFmtId="37" fontId="43" fillId="0" borderId="0" applyNumberFormat="0" applyFill="0" applyBorder="0" applyAlignment="0" applyProtection="0"/>
    <xf numFmtId="3" fontId="43" fillId="0" borderId="0">
      <protection hidden="1"/>
    </xf>
    <xf numFmtId="0" fontId="43" fillId="0" borderId="87" applyNumberFormat="0" applyFill="0" applyAlignment="0" applyProtection="0"/>
    <xf numFmtId="0" fontId="43" fillId="0" borderId="0" applyNumberFormat="0" applyFill="0" applyBorder="0" applyAlignment="0" applyProtection="0"/>
    <xf numFmtId="307" fontId="43" fillId="0" borderId="0" applyFill="0" applyBorder="0"/>
    <xf numFmtId="0" fontId="43" fillId="0" borderId="0" applyFill="0" applyBorder="0">
      <alignment horizontal="left"/>
      <protection hidden="1"/>
    </xf>
    <xf numFmtId="0" fontId="43" fillId="0" borderId="0" applyFill="0" applyBorder="0">
      <alignment horizontal="left" indent="1"/>
      <protection hidden="1"/>
    </xf>
    <xf numFmtId="0" fontId="43" fillId="0" borderId="0" applyFill="0" applyBorder="0">
      <alignment horizontal="left" indent="2"/>
      <protection hidden="1"/>
    </xf>
    <xf numFmtId="0" fontId="43" fillId="0" borderId="0" applyFill="0" applyBorder="0">
      <alignment horizontal="left" indent="3"/>
      <protection hidden="1"/>
    </xf>
    <xf numFmtId="0" fontId="67" fillId="0" borderId="0" applyNumberFormat="0" applyFill="0" applyBorder="0" applyAlignment="0" applyProtection="0">
      <alignment vertical="top"/>
      <protection locked="0"/>
    </xf>
    <xf numFmtId="0" fontId="43" fillId="0" borderId="0" applyFill="0" applyBorder="0">
      <protection locked="0"/>
    </xf>
    <xf numFmtId="250" fontId="43" fillId="0" borderId="0" applyFill="0" applyBorder="0">
      <protection locked="0"/>
    </xf>
    <xf numFmtId="251" fontId="43" fillId="0" borderId="0" applyFill="0" applyBorder="0">
      <protection locked="0"/>
    </xf>
    <xf numFmtId="252" fontId="43" fillId="0" borderId="0" applyFill="0" applyBorder="0">
      <protection locked="0"/>
    </xf>
    <xf numFmtId="253" fontId="43" fillId="0" borderId="0" applyFill="0" applyBorder="0">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4"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5"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6"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7"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25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308"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59"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0"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61"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20" fontId="43" fillId="50" borderId="88">
      <alignment vertical="top"/>
      <protection locked="0"/>
    </xf>
    <xf numFmtId="0" fontId="43" fillId="0" borderId="0" applyFill="0" applyBorder="0">
      <protection locked="0"/>
    </xf>
    <xf numFmtId="297" fontId="43" fillId="0" borderId="0" applyFill="0" applyBorder="0">
      <protection locked="0"/>
    </xf>
    <xf numFmtId="263" fontId="43" fillId="0" borderId="0" applyFill="0" applyBorder="0">
      <protection locked="0"/>
    </xf>
    <xf numFmtId="264" fontId="43" fillId="0" borderId="0" applyFill="0" applyBorder="0">
      <protection locked="0"/>
    </xf>
    <xf numFmtId="265" fontId="43" fillId="0" borderId="0" applyFill="0" applyBorder="0">
      <protection locked="0"/>
    </xf>
    <xf numFmtId="266" fontId="43" fillId="0" borderId="0" applyFill="0" applyBorder="0">
      <protection locked="0"/>
    </xf>
    <xf numFmtId="0" fontId="43" fillId="0" borderId="0" applyFill="0" applyBorder="0">
      <protection locked="0"/>
    </xf>
    <xf numFmtId="49" fontId="43" fillId="0" borderId="0" applyFill="0" applyBorder="0">
      <alignment vertical="top"/>
      <protection locked="0"/>
    </xf>
    <xf numFmtId="49" fontId="43" fillId="0" borderId="0" applyFill="0" applyBorder="0">
      <alignment vertical="top"/>
      <protection locked="0"/>
    </xf>
    <xf numFmtId="49" fontId="43" fillId="0" borderId="0" applyFill="0" applyBorder="0">
      <alignment vertical="top" wrapText="1"/>
      <protection locked="0"/>
    </xf>
    <xf numFmtId="268" fontId="43" fillId="0" borderId="0" applyFill="0" applyBorder="0">
      <protection locked="0"/>
    </xf>
    <xf numFmtId="269" fontId="43" fillId="0" borderId="0" applyFill="0" applyBorder="0">
      <protection locked="0"/>
    </xf>
    <xf numFmtId="37" fontId="43" fillId="0" borderId="0" applyBorder="0"/>
    <xf numFmtId="309" fontId="43" fillId="0" borderId="0" applyNumberFormat="0" applyFill="0" applyBorder="0" applyAlignment="0" applyProtection="0"/>
    <xf numFmtId="181" fontId="43" fillId="0" borderId="0"/>
    <xf numFmtId="304" fontId="43" fillId="51" borderId="0">
      <protection locked="0"/>
    </xf>
    <xf numFmtId="181" fontId="43" fillId="0" borderId="9">
      <alignment horizontal="right"/>
    </xf>
    <xf numFmtId="181" fontId="43" fillId="0" borderId="9">
      <alignment horizontal="right"/>
    </xf>
    <xf numFmtId="181" fontId="43" fillId="0" borderId="9">
      <alignment horizontal="right"/>
    </xf>
    <xf numFmtId="181" fontId="43" fillId="0" borderId="9">
      <alignment horizontal="right"/>
    </xf>
    <xf numFmtId="0" fontId="43" fillId="0" borderId="9"/>
    <xf numFmtId="0" fontId="43" fillId="0" borderId="9"/>
    <xf numFmtId="0" fontId="43" fillId="0" borderId="9"/>
    <xf numFmtId="0" fontId="43" fillId="0" borderId="9"/>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0" fontId="43" fillId="0" borderId="9">
      <alignment horizontal="right"/>
    </xf>
    <xf numFmtId="9" fontId="43" fillId="0" borderId="9"/>
    <xf numFmtId="9" fontId="43" fillId="0" borderId="9"/>
    <xf numFmtId="9" fontId="43" fillId="0" borderId="9"/>
    <xf numFmtId="9" fontId="43" fillId="0" borderId="9"/>
    <xf numFmtId="3" fontId="43" fillId="0" borderId="9"/>
    <xf numFmtId="3" fontId="43" fillId="0" borderId="9"/>
    <xf numFmtId="3" fontId="43" fillId="0" borderId="9"/>
    <xf numFmtId="3" fontId="43" fillId="0" borderId="9"/>
    <xf numFmtId="10" fontId="43" fillId="0" borderId="9"/>
    <xf numFmtId="10" fontId="43" fillId="0" borderId="9"/>
    <xf numFmtId="10" fontId="43" fillId="0" borderId="9"/>
    <xf numFmtId="10" fontId="43" fillId="0" borderId="9"/>
    <xf numFmtId="3" fontId="43" fillId="0" borderId="9"/>
    <xf numFmtId="3" fontId="43" fillId="0" borderId="9"/>
    <xf numFmtId="3" fontId="43" fillId="0" borderId="9"/>
    <xf numFmtId="3" fontId="43" fillId="0" borderId="9"/>
    <xf numFmtId="4" fontId="43" fillId="0" borderId="9"/>
    <xf numFmtId="4" fontId="43" fillId="0" borderId="9"/>
    <xf numFmtId="4" fontId="43" fillId="0" borderId="9"/>
    <xf numFmtId="4" fontId="43" fillId="0" borderId="9"/>
    <xf numFmtId="10" fontId="43" fillId="49" borderId="9" applyNumberFormat="0" applyBorder="0" applyAlignment="0" applyProtection="0"/>
    <xf numFmtId="10" fontId="43" fillId="49" borderId="9" applyNumberFormat="0" applyBorder="0" applyAlignment="0" applyProtection="0"/>
    <xf numFmtId="10" fontId="43" fillId="49" borderId="9" applyNumberFormat="0" applyBorder="0" applyAlignment="0" applyProtection="0"/>
    <xf numFmtId="10" fontId="43" fillId="49" borderId="9" applyNumberFormat="0" applyBorder="0" applyAlignment="0" applyProtection="0"/>
    <xf numFmtId="3" fontId="43" fillId="51" borderId="0">
      <alignment horizontal="right"/>
      <protection locked="0"/>
    </xf>
    <xf numFmtId="0" fontId="43" fillId="51" borderId="0" applyBorder="0">
      <alignment horizontal="right"/>
      <protection locked="0"/>
    </xf>
    <xf numFmtId="0" fontId="43" fillId="0" borderId="89" applyNumberFormat="0" applyAlignment="0">
      <alignment vertical="center"/>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0" fontId="43" fillId="0" borderId="90" applyNumberFormat="0" applyAlignment="0">
      <alignment vertical="center"/>
      <protection locked="0"/>
    </xf>
    <xf numFmtId="3" fontId="43" fillId="50" borderId="0">
      <protection locked="0"/>
    </xf>
    <xf numFmtId="3" fontId="43" fillId="50" borderId="0"/>
    <xf numFmtId="3" fontId="43" fillId="50" borderId="0"/>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310" fontId="43" fillId="68" borderId="90" applyNumberFormat="0" applyAlignment="0">
      <alignment vertical="center"/>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69" borderId="91" applyNumberFormat="0" applyAlignment="0">
      <protection locked="0"/>
    </xf>
    <xf numFmtId="0" fontId="43" fillId="15" borderId="0" applyNumberFormat="0" applyAlignment="0">
      <alignment vertical="center"/>
    </xf>
    <xf numFmtId="0" fontId="43" fillId="70" borderId="0" applyNumberFormat="0" applyAlignment="0">
      <alignment vertical="center"/>
    </xf>
    <xf numFmtId="0" fontId="43" fillId="0" borderId="0" applyNumberFormat="0" applyAlignment="0" applyProtection="0">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0" fontId="43" fillId="0" borderId="92" applyNumberFormat="0" applyAlignment="0">
      <alignment vertical="center"/>
      <protection locked="0"/>
    </xf>
    <xf numFmtId="3" fontId="43" fillId="50" borderId="0"/>
    <xf numFmtId="3" fontId="43" fillId="50" borderId="0">
      <protection locked="0"/>
    </xf>
    <xf numFmtId="3" fontId="43" fillId="50" borderId="0"/>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0" fontId="43" fillId="71" borderId="91" applyNumberFormat="0" applyAlignment="0">
      <protection locked="0"/>
    </xf>
    <xf numFmtId="10" fontId="43" fillId="0" borderId="0">
      <protection locked="0"/>
    </xf>
    <xf numFmtId="311" fontId="43" fillId="0" borderId="0" applyFill="0" applyBorder="0" applyProtection="0"/>
    <xf numFmtId="312" fontId="43" fillId="0" borderId="0" applyFill="0" applyBorder="0" applyProtection="0"/>
    <xf numFmtId="313" fontId="43" fillId="0" borderId="0" applyFill="0" applyBorder="0" applyProtection="0"/>
    <xf numFmtId="0" fontId="43" fillId="0" borderId="0" applyFill="0" applyBorder="0" applyProtection="0">
      <protection locked="0"/>
    </xf>
    <xf numFmtId="37" fontId="43" fillId="51" borderId="0" applyFont="0" applyBorder="0" applyProtection="0"/>
    <xf numFmtId="0" fontId="43" fillId="0" borderId="0" applyNumberFormat="0" applyFill="0" applyBorder="0" applyAlignment="0">
      <protection locked="0"/>
    </xf>
    <xf numFmtId="294" fontId="43" fillId="0" borderId="0">
      <protection locked="0"/>
    </xf>
    <xf numFmtId="2" fontId="43" fillId="0" borderId="93">
      <protection locked="0"/>
    </xf>
    <xf numFmtId="2" fontId="43" fillId="0" borderId="93">
      <protection locked="0"/>
    </xf>
    <xf numFmtId="0" fontId="43" fillId="0" borderId="0">
      <protection locked="0"/>
    </xf>
    <xf numFmtId="0" fontId="43" fillId="0" borderId="0" applyFill="0" applyBorder="0">
      <alignment horizontal="right"/>
      <protection locked="0"/>
    </xf>
    <xf numFmtId="0" fontId="43" fillId="0" borderId="94" applyFont="0" applyFill="0" applyBorder="0" applyAlignment="0" applyProtection="0"/>
    <xf numFmtId="0" fontId="43" fillId="0" borderId="94" applyFont="0" applyFill="0" applyBorder="0" applyAlignment="0" applyProtection="0"/>
    <xf numFmtId="275" fontId="43" fillId="0" borderId="0" applyFill="0" applyBorder="0">
      <protection locked="0"/>
    </xf>
    <xf numFmtId="314" fontId="43" fillId="0" borderId="0" applyFill="0" applyBorder="0">
      <protection locked="0"/>
    </xf>
    <xf numFmtId="276" fontId="43" fillId="0" borderId="0" applyFill="0" applyBorder="0">
      <protection locked="0"/>
    </xf>
    <xf numFmtId="277" fontId="43" fillId="0" borderId="0" applyFill="0" applyBorder="0">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8"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79"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0"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1"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2" fontId="43" fillId="50" borderId="88">
      <alignment vertical="top"/>
      <protection locked="0"/>
    </xf>
    <xf numFmtId="283" fontId="43" fillId="0" borderId="0" applyFill="0" applyBorder="0">
      <protection locked="0"/>
    </xf>
    <xf numFmtId="273" fontId="43" fillId="0" borderId="0" applyFill="0" applyBorder="0">
      <protection locked="0"/>
    </xf>
    <xf numFmtId="274" fontId="43" fillId="0" borderId="0" applyFill="0" applyBorder="0">
      <protection locked="0"/>
    </xf>
    <xf numFmtId="284" fontId="43" fillId="0" borderId="0" applyFill="0" applyBorder="0">
      <protection locked="0"/>
    </xf>
    <xf numFmtId="285" fontId="43" fillId="0" borderId="0" applyFill="0" applyBorder="0">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6"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287" fontId="43" fillId="50" borderId="88">
      <alignment vertical="top"/>
      <protection locked="0"/>
    </xf>
    <xf numFmtId="49" fontId="43" fillId="0" borderId="0" applyFill="0" applyBorder="0">
      <alignment horizontal="left" vertical="top"/>
      <protection locked="0"/>
    </xf>
    <xf numFmtId="49" fontId="43" fillId="0" borderId="0" applyFill="0" applyBorder="0">
      <alignment horizontal="left" vertical="top" indent="1"/>
      <protection locked="0"/>
    </xf>
    <xf numFmtId="49" fontId="43" fillId="0" borderId="0" applyFill="0" applyBorder="0">
      <alignment horizontal="left" vertical="top" indent="2"/>
      <protection locked="0"/>
    </xf>
    <xf numFmtId="49" fontId="43" fillId="0" borderId="0" applyFill="0" applyBorder="0">
      <alignment horizontal="left" vertical="top" indent="3"/>
      <protection locked="0"/>
    </xf>
    <xf numFmtId="49" fontId="43" fillId="0" borderId="0" applyFill="0" applyBorder="0">
      <alignment horizontal="left" vertical="top" indent="4"/>
      <protection locked="0"/>
    </xf>
    <xf numFmtId="218" fontId="43" fillId="0" borderId="0" applyFill="0" applyBorder="0">
      <alignment horizontal="right"/>
      <protection locked="0"/>
    </xf>
    <xf numFmtId="0" fontId="43" fillId="72" borderId="0" applyBorder="0"/>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73" borderId="95">
      <alignment horizontal="left" vertical="center" wrapText="1"/>
    </xf>
    <xf numFmtId="0" fontId="43" fillId="50" borderId="88">
      <alignment vertical="top"/>
    </xf>
    <xf numFmtId="0" fontId="43" fillId="50" borderId="88">
      <alignment vertical="top"/>
    </xf>
    <xf numFmtId="0" fontId="43" fillId="50" borderId="88">
      <alignment vertical="top"/>
    </xf>
    <xf numFmtId="0" fontId="43" fillId="50" borderId="88">
      <alignment vertical="top"/>
    </xf>
    <xf numFmtId="0" fontId="43" fillId="50" borderId="88">
      <alignment vertical="top"/>
    </xf>
    <xf numFmtId="0" fontId="43" fillId="50" borderId="88">
      <alignment vertical="top"/>
    </xf>
    <xf numFmtId="0" fontId="43" fillId="50" borderId="88">
      <alignment vertical="top"/>
    </xf>
    <xf numFmtId="0" fontId="43" fillId="50" borderId="88">
      <alignment vertical="top"/>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wrapText="1"/>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0" fontId="43" fillId="50" borderId="88">
      <alignment vertical="top"/>
      <protection locked="0"/>
    </xf>
    <xf numFmtId="49" fontId="43" fillId="0" borderId="0" applyFill="0" applyBorder="0">
      <alignment horizontal="center"/>
      <protection locked="0"/>
    </xf>
    <xf numFmtId="49" fontId="43" fillId="0" borderId="0" applyFill="0" applyBorder="0">
      <alignment horizontal="center" wrapText="1"/>
      <protection locked="0"/>
    </xf>
    <xf numFmtId="302" fontId="43" fillId="50" borderId="0"/>
    <xf numFmtId="4" fontId="43" fillId="67" borderId="0"/>
    <xf numFmtId="0" fontId="43" fillId="0" borderId="0"/>
    <xf numFmtId="184" fontId="43" fillId="0" borderId="0" applyFont="0" applyFill="0" applyBorder="0" applyAlignment="0" applyProtection="0"/>
    <xf numFmtId="315" fontId="43" fillId="0" borderId="0" applyFont="0" applyFill="0" applyBorder="0" applyAlignment="0" applyProtection="0"/>
    <xf numFmtId="316" fontId="43" fillId="56" borderId="9"/>
    <xf numFmtId="316" fontId="43" fillId="56" borderId="9"/>
    <xf numFmtId="316" fontId="43" fillId="56" borderId="9"/>
    <xf numFmtId="316" fontId="43" fillId="56" borderId="9"/>
    <xf numFmtId="38" fontId="43" fillId="0" borderId="0"/>
    <xf numFmtId="38" fontId="43" fillId="0" borderId="0"/>
    <xf numFmtId="38" fontId="43" fillId="0" borderId="0"/>
    <xf numFmtId="38" fontId="43" fillId="0" borderId="0"/>
    <xf numFmtId="0" fontId="43" fillId="0" borderId="0"/>
    <xf numFmtId="0" fontId="43" fillId="0" borderId="0"/>
    <xf numFmtId="0" fontId="43" fillId="0" borderId="0"/>
    <xf numFmtId="317" fontId="43" fillId="49" borderId="0">
      <alignment horizontal="left" vertical="top" indent="2"/>
    </xf>
    <xf numFmtId="317" fontId="43" fillId="49" borderId="0">
      <alignment vertical="top"/>
    </xf>
    <xf numFmtId="191" fontId="43" fillId="62" borderId="51"/>
    <xf numFmtId="0" fontId="43" fillId="0" borderId="0"/>
    <xf numFmtId="49" fontId="43" fillId="0" borderId="0" applyFill="0" applyBorder="0">
      <alignment vertical="top"/>
    </xf>
    <xf numFmtId="49" fontId="43" fillId="0" borderId="0" applyFill="0" applyBorder="0">
      <alignment vertical="top" wrapText="1"/>
    </xf>
    <xf numFmtId="0" fontId="43" fillId="0" borderId="0" applyFont="0" applyFill="0" applyBorder="0" applyAlignment="0" applyProtection="0"/>
    <xf numFmtId="318" fontId="43" fillId="0" borderId="0" applyFont="0" applyFill="0" applyBorder="0" applyAlignment="0" applyProtection="0"/>
    <xf numFmtId="37" fontId="43" fillId="0" borderId="0" applyNumberFormat="0" applyFill="0" applyBorder="0" applyProtection="0"/>
    <xf numFmtId="0" fontId="43" fillId="0" borderId="0" applyNumberFormat="0" applyBorder="0" applyProtection="0">
      <alignment vertical="top"/>
    </xf>
    <xf numFmtId="304" fontId="43" fillId="0" borderId="0"/>
    <xf numFmtId="304" fontId="43" fillId="0" borderId="0"/>
    <xf numFmtId="0" fontId="43" fillId="0" borderId="0"/>
    <xf numFmtId="319" fontId="43" fillId="0" borderId="0" applyFill="0" applyBorder="0" applyProtection="0"/>
    <xf numFmtId="0" fontId="43" fillId="0" borderId="0">
      <alignment horizontal="right"/>
    </xf>
    <xf numFmtId="320" fontId="43" fillId="0" borderId="0" applyFont="0" applyFill="0" applyBorder="0" applyAlignment="0" applyProtection="0"/>
    <xf numFmtId="321" fontId="43" fillId="0" borderId="0" applyFont="0" applyFill="0" applyBorder="0" applyAlignment="0" applyProtection="0"/>
    <xf numFmtId="322" fontId="43" fillId="0" borderId="0" applyFont="0" applyFill="0" applyBorder="0" applyAlignment="0" applyProtection="0"/>
    <xf numFmtId="323" fontId="43" fillId="0" borderId="0" applyFont="0" applyFill="0" applyBorder="0" applyAlignment="0" applyProtection="0"/>
    <xf numFmtId="0" fontId="43" fillId="0" borderId="0" applyFont="0" applyFill="0" applyBorder="0" applyAlignment="0" applyProtection="0"/>
    <xf numFmtId="324" fontId="43" fillId="0" borderId="0" applyFont="0" applyFill="0" applyBorder="0" applyAlignment="0" applyProtection="0"/>
    <xf numFmtId="325" fontId="43" fillId="0" borderId="0" applyFont="0" applyFill="0" applyBorder="0" applyAlignment="0" applyProtection="0"/>
    <xf numFmtId="0" fontId="43" fillId="0" borderId="0"/>
    <xf numFmtId="304" fontId="43" fillId="0" borderId="0"/>
    <xf numFmtId="1" fontId="43" fillId="67" borderId="62" applyNumberFormat="0" applyFont="0" applyBorder="0" applyAlignment="0" applyProtection="0"/>
    <xf numFmtId="1" fontId="43" fillId="67" borderId="62" applyNumberFormat="0" applyFont="0" applyBorder="0" applyAlignment="0" applyProtection="0"/>
    <xf numFmtId="261" fontId="43" fillId="0" borderId="0" applyFont="0" applyFill="0" applyBorder="0" applyProtection="0">
      <alignment horizontal="right"/>
    </xf>
    <xf numFmtId="0" fontId="43" fillId="0" borderId="1"/>
    <xf numFmtId="0" fontId="43" fillId="0" borderId="1"/>
    <xf numFmtId="326" fontId="43" fillId="0" borderId="0" applyFont="0" applyFill="0" applyBorder="0" applyAlignment="0" applyProtection="0"/>
    <xf numFmtId="0" fontId="43" fillId="0" borderId="0" applyFont="0" applyFill="0" applyBorder="0" applyAlignment="0" applyProtection="0"/>
    <xf numFmtId="327" fontId="43" fillId="0" borderId="0" applyFont="0" applyFill="0" applyBorder="0" applyAlignment="0" applyProtection="0"/>
    <xf numFmtId="328" fontId="43" fillId="0" borderId="0" applyFont="0" applyFill="0" applyBorder="0" applyAlignment="0" applyProtection="0"/>
    <xf numFmtId="329" fontId="43" fillId="0" borderId="0" applyFont="0" applyFill="0" applyBorder="0" applyAlignment="0" applyProtection="0"/>
    <xf numFmtId="330" fontId="43" fillId="0" borderId="0" applyFont="0" applyFill="0" applyBorder="0" applyAlignment="0" applyProtection="0"/>
    <xf numFmtId="261" fontId="43" fillId="0" borderId="0">
      <alignment horizontal="center"/>
    </xf>
    <xf numFmtId="331" fontId="43" fillId="0" borderId="0" applyFill="0" applyBorder="0"/>
    <xf numFmtId="326" fontId="43" fillId="0" borderId="0" applyFont="0" applyFill="0" applyBorder="0" applyAlignment="0" applyProtection="0"/>
    <xf numFmtId="0" fontId="43" fillId="0" borderId="0" applyFont="0" applyFill="0" applyBorder="0" applyAlignment="0" applyProtection="0"/>
    <xf numFmtId="0" fontId="43" fillId="0" borderId="0"/>
    <xf numFmtId="0" fontId="43" fillId="0" borderId="0" applyFill="0" applyBorder="0" applyAlignment="0">
      <alignment horizontal="right"/>
    </xf>
    <xf numFmtId="0" fontId="43" fillId="0" borderId="45" applyFont="0" applyFill="0" applyBorder="0" applyProtection="0"/>
    <xf numFmtId="0" fontId="43" fillId="0" borderId="45" applyFont="0" applyFill="0" applyBorder="0" applyProtection="0"/>
    <xf numFmtId="0" fontId="43" fillId="0" borderId="45" applyFont="0" applyFill="0" applyBorder="0" applyAlignment="0" applyProtection="0"/>
    <xf numFmtId="0" fontId="43" fillId="0" borderId="45" applyFont="0" applyFill="0" applyBorder="0" applyAlignment="0" applyProtection="0"/>
    <xf numFmtId="332"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333" fontId="43" fillId="0" borderId="0" applyFill="0" applyBorder="0" applyProtection="0">
      <alignment horizontal="right"/>
    </xf>
    <xf numFmtId="0" fontId="43" fillId="0" borderId="0" applyFill="0" applyBorder="0" applyProtection="0">
      <alignment horizontal="right"/>
    </xf>
    <xf numFmtId="0" fontId="43" fillId="0" borderId="0" applyFont="0" applyFill="0" applyBorder="0" applyAlignment="0" applyProtection="0">
      <alignment horizontal="right"/>
    </xf>
    <xf numFmtId="334" fontId="43" fillId="0" borderId="0"/>
    <xf numFmtId="0" fontId="43" fillId="0" borderId="0" applyFill="0" applyAlignment="0"/>
    <xf numFmtId="0" fontId="43" fillId="0" borderId="0"/>
    <xf numFmtId="0" fontId="43" fillId="0" borderId="0" applyNumberFormat="0" applyAlignment="0">
      <alignment vertical="center"/>
    </xf>
    <xf numFmtId="0" fontId="43" fillId="0" borderId="0" applyNumberFormat="0" applyBorder="0" applyAlignment="0" applyProtection="0"/>
    <xf numFmtId="2" fontId="43" fillId="0" borderId="0" applyFont="0" applyFill="0" applyAlignment="0" applyProtection="0">
      <alignment horizontal="center"/>
    </xf>
    <xf numFmtId="335" fontId="43" fillId="0" borderId="96" applyBorder="0" applyAlignment="0" applyProtection="0">
      <alignment horizontal="center"/>
    </xf>
    <xf numFmtId="0" fontId="43" fillId="0" borderId="9" applyNumberFormat="0" applyFont="0" applyBorder="0" applyAlignment="0" applyProtection="0">
      <alignment horizontal="center"/>
    </xf>
    <xf numFmtId="0" fontId="43" fillId="0" borderId="9" applyNumberFormat="0" applyFont="0" applyBorder="0" applyAlignment="0" applyProtection="0">
      <alignment horizontal="center"/>
    </xf>
    <xf numFmtId="0" fontId="43" fillId="0" borderId="9" applyNumberFormat="0" applyFont="0" applyBorder="0" applyAlignment="0" applyProtection="0">
      <alignment horizontal="center"/>
    </xf>
    <xf numFmtId="0" fontId="43" fillId="0" borderId="9" applyNumberFormat="0" applyFont="0" applyBorder="0" applyAlignment="0" applyProtection="0">
      <alignment horizontal="center"/>
    </xf>
    <xf numFmtId="224" fontId="43" fillId="0" borderId="0" applyNumberFormat="0" applyFont="0" applyFill="0" applyAlignment="0" applyProtection="0"/>
    <xf numFmtId="37" fontId="43" fillId="0" borderId="0"/>
    <xf numFmtId="304" fontId="43" fillId="0" borderId="0" applyNumberFormat="0" applyAlignment="0"/>
    <xf numFmtId="0" fontId="43" fillId="62" borderId="0" applyNumberFormat="0" applyBorder="0" applyAlignment="0">
      <alignment horizontal="right"/>
      <protection hidden="1"/>
    </xf>
    <xf numFmtId="0" fontId="43" fillId="0" borderId="0" applyFont="0" applyBorder="0" applyAlignment="0">
      <protection hidden="1"/>
    </xf>
    <xf numFmtId="0" fontId="43" fillId="0" borderId="0"/>
    <xf numFmtId="0" fontId="43" fillId="0" borderId="0"/>
    <xf numFmtId="218" fontId="43" fillId="0" borderId="0"/>
    <xf numFmtId="336" fontId="43" fillId="0" borderId="72"/>
    <xf numFmtId="336" fontId="43" fillId="0" borderId="72"/>
    <xf numFmtId="336" fontId="43" fillId="0" borderId="72"/>
    <xf numFmtId="336" fontId="43" fillId="0" borderId="72"/>
    <xf numFmtId="0" fontId="43" fillId="0" borderId="0"/>
    <xf numFmtId="336" fontId="43" fillId="0" borderId="48"/>
    <xf numFmtId="336" fontId="43" fillId="0" borderId="48"/>
    <xf numFmtId="336" fontId="43" fillId="0" borderId="48"/>
    <xf numFmtId="336" fontId="43" fillId="0" borderId="48"/>
    <xf numFmtId="181" fontId="43" fillId="0" borderId="0">
      <alignment horizontal="right"/>
    </xf>
    <xf numFmtId="0" fontId="43" fillId="0" borderId="0" applyFont="0" applyFill="0" applyBorder="0" applyAlignment="0" applyProtection="0"/>
    <xf numFmtId="0" fontId="28" fillId="0" borderId="0"/>
    <xf numFmtId="0" fontId="24" fillId="0" borderId="0"/>
    <xf numFmtId="0" fontId="68" fillId="0" borderId="0"/>
    <xf numFmtId="0" fontId="2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3" fillId="0" borderId="0"/>
    <xf numFmtId="0" fontId="0" fillId="0" borderId="0"/>
    <xf numFmtId="0" fontId="43" fillId="0" borderId="0"/>
    <xf numFmtId="0" fontId="43" fillId="0" borderId="0"/>
    <xf numFmtId="0" fontId="43" fillId="0" borderId="0"/>
    <xf numFmtId="0" fontId="43" fillId="0" borderId="0"/>
    <xf numFmtId="0" fontId="43" fillId="0" borderId="0" applyNumberFormat="0" applyFill="0" applyBorder="0" applyAlignment="0" applyProtection="0"/>
    <xf numFmtId="0" fontId="68" fillId="0" borderId="0"/>
    <xf numFmtId="3" fontId="43" fillId="0" borderId="0"/>
    <xf numFmtId="3" fontId="43" fillId="0" borderId="0">
      <alignment horizontal="left"/>
    </xf>
    <xf numFmtId="302" fontId="43" fillId="0" borderId="0" applyFill="0" applyBorder="0" applyProtection="0"/>
    <xf numFmtId="0" fontId="43" fillId="0" borderId="0" applyProtection="0"/>
    <xf numFmtId="0" fontId="43" fillId="0" borderId="0" applyNumberFormat="0" applyFont="0" applyFill="0" applyBorder="0" applyAlignment="0"/>
    <xf numFmtId="337" fontId="43" fillId="47" borderId="0" applyBorder="0">
      <alignment vertical="center"/>
    </xf>
    <xf numFmtId="0" fontId="43" fillId="0" borderId="0"/>
    <xf numFmtId="0" fontId="43" fillId="0" borderId="0"/>
    <xf numFmtId="0" fontId="43" fillId="0" borderId="93"/>
    <xf numFmtId="0" fontId="43" fillId="0" borderId="93"/>
    <xf numFmtId="38" fontId="43" fillId="47" borderId="0" applyBorder="0"/>
    <xf numFmtId="39" fontId="43" fillId="0" borderId="0"/>
    <xf numFmtId="338" fontId="43" fillId="0" borderId="0" applyBorder="0" applyProtection="0">
      <alignment horizontal="right"/>
    </xf>
    <xf numFmtId="0" fontId="43" fillId="74" borderId="0" applyBorder="0" applyProtection="0">
      <alignment horizontal="right"/>
    </xf>
    <xf numFmtId="0" fontId="43" fillId="0" borderId="51" applyBorder="0"/>
    <xf numFmtId="0" fontId="43" fillId="0" borderId="51" applyBorder="0"/>
    <xf numFmtId="0" fontId="43" fillId="0" borderId="51" applyBorder="0"/>
    <xf numFmtId="0" fontId="43" fillId="0" borderId="51" applyBorder="0"/>
    <xf numFmtId="0" fontId="43" fillId="0" borderId="0" applyBorder="0" applyProtection="0">
      <alignment horizontal="right"/>
    </xf>
    <xf numFmtId="0" fontId="43" fillId="0" borderId="0" applyBorder="0" applyProtection="0">
      <alignment horizontal="right"/>
    </xf>
    <xf numFmtId="0" fontId="43" fillId="74" borderId="0" applyProtection="0">
      <alignment horizontal="right"/>
    </xf>
    <xf numFmtId="37" fontId="43" fillId="0" borderId="0" applyFill="0" applyBorder="0" applyProtection="0">
      <alignment horizontal="right"/>
    </xf>
    <xf numFmtId="1" fontId="43" fillId="0" borderId="0">
      <alignment horizontal="right"/>
      <protection locked="0"/>
    </xf>
    <xf numFmtId="0" fontId="43" fillId="0" borderId="0">
      <alignment horizontal="right"/>
      <protection locked="0"/>
    </xf>
    <xf numFmtId="2" fontId="43" fillId="0" borderId="0">
      <alignment horizontal="right"/>
      <protection locked="0"/>
    </xf>
    <xf numFmtId="2" fontId="43" fillId="0" borderId="0">
      <alignment horizontal="right"/>
      <protection locked="0"/>
    </xf>
    <xf numFmtId="0" fontId="43" fillId="0" borderId="72" applyBorder="0"/>
    <xf numFmtId="267" fontId="43" fillId="0" borderId="0" applyFont="0" applyFill="0" applyBorder="0" applyAlignment="0" applyProtection="0">
      <alignment vertical="center"/>
    </xf>
    <xf numFmtId="0" fontId="43" fillId="0" borderId="0" applyFill="0" applyBorder="0" applyProtection="0">
      <alignment horizontal="right"/>
    </xf>
    <xf numFmtId="312" fontId="43" fillId="0" borderId="0">
      <alignment horizontal="right"/>
    </xf>
    <xf numFmtId="0" fontId="43" fillId="0" borderId="73">
      <alignment horizontal="right"/>
    </xf>
    <xf numFmtId="0" fontId="43" fillId="0" borderId="73">
      <alignment horizontal="right"/>
    </xf>
    <xf numFmtId="0" fontId="43" fillId="0" borderId="0">
      <alignment horizontal="right"/>
    </xf>
    <xf numFmtId="0" fontId="43" fillId="0" borderId="0">
      <alignment horizontal="right"/>
    </xf>
    <xf numFmtId="0" fontId="43" fillId="0" borderId="72" applyBorder="0"/>
    <xf numFmtId="0" fontId="43" fillId="0" borderId="0">
      <alignment horizontal="right"/>
    </xf>
    <xf numFmtId="0" fontId="43" fillId="0" borderId="72" applyBorder="0"/>
    <xf numFmtId="0" fontId="43" fillId="0" borderId="0" applyFill="0" applyBorder="0" applyProtection="0">
      <alignment horizontal="right"/>
    </xf>
    <xf numFmtId="0" fontId="43" fillId="0" borderId="72" applyBorder="0"/>
    <xf numFmtId="0" fontId="43" fillId="0" borderId="72" applyBorder="0"/>
    <xf numFmtId="311" fontId="43" fillId="0" borderId="0" applyFill="0" applyBorder="0" applyProtection="0"/>
    <xf numFmtId="312" fontId="43" fillId="0" borderId="0" applyFill="0" applyBorder="0" applyProtection="0"/>
    <xf numFmtId="313" fontId="43" fillId="0" borderId="0" applyFill="0" applyBorder="0" applyProtection="0"/>
    <xf numFmtId="0" fontId="43" fillId="0" borderId="0">
      <alignment horizontal="right"/>
    </xf>
    <xf numFmtId="339" fontId="43" fillId="0" borderId="0" applyFont="0" applyFill="0" applyBorder="0" applyAlignment="0" applyProtection="0"/>
    <xf numFmtId="340" fontId="43" fillId="50" borderId="9"/>
    <xf numFmtId="340" fontId="43" fillId="50" borderId="9"/>
    <xf numFmtId="340" fontId="43" fillId="50" borderId="9"/>
    <xf numFmtId="340" fontId="43" fillId="50" borderId="9"/>
    <xf numFmtId="37" fontId="43" fillId="0" borderId="0"/>
    <xf numFmtId="37" fontId="43" fillId="0" borderId="0"/>
    <xf numFmtId="0" fontId="43" fillId="51" borderId="9">
      <alignment horizontal="right"/>
      <protection locked="0"/>
    </xf>
    <xf numFmtId="0" fontId="43" fillId="51" borderId="9">
      <alignment horizontal="right"/>
      <protection locked="0"/>
    </xf>
    <xf numFmtId="0" fontId="43" fillId="51" borderId="9">
      <alignment horizontal="right"/>
      <protection locked="0"/>
    </xf>
    <xf numFmtId="0" fontId="43" fillId="51" borderId="9">
      <alignment horizontal="right"/>
      <protection locked="0"/>
    </xf>
    <xf numFmtId="0" fontId="43" fillId="0" borderId="0"/>
    <xf numFmtId="0" fontId="43" fillId="0" borderId="0"/>
    <xf numFmtId="0" fontId="43" fillId="49" borderId="0">
      <alignment horizontal="right"/>
    </xf>
    <xf numFmtId="40" fontId="43" fillId="47" borderId="0">
      <alignment horizontal="right"/>
    </xf>
    <xf numFmtId="0" fontId="43" fillId="47" borderId="0">
      <alignment horizontal="right"/>
    </xf>
    <xf numFmtId="0" fontId="43" fillId="47" borderId="97"/>
    <xf numFmtId="0" fontId="43" fillId="47" borderId="97"/>
    <xf numFmtId="0" fontId="43" fillId="47" borderId="97"/>
    <xf numFmtId="0" fontId="43" fillId="47" borderId="97"/>
    <xf numFmtId="0" fontId="43" fillId="47" borderId="97"/>
    <xf numFmtId="0" fontId="43" fillId="47" borderId="97"/>
    <xf numFmtId="0" fontId="43" fillId="0" borderId="0" applyBorder="0">
      <alignment horizontal="centerContinuous"/>
    </xf>
    <xf numFmtId="0" fontId="43" fillId="0" borderId="0" applyBorder="0">
      <alignment horizontal="centerContinuous"/>
    </xf>
    <xf numFmtId="0" fontId="43" fillId="0" borderId="0" applyProtection="0">
      <alignment horizontal="left"/>
    </xf>
    <xf numFmtId="1" fontId="43" fillId="0" borderId="0" applyProtection="0">
      <alignment horizontal="right" vertical="center"/>
    </xf>
    <xf numFmtId="0" fontId="43" fillId="0" borderId="0" applyFont="0">
      <alignment horizontal="right"/>
    </xf>
    <xf numFmtId="49" fontId="43" fillId="0" borderId="45" applyFill="0" applyProtection="0">
      <alignment vertical="center"/>
    </xf>
    <xf numFmtId="0" fontId="43" fillId="0" borderId="0">
      <alignment horizontal="right"/>
    </xf>
    <xf numFmtId="0" fontId="43" fillId="0" borderId="0" applyFont="0" applyFill="0" applyBorder="0" applyAlignment="0" applyProtection="0"/>
    <xf numFmtId="304" fontId="43" fillId="0" borderId="0" applyFont="0" applyFill="0" applyBorder="0" applyAlignment="0" applyProtection="0"/>
    <xf numFmtId="10" fontId="43" fillId="0" borderId="0" applyFont="0" applyFill="0" applyBorder="0" applyAlignment="0" applyProtection="0"/>
    <xf numFmtId="9" fontId="43" fillId="0" borderId="0" applyFont="0" applyFill="0" applyBorder="0" applyAlignment="0" applyProtection="0"/>
    <xf numFmtId="10" fontId="43" fillId="0" borderId="0" applyFont="0" applyFill="0" applyBorder="0" applyAlignment="0" applyProtection="0"/>
    <xf numFmtId="3" fontId="43" fillId="0" borderId="0"/>
    <xf numFmtId="0" fontId="43" fillId="0" borderId="0">
      <protection hidden="1"/>
    </xf>
    <xf numFmtId="3" fontId="43" fillId="0" borderId="0"/>
    <xf numFmtId="0" fontId="43" fillId="74" borderId="0" applyProtection="0">
      <alignment horizontal="right"/>
    </xf>
    <xf numFmtId="0" fontId="43" fillId="0" borderId="0" applyFont="0" applyBorder="0" applyProtection="0">
      <alignment horizontal="right"/>
    </xf>
    <xf numFmtId="341" fontId="43" fillId="0" borderId="0" applyFill="0" applyBorder="0" applyProtection="0">
      <alignment horizontal="right"/>
    </xf>
    <xf numFmtId="9" fontId="64" fillId="0" borderId="0" applyFont="0" applyFill="0" applyBorder="0" applyAlignment="0" applyProtection="0"/>
    <xf numFmtId="9" fontId="26" fillId="0" borderId="0" applyFont="0" applyFill="0" applyBorder="0" applyAlignment="0" applyProtection="0"/>
    <xf numFmtId="9" fontId="64"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69" fillId="0" borderId="0" applyFont="0" applyFill="0" applyBorder="0" applyAlignment="0" applyProtection="0"/>
    <xf numFmtId="9" fontId="64" fillId="0" borderId="0" applyFont="0" applyFill="0" applyBorder="0" applyAlignment="0" applyProtection="0"/>
    <xf numFmtId="0" fontId="43" fillId="0" borderId="0" applyFont="0" applyFill="0" applyBorder="0" applyProtection="0">
      <alignment horizontal="right"/>
    </xf>
    <xf numFmtId="342" fontId="43" fillId="0" borderId="0" applyFill="0" applyBorder="0" applyProtection="0"/>
    <xf numFmtId="343" fontId="43" fillId="0" borderId="0" applyFill="0" applyBorder="0" applyProtection="0"/>
    <xf numFmtId="0" fontId="43" fillId="0" borderId="0" applyFill="0" applyBorder="0" applyProtection="0"/>
    <xf numFmtId="344" fontId="43" fillId="0" borderId="0" applyFill="0" applyBorder="0" applyProtection="0"/>
    <xf numFmtId="304" fontId="43" fillId="0" borderId="0" applyFont="0" applyFill="0" applyBorder="0" applyAlignment="0" applyProtection="0"/>
    <xf numFmtId="0" fontId="43" fillId="0" borderId="0"/>
    <xf numFmtId="345" fontId="43" fillId="0" borderId="0" applyFont="0" applyFill="0" applyBorder="0" applyAlignment="0" applyProtection="0">
      <alignment vertical="center"/>
    </xf>
    <xf numFmtId="346" fontId="43" fillId="0" borderId="0" applyFont="0" applyFill="0" applyBorder="0" applyAlignment="0" applyProtection="0"/>
    <xf numFmtId="0" fontId="43" fillId="0" borderId="0" applyFill="0" applyBorder="0">
      <alignment horizontal="right"/>
      <protection locked="0"/>
    </xf>
    <xf numFmtId="9" fontId="43" fillId="0" borderId="0" applyFont="0" applyFill="0" applyBorder="0" applyAlignment="0" applyProtection="0"/>
    <xf numFmtId="0" fontId="43" fillId="0" borderId="0">
      <alignment horizontal="center"/>
    </xf>
    <xf numFmtId="3" fontId="43" fillId="0" borderId="0"/>
    <xf numFmtId="0" fontId="43" fillId="0" borderId="0" applyProtection="0">
      <alignment horizontal="right"/>
    </xf>
    <xf numFmtId="0" fontId="43" fillId="0" borderId="0">
      <alignment horizontal="right"/>
      <protection locked="0"/>
    </xf>
    <xf numFmtId="9" fontId="43" fillId="0" borderId="0" applyFont="0" applyFill="0" applyBorder="0" applyAlignment="0" applyProtection="0"/>
    <xf numFmtId="236" fontId="43" fillId="0" borderId="0"/>
    <xf numFmtId="191" fontId="43" fillId="0" borderId="14" applyNumberFormat="0" applyFont="0" applyFill="0" applyBorder="0" applyAlignment="0"/>
    <xf numFmtId="9" fontId="43" fillId="0" borderId="79"/>
    <xf numFmtId="9" fontId="43" fillId="0" borderId="79"/>
    <xf numFmtId="304" fontId="43" fillId="0" borderId="0"/>
    <xf numFmtId="10" fontId="43" fillId="0" borderId="0"/>
    <xf numFmtId="9" fontId="43" fillId="0" borderId="79"/>
    <xf numFmtId="9" fontId="43" fillId="0" borderId="79"/>
    <xf numFmtId="9" fontId="43" fillId="0" borderId="0"/>
    <xf numFmtId="0" fontId="43" fillId="0" borderId="0" applyNumberFormat="0" applyFont="0" applyFill="0" applyBorder="0" applyAlignment="0" applyProtection="0">
      <alignment horizontal="left"/>
    </xf>
    <xf numFmtId="294" fontId="43" fillId="0" borderId="0" applyFont="0" applyFill="0" applyBorder="0" applyAlignment="0" applyProtection="0"/>
    <xf numFmtId="4" fontId="43" fillId="0" borderId="0" applyFont="0" applyFill="0" applyBorder="0" applyAlignment="0" applyProtection="0"/>
    <xf numFmtId="0" fontId="43" fillId="0" borderId="1">
      <alignment horizontal="center"/>
    </xf>
    <xf numFmtId="0" fontId="43" fillId="0" borderId="1">
      <alignment horizontal="center"/>
    </xf>
    <xf numFmtId="3" fontId="43" fillId="0" borderId="0" applyFont="0" applyFill="0" applyBorder="0" applyAlignment="0" applyProtection="0"/>
    <xf numFmtId="0" fontId="43" fillId="75" borderId="0" applyNumberFormat="0" applyFont="0" applyBorder="0" applyAlignment="0" applyProtection="0"/>
    <xf numFmtId="0" fontId="43" fillId="0" borderId="0">
      <alignment horizontal="right"/>
    </xf>
    <xf numFmtId="0" fontId="43" fillId="0" borderId="0">
      <alignment vertical="top"/>
    </xf>
    <xf numFmtId="347" fontId="43" fillId="0" borderId="0">
      <alignment horizontal="right"/>
      <protection locked="0"/>
    </xf>
    <xf numFmtId="348" fontId="43" fillId="0" borderId="0" applyFont="0" applyFill="0" applyBorder="0" applyAlignment="0" applyProtection="0"/>
    <xf numFmtId="49" fontId="43" fillId="0" borderId="0">
      <alignment horizontal="right"/>
    </xf>
    <xf numFmtId="3" fontId="43" fillId="51" borderId="0"/>
    <xf numFmtId="3" fontId="43" fillId="51" borderId="0"/>
    <xf numFmtId="4" fontId="43" fillId="51" borderId="0"/>
    <xf numFmtId="3" fontId="43" fillId="51" borderId="0"/>
    <xf numFmtId="191" fontId="43" fillId="0" borderId="40" applyNumberFormat="0" applyFont="0" applyFill="0" applyBorder="0" applyAlignment="0"/>
    <xf numFmtId="191" fontId="43" fillId="0" borderId="40" applyNumberFormat="0" applyFont="0" applyFill="0" applyBorder="0" applyAlignment="0"/>
    <xf numFmtId="191" fontId="43" fillId="0" borderId="40" applyNumberFormat="0" applyFont="0" applyFill="0" applyBorder="0" applyAlignment="0"/>
    <xf numFmtId="229" fontId="43" fillId="0" borderId="0" applyNumberFormat="0" applyFill="0" applyBorder="0" applyAlignment="0" applyProtection="0">
      <alignment horizontal="left"/>
    </xf>
    <xf numFmtId="0" fontId="43" fillId="0" borderId="0">
      <alignment horizontal="right"/>
    </xf>
    <xf numFmtId="0" fontId="43" fillId="0" borderId="0">
      <alignment horizontal="right"/>
    </xf>
    <xf numFmtId="0" fontId="43" fillId="0" borderId="0" applyFill="0" applyBorder="0" applyProtection="0">
      <alignment horizontal="right"/>
    </xf>
    <xf numFmtId="0" fontId="43" fillId="0" borderId="0">
      <alignment horizontal="right"/>
    </xf>
    <xf numFmtId="0" fontId="43" fillId="50" borderId="77" applyProtection="0"/>
    <xf numFmtId="0" fontId="43" fillId="0" borderId="0" applyNumberFormat="0" applyFill="0" applyBorder="0">
      <alignment horizontal="left" vertical="center" wrapText="1"/>
    </xf>
    <xf numFmtId="0" fontId="43" fillId="0" borderId="0" applyNumberFormat="0" applyFill="0" applyBorder="0">
      <alignment horizontal="left" vertical="center" wrapText="1" indent="1"/>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vertical="center"/>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8"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0" borderId="99" applyNumberFormat="0" applyProtection="0">
      <alignment horizontal="left" vertical="center" indent="1"/>
    </xf>
    <xf numFmtId="4" fontId="43" fillId="53" borderId="0" applyNumberFormat="0" applyProtection="0">
      <alignment horizontal="left" vertical="center" indent="1"/>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6"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77"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59"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15"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8"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79"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0"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1"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2" borderId="98" applyNumberFormat="0" applyProtection="0">
      <alignment horizontal="right" vertical="center"/>
    </xf>
    <xf numFmtId="4" fontId="43" fillId="83" borderId="100" applyNumberFormat="0" applyProtection="0">
      <alignment horizontal="left" vertical="center" indent="1"/>
    </xf>
    <xf numFmtId="4" fontId="43" fillId="57" borderId="0" applyNumberFormat="0" applyProtection="0">
      <alignment horizontal="left" vertical="center" indent="1"/>
    </xf>
    <xf numFmtId="4" fontId="43" fillId="53" borderId="0" applyNumberFormat="0" applyProtection="0">
      <alignment horizontal="left" vertical="center" indent="1"/>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98" applyNumberFormat="0" applyProtection="0">
      <alignment horizontal="right" vertical="center"/>
    </xf>
    <xf numFmtId="4" fontId="43" fillId="57" borderId="0" applyNumberFormat="0" applyProtection="0">
      <alignment horizontal="left" vertical="center" indent="1"/>
    </xf>
    <xf numFmtId="4" fontId="43" fillId="53" borderId="0"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84"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2"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1"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0" fontId="43" fillId="56" borderId="99" applyNumberFormat="0" applyProtection="0">
      <alignment horizontal="left" vertical="center" indent="1"/>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62" borderId="98" applyNumberFormat="0" applyProtection="0">
      <alignment vertical="center"/>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57" borderId="101"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49" borderId="99" applyNumberFormat="0" applyProtection="0">
      <alignment horizontal="left" vertical="center" indent="1"/>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57" borderId="98"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74" borderId="101" applyNumberFormat="0" applyProtection="0">
      <alignment horizontal="left" vertical="center" indent="1"/>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4" fontId="43" fillId="62" borderId="98" applyNumberFormat="0" applyProtection="0">
      <alignment horizontal="right" vertical="center"/>
    </xf>
    <xf numFmtId="0" fontId="43" fillId="0" borderId="0" applyNumberFormat="0" applyFont="0" applyFill="0" applyBorder="0" applyAlignment="0" applyProtection="0"/>
    <xf numFmtId="0" fontId="43" fillId="85" borderId="62">
      <alignment horizontal="left"/>
    </xf>
    <xf numFmtId="0" fontId="43" fillId="85" borderId="62">
      <alignment horizontal="left"/>
    </xf>
    <xf numFmtId="295" fontId="43" fillId="0" borderId="0" applyFill="0" applyBorder="0">
      <alignment horizontal="right"/>
      <protection hidden="1"/>
    </xf>
    <xf numFmtId="0" fontId="43" fillId="0" borderId="0"/>
    <xf numFmtId="191" fontId="43" fillId="0" borderId="0">
      <alignment horizontal="left"/>
    </xf>
    <xf numFmtId="0" fontId="43" fillId="58" borderId="0"/>
    <xf numFmtId="0" fontId="43" fillId="58" borderId="0">
      <alignment wrapText="1"/>
    </xf>
    <xf numFmtId="0" fontId="43" fillId="63" borderId="9">
      <alignment horizontal="center" vertical="center" wrapText="1"/>
      <protection hidden="1"/>
    </xf>
    <xf numFmtId="0" fontId="43" fillId="63" borderId="9">
      <alignment horizontal="center" vertical="center" wrapText="1"/>
      <protection hidden="1"/>
    </xf>
    <xf numFmtId="0" fontId="43" fillId="63" borderId="9">
      <alignment horizontal="center" vertical="center" wrapText="1"/>
      <protection hidden="1"/>
    </xf>
    <xf numFmtId="0" fontId="43" fillId="63" borderId="9">
      <alignment horizontal="center" vertical="center" wrapText="1"/>
      <protection hidden="1"/>
    </xf>
    <xf numFmtId="0" fontId="43" fillId="0" borderId="0" applyFill="0" applyBorder="0">
      <alignment vertical="top"/>
    </xf>
    <xf numFmtId="0" fontId="43" fillId="0" borderId="0" applyFill="0" applyBorder="0">
      <alignment horizontal="left" vertical="top" indent="1"/>
    </xf>
    <xf numFmtId="0" fontId="43" fillId="0" borderId="0" applyFill="0" applyBorder="0">
      <alignment horizontal="left" vertical="top" indent="2"/>
    </xf>
    <xf numFmtId="0" fontId="43" fillId="0" borderId="0" applyFill="0" applyBorder="0">
      <alignment horizontal="left" vertical="top" indent="3"/>
    </xf>
    <xf numFmtId="0" fontId="43" fillId="86" borderId="0" applyNumberFormat="0" applyFont="0" applyBorder="0" applyAlignment="0">
      <protection locked="0"/>
    </xf>
    <xf numFmtId="0" fontId="43" fillId="79" borderId="0" applyNumberFormat="0" applyFont="0" applyBorder="0" applyAlignment="0" applyProtection="0">
      <alignment horizontal="left"/>
    </xf>
    <xf numFmtId="0" fontId="43" fillId="0" borderId="0"/>
    <xf numFmtId="0" fontId="43" fillId="51" borderId="102"/>
    <xf numFmtId="0" fontId="43" fillId="51" borderId="102"/>
    <xf numFmtId="0" fontId="43" fillId="51" borderId="102"/>
    <xf numFmtId="0" fontId="43" fillId="51" borderId="102"/>
    <xf numFmtId="0" fontId="43" fillId="51" borderId="102"/>
    <xf numFmtId="0" fontId="43" fillId="51" borderId="102"/>
    <xf numFmtId="295" fontId="43" fillId="0" borderId="103">
      <alignment horizontal="centerContinuous"/>
    </xf>
    <xf numFmtId="295" fontId="43" fillId="0" borderId="103">
      <alignment horizontal="centerContinuous"/>
    </xf>
    <xf numFmtId="0" fontId="43" fillId="0" borderId="0" applyFont="0" applyFill="0" applyBorder="0">
      <alignment horizontal="right"/>
    </xf>
    <xf numFmtId="0" fontId="43" fillId="0" borderId="0" applyFill="0" applyBorder="0" applyAlignment="0" applyProtection="0"/>
    <xf numFmtId="187" fontId="43" fillId="0" borderId="0"/>
    <xf numFmtId="0" fontId="43" fillId="0" borderId="0"/>
    <xf numFmtId="349" fontId="43" fillId="0" borderId="0" applyFont="0" applyFill="0" applyBorder="0" applyAlignment="0" applyProtection="0"/>
    <xf numFmtId="350" fontId="43" fillId="0" borderId="0" applyFont="0" applyFill="0" applyBorder="0" applyAlignment="0" applyProtection="0"/>
    <xf numFmtId="351" fontId="43" fillId="0" borderId="0" applyFont="0" applyFill="0" applyBorder="0" applyAlignment="0" applyProtection="0"/>
    <xf numFmtId="3" fontId="43" fillId="0" borderId="0"/>
    <xf numFmtId="1" fontId="43" fillId="0" borderId="0" applyBorder="0">
      <alignment horizontal="left" vertical="top" wrapText="1"/>
    </xf>
    <xf numFmtId="191" fontId="43" fillId="0" borderId="0">
      <alignment horizontal="left"/>
    </xf>
    <xf numFmtId="0" fontId="43" fillId="0" borderId="0" applyFill="0" applyBorder="0">
      <alignment vertical="top"/>
    </xf>
    <xf numFmtId="0" fontId="43" fillId="0" borderId="0" applyFill="0" applyBorder="0">
      <alignment horizontal="left" vertical="top" indent="1"/>
    </xf>
    <xf numFmtId="0" fontId="43" fillId="0" borderId="0" applyFill="0" applyBorder="0">
      <alignment horizontal="left" vertical="top" indent="2"/>
    </xf>
    <xf numFmtId="0" fontId="43" fillId="0" borderId="0" applyFill="0" applyBorder="0">
      <alignment horizontal="left" vertical="top" indent="3"/>
    </xf>
    <xf numFmtId="0" fontId="43" fillId="0" borderId="0" applyFill="0" applyBorder="0">
      <alignment horizontal="left" vertical="top" indent="4"/>
    </xf>
    <xf numFmtId="3" fontId="43" fillId="0" borderId="0"/>
    <xf numFmtId="224" fontId="43" fillId="0" borderId="0"/>
    <xf numFmtId="224" fontId="43" fillId="0" borderId="0"/>
    <xf numFmtId="3" fontId="43" fillId="0" borderId="0">
      <alignment vertical="center"/>
    </xf>
    <xf numFmtId="0" fontId="43" fillId="73" borderId="50">
      <alignment horizontal="center" wrapText="1"/>
    </xf>
    <xf numFmtId="0" fontId="43" fillId="73" borderId="50">
      <alignment horizontal="center" wrapText="1"/>
    </xf>
    <xf numFmtId="0" fontId="43" fillId="73" borderId="50">
      <alignment horizontal="center" wrapText="1"/>
    </xf>
    <xf numFmtId="0" fontId="43" fillId="73" borderId="50">
      <alignment horizontal="center" wrapText="1"/>
    </xf>
    <xf numFmtId="0" fontId="43" fillId="15" borderId="9"/>
    <xf numFmtId="0" fontId="43" fillId="15" borderId="9"/>
    <xf numFmtId="0" fontId="43" fillId="15" borderId="9"/>
    <xf numFmtId="0" fontId="43" fillId="15" borderId="9"/>
    <xf numFmtId="0" fontId="43" fillId="0" borderId="0" applyBorder="0"/>
    <xf numFmtId="0" fontId="70" fillId="0" borderId="0">
      <alignment vertical="top"/>
    </xf>
    <xf numFmtId="0" fontId="43" fillId="0" borderId="0">
      <alignment vertical="top"/>
    </xf>
    <xf numFmtId="37" fontId="43" fillId="0" borderId="0" applyNumberFormat="0" applyFill="0" applyBorder="0" applyProtection="0"/>
    <xf numFmtId="0" fontId="43" fillId="0" borderId="0"/>
    <xf numFmtId="0" fontId="43" fillId="0" borderId="0">
      <alignment horizontal="left" indent="2"/>
    </xf>
    <xf numFmtId="0" fontId="43" fillId="0" borderId="0" applyNumberFormat="0" applyBorder="0" applyProtection="0">
      <alignment vertical="top"/>
    </xf>
    <xf numFmtId="0" fontId="43" fillId="0" borderId="0">
      <alignment vertical="top"/>
    </xf>
    <xf numFmtId="0" fontId="43" fillId="84" borderId="0"/>
    <xf numFmtId="0" fontId="43" fillId="0" borderId="0"/>
    <xf numFmtId="0" fontId="43" fillId="51" borderId="62"/>
    <xf numFmtId="0" fontId="43" fillId="51" borderId="62"/>
    <xf numFmtId="3" fontId="43" fillId="0" borderId="0"/>
    <xf numFmtId="3" fontId="43" fillId="0" borderId="0"/>
    <xf numFmtId="3" fontId="43" fillId="0" borderId="0"/>
    <xf numFmtId="352" fontId="43" fillId="0" borderId="104"/>
    <xf numFmtId="352" fontId="43" fillId="0" borderId="104"/>
    <xf numFmtId="352" fontId="43" fillId="0" borderId="104"/>
    <xf numFmtId="352" fontId="43" fillId="0" borderId="104"/>
    <xf numFmtId="310" fontId="43" fillId="0" borderId="105" applyNumberFormat="0" applyFill="0" applyAlignment="0" applyProtection="0">
      <alignment vertical="center"/>
    </xf>
    <xf numFmtId="3" fontId="43" fillId="0" borderId="0"/>
    <xf numFmtId="0" fontId="43" fillId="0" borderId="104"/>
    <xf numFmtId="3" fontId="43" fillId="0" borderId="0"/>
    <xf numFmtId="0" fontId="43" fillId="0" borderId="0">
      <alignment horizontal="center"/>
    </xf>
    <xf numFmtId="0" fontId="43" fillId="15" borderId="9">
      <alignment horizontal="right"/>
    </xf>
    <xf numFmtId="0" fontId="43" fillId="0" borderId="0" applyFill="0" applyBorder="0" applyProtection="0"/>
    <xf numFmtId="180" fontId="43" fillId="0" borderId="0" applyFill="0" applyBorder="0" applyProtection="0"/>
    <xf numFmtId="0" fontId="43" fillId="0" borderId="0" applyFill="0" applyBorder="0" applyProtection="0"/>
    <xf numFmtId="180" fontId="43" fillId="0" borderId="0" applyFill="0" applyBorder="0" applyProtection="0"/>
    <xf numFmtId="353" fontId="43" fillId="0" borderId="0" applyFill="0" applyBorder="0" applyProtection="0"/>
    <xf numFmtId="353" fontId="43" fillId="0" borderId="0" applyFill="0" applyBorder="0" applyProtection="0"/>
    <xf numFmtId="0" fontId="43" fillId="0" borderId="0" applyFill="0" applyBorder="0" applyProtection="0"/>
    <xf numFmtId="353" fontId="43" fillId="0" borderId="0" applyFill="0" applyBorder="0" applyProtection="0"/>
    <xf numFmtId="187" fontId="43" fillId="0" borderId="0" applyFill="0" applyBorder="0" applyProtection="0"/>
    <xf numFmtId="188" fontId="43" fillId="0" borderId="0" applyFill="0" applyBorder="0" applyProtection="0"/>
    <xf numFmtId="0" fontId="43" fillId="0" borderId="0" applyFill="0" applyBorder="0" applyProtection="0"/>
    <xf numFmtId="354" fontId="43" fillId="0" borderId="0" applyFill="0" applyBorder="0" applyProtection="0"/>
    <xf numFmtId="354" fontId="43" fillId="0" borderId="0" applyFill="0" applyBorder="0" applyProtection="0"/>
    <xf numFmtId="354" fontId="43" fillId="0" borderId="0" applyFill="0" applyBorder="0" applyProtection="0"/>
    <xf numFmtId="218" fontId="43" fillId="0" borderId="0" applyFill="0" applyBorder="0" applyProtection="0"/>
    <xf numFmtId="354" fontId="43" fillId="0" borderId="0" applyFill="0" applyBorder="0" applyProtection="0"/>
    <xf numFmtId="243" fontId="43" fillId="0" borderId="0" applyFill="0" applyBorder="0" applyProtection="0"/>
    <xf numFmtId="354" fontId="43" fillId="0" borderId="0" applyFill="0" applyBorder="0" applyProtection="0"/>
    <xf numFmtId="353" fontId="43" fillId="0" borderId="0" applyFill="0" applyBorder="0" applyProtection="0"/>
    <xf numFmtId="353" fontId="43" fillId="0" borderId="0" applyFill="0" applyBorder="0" applyProtection="0"/>
    <xf numFmtId="0" fontId="43" fillId="0" borderId="0" applyFill="0" applyBorder="0" applyProtection="0"/>
    <xf numFmtId="353" fontId="43" fillId="0" borderId="0" applyFill="0" applyBorder="0" applyProtection="0"/>
    <xf numFmtId="4" fontId="43" fillId="50" borderId="0">
      <alignment vertical="center"/>
    </xf>
    <xf numFmtId="0" fontId="43" fillId="0" borderId="0" applyFill="0" applyBorder="0" applyProtection="0">
      <alignment horizontal="center" vertical="center"/>
    </xf>
    <xf numFmtId="310" fontId="43" fillId="0" borderId="106" applyNumberFormat="0" applyFont="0" applyFill="0" applyAlignment="0" applyProtection="0">
      <alignment vertical="center"/>
    </xf>
    <xf numFmtId="0" fontId="43" fillId="0" borderId="0" applyBorder="0" applyProtection="0">
      <alignment vertical="center"/>
    </xf>
    <xf numFmtId="0" fontId="43" fillId="0" borderId="45" applyBorder="0" applyProtection="0">
      <alignment horizontal="right" vertical="center"/>
    </xf>
    <xf numFmtId="0" fontId="43" fillId="0" borderId="45" applyBorder="0" applyProtection="0">
      <alignment horizontal="right" vertical="center"/>
    </xf>
    <xf numFmtId="0" fontId="43" fillId="87" borderId="0" applyBorder="0" applyProtection="0">
      <alignment horizontal="centerContinuous" vertical="center"/>
    </xf>
    <xf numFmtId="0" fontId="43" fillId="88" borderId="45" applyBorder="0" applyProtection="0">
      <alignment horizontal="centerContinuous" vertical="center"/>
    </xf>
    <xf numFmtId="0" fontId="43" fillId="88" borderId="45" applyBorder="0" applyProtection="0">
      <alignment horizontal="centerContinuous" vertical="center"/>
    </xf>
    <xf numFmtId="0" fontId="43" fillId="0" borderId="0" applyBorder="0" applyProtection="0">
      <alignment vertical="center"/>
    </xf>
    <xf numFmtId="3" fontId="43" fillId="0" borderId="0" applyNumberFormat="0"/>
    <xf numFmtId="0" fontId="43" fillId="51" borderId="0" applyNumberFormat="0" applyFont="0" applyBorder="0" applyAlignment="0" applyProtection="0">
      <alignment vertical="center"/>
    </xf>
    <xf numFmtId="0" fontId="43" fillId="0" borderId="0" applyFill="0" applyBorder="0" applyProtection="0"/>
    <xf numFmtId="0" fontId="43" fillId="0" borderId="0" applyFill="0" applyBorder="0" applyProtection="0">
      <alignment horizontal="left"/>
    </xf>
    <xf numFmtId="0" fontId="43" fillId="0" borderId="0" applyNumberFormat="0" applyFont="0" applyFill="0" applyAlignment="0" applyProtection="0">
      <alignment vertical="center"/>
    </xf>
    <xf numFmtId="0" fontId="43" fillId="0" borderId="62" applyFill="0" applyBorder="0" applyProtection="0">
      <alignment horizontal="left" vertical="top"/>
    </xf>
    <xf numFmtId="0" fontId="43" fillId="0" borderId="62" applyFill="0" applyBorder="0" applyProtection="0">
      <alignment horizontal="left" vertical="top"/>
    </xf>
    <xf numFmtId="310" fontId="43" fillId="0" borderId="0" applyNumberFormat="0" applyFont="0" applyBorder="0" applyAlignment="0" applyProtection="0">
      <alignment vertical="center"/>
    </xf>
    <xf numFmtId="181" fontId="43" fillId="0" borderId="0" applyFont="0" applyFill="0" applyBorder="0" applyAlignment="0" applyProtection="0">
      <alignment vertical="center"/>
    </xf>
    <xf numFmtId="222" fontId="43" fillId="47" borderId="82" applyNumberFormat="0" applyAlignment="0" applyProtection="0">
      <alignment vertical="center"/>
    </xf>
    <xf numFmtId="0" fontId="43" fillId="0" borderId="0" applyFill="0" applyBorder="0" applyProtection="0">
      <alignment vertical="top"/>
    </xf>
    <xf numFmtId="2" fontId="43" fillId="0" borderId="0"/>
    <xf numFmtId="3" fontId="43" fillId="0" borderId="0"/>
    <xf numFmtId="0" fontId="43" fillId="0" borderId="0" applyNumberFormat="0" applyFont="0" applyBorder="0" applyAlignment="0"/>
    <xf numFmtId="49" fontId="43" fillId="0" borderId="45">
      <alignment vertical="center"/>
    </xf>
    <xf numFmtId="49" fontId="43" fillId="0" borderId="45">
      <alignment vertical="center"/>
    </xf>
    <xf numFmtId="236" fontId="43" fillId="0" borderId="0" applyNumberFormat="0" applyFont="0" applyFill="0" applyBorder="0" applyProtection="0">
      <alignment wrapText="1"/>
    </xf>
    <xf numFmtId="49" fontId="43" fillId="0" borderId="0" applyFill="0" applyBorder="0" applyAlignment="0"/>
    <xf numFmtId="49" fontId="43" fillId="0" borderId="0" applyFont="0" applyFill="0" applyBorder="0" applyAlignment="0" applyProtection="0">
      <alignment horizontal="center" vertical="center"/>
    </xf>
    <xf numFmtId="0" fontId="43" fillId="0" borderId="0" applyFont="0" applyFill="0" applyBorder="0" applyProtection="0"/>
    <xf numFmtId="340" fontId="43" fillId="0" borderId="0"/>
    <xf numFmtId="0" fontId="43" fillId="0" borderId="0" applyNumberFormat="0" applyFill="0" applyBorder="0" applyAlignment="0" applyProtection="0"/>
    <xf numFmtId="0" fontId="43" fillId="0" borderId="0" applyNumberFormat="0" applyFill="0" applyBorder="0" applyAlignment="0" applyProtection="0"/>
    <xf numFmtId="0" fontId="43" fillId="51" borderId="51" applyNumberFormat="0">
      <alignment vertical="center"/>
    </xf>
    <xf numFmtId="0" fontId="43" fillId="51" borderId="51" applyNumberFormat="0">
      <alignment vertical="center"/>
    </xf>
    <xf numFmtId="0" fontId="43" fillId="51" borderId="51" applyNumberFormat="0">
      <alignment vertical="center"/>
    </xf>
    <xf numFmtId="0" fontId="43" fillId="51" borderId="51" applyNumberFormat="0">
      <alignment vertical="center"/>
    </xf>
    <xf numFmtId="3" fontId="43" fillId="0" borderId="0"/>
    <xf numFmtId="0" fontId="43" fillId="0" borderId="0">
      <alignment horizontal="center"/>
    </xf>
    <xf numFmtId="0" fontId="43" fillId="0" borderId="0">
      <alignment horizontal="center"/>
    </xf>
    <xf numFmtId="0" fontId="43" fillId="0" borderId="0">
      <alignment horizontal="center"/>
    </xf>
    <xf numFmtId="0" fontId="43" fillId="51" borderId="0" applyNumberFormat="0" applyFont="0" applyBorder="0" applyAlignment="0"/>
    <xf numFmtId="0" fontId="43" fillId="0" borderId="0" applyBorder="0"/>
    <xf numFmtId="0" fontId="48" fillId="0" borderId="107" applyNumberFormat="0" applyFill="0" applyAlignment="0" applyProtection="0"/>
    <xf numFmtId="191" fontId="43" fillId="0" borderId="0" applyFill="0" applyBorder="0" applyAlignment="0" applyProtection="0">
      <alignment horizontal="left"/>
    </xf>
    <xf numFmtId="191" fontId="43" fillId="0" borderId="0" applyFill="0" applyBorder="0" applyAlignment="0" applyProtection="0">
      <alignment horizontal="left"/>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7" fontId="43" fillId="51" borderId="108" applyNumberFormat="0" applyBorder="0">
      <alignment horizontal="center"/>
    </xf>
    <xf numFmtId="38" fontId="43" fillId="67" borderId="45" applyAlignment="0"/>
    <xf numFmtId="38" fontId="43" fillId="67" borderId="45" applyAlignment="0"/>
    <xf numFmtId="0" fontId="43" fillId="0" borderId="0"/>
    <xf numFmtId="224" fontId="43" fillId="0" borderId="79" applyNumberFormat="0" applyFont="0" applyFill="0" applyAlignment="0" applyProtection="0"/>
    <xf numFmtId="224" fontId="43" fillId="0" borderId="79" applyNumberFormat="0" applyFont="0" applyFill="0" applyAlignment="0" applyProtection="0"/>
    <xf numFmtId="0" fontId="43" fillId="0" borderId="51">
      <alignment horizontal="right" wrapText="1"/>
    </xf>
    <xf numFmtId="0" fontId="43" fillId="0" borderId="51">
      <alignment horizontal="right" wrapText="1"/>
    </xf>
    <xf numFmtId="0" fontId="43" fillId="0" borderId="51">
      <alignment horizontal="right" wrapText="1"/>
    </xf>
    <xf numFmtId="0" fontId="43" fillId="0" borderId="51">
      <alignment horizontal="right" wrapText="1"/>
    </xf>
    <xf numFmtId="0" fontId="43" fillId="0" borderId="0"/>
    <xf numFmtId="3" fontId="43" fillId="0" borderId="45" applyNumberFormat="0"/>
    <xf numFmtId="3" fontId="43" fillId="0" borderId="45" applyNumberFormat="0"/>
    <xf numFmtId="340" fontId="43" fillId="0" borderId="104"/>
    <xf numFmtId="340" fontId="43" fillId="0" borderId="104"/>
    <xf numFmtId="340" fontId="43" fillId="0" borderId="104"/>
    <xf numFmtId="340" fontId="43" fillId="0" borderId="104"/>
    <xf numFmtId="37" fontId="43" fillId="0" borderId="0" applyNumberFormat="0" applyFill="0" applyBorder="0" applyAlignment="0" applyProtection="0">
      <alignment horizontal="right"/>
    </xf>
    <xf numFmtId="0" fontId="43" fillId="54" borderId="9"/>
    <xf numFmtId="0" fontId="43" fillId="54" borderId="9"/>
    <xf numFmtId="0" fontId="43" fillId="54" borderId="9"/>
    <xf numFmtId="0" fontId="43" fillId="54" borderId="9"/>
    <xf numFmtId="0" fontId="43" fillId="0" borderId="0" applyFill="0" applyBorder="0">
      <alignment horizontal="center"/>
    </xf>
    <xf numFmtId="0" fontId="43" fillId="0" borderId="0" applyFill="0" applyBorder="0">
      <alignment horizontal="center" wrapText="1"/>
    </xf>
    <xf numFmtId="190" fontId="43" fillId="0" borderId="0" applyFont="0" applyFill="0" applyBorder="0" applyAlignment="0" applyProtection="0"/>
    <xf numFmtId="0" fontId="43" fillId="0" borderId="0"/>
    <xf numFmtId="0" fontId="43" fillId="0" borderId="0" applyAlignment="0"/>
    <xf numFmtId="0" fontId="43" fillId="0" borderId="0"/>
    <xf numFmtId="0" fontId="43" fillId="0" borderId="0" applyNumberFormat="0" applyFont="0" applyBorder="0" applyAlignment="0" applyProtection="0">
      <alignment vertical="center"/>
    </xf>
    <xf numFmtId="0" fontId="43" fillId="0" borderId="0"/>
    <xf numFmtId="37" fontId="43" fillId="50" borderId="0" applyNumberFormat="0" applyBorder="0" applyAlignment="0" applyProtection="0"/>
    <xf numFmtId="37" fontId="43" fillId="0" borderId="0"/>
    <xf numFmtId="3" fontId="43" fillId="0" borderId="87" applyProtection="0"/>
    <xf numFmtId="38" fontId="43" fillId="0" borderId="0">
      <alignment horizontal="right"/>
      <protection locked="0"/>
    </xf>
    <xf numFmtId="0" fontId="43" fillId="0" borderId="0" applyNumberFormat="0" applyFont="0" applyAlignment="0" applyProtection="0">
      <alignment vertical="center"/>
    </xf>
    <xf numFmtId="0" fontId="43" fillId="0" borderId="0" applyFont="0" applyFill="0" applyBorder="0" applyAlignment="0" applyProtection="0"/>
    <xf numFmtId="355" fontId="43" fillId="0" borderId="0" applyFont="0" applyFill="0" applyBorder="0" applyAlignment="0" applyProtection="0"/>
    <xf numFmtId="356" fontId="43" fillId="0" borderId="0" applyFont="0" applyFill="0" applyBorder="0" applyAlignment="0" applyProtection="0"/>
    <xf numFmtId="357" fontId="43" fillId="0" borderId="0">
      <protection hidden="1"/>
    </xf>
    <xf numFmtId="0" fontId="43" fillId="0" borderId="0" applyNumberFormat="0" applyFont="0" applyFill="0">
      <protection locked="0"/>
    </xf>
    <xf numFmtId="358" fontId="43" fillId="0" borderId="0" applyFont="0" applyFill="0" applyBorder="0" applyAlignment="0" applyProtection="0"/>
    <xf numFmtId="1" fontId="43" fillId="50" borderId="9" applyNumberFormat="0" applyFont="0" applyBorder="0" applyAlignment="0">
      <alignment horizontal="center" vertical="center" wrapText="1"/>
    </xf>
    <xf numFmtId="1" fontId="43" fillId="50" borderId="9" applyNumberFormat="0" applyFont="0" applyBorder="0" applyAlignment="0">
      <alignment horizontal="center" vertical="center" wrapText="1"/>
    </xf>
    <xf numFmtId="1" fontId="43" fillId="50" borderId="9" applyNumberFormat="0" applyFont="0" applyBorder="0" applyAlignment="0">
      <alignment horizontal="center" vertical="center" wrapText="1"/>
    </xf>
    <xf numFmtId="1" fontId="43" fillId="50" borderId="9" applyNumberFormat="0" applyFont="0" applyBorder="0" applyAlignment="0">
      <alignment horizontal="center" vertical="center"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wrapText="1"/>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vertical="top" wrapText="1"/>
    </xf>
    <xf numFmtId="0" fontId="43" fillId="79" borderId="88">
      <alignment vertical="top" wrapText="1"/>
    </xf>
    <xf numFmtId="0" fontId="43" fillId="79" borderId="88">
      <alignment vertical="top" wrapText="1"/>
    </xf>
    <xf numFmtId="0" fontId="43" fillId="79" borderId="88">
      <alignment vertical="top" wrapText="1"/>
    </xf>
    <xf numFmtId="0" fontId="43" fillId="79" borderId="88">
      <alignment vertical="top" wrapText="1"/>
    </xf>
    <xf numFmtId="0" fontId="43" fillId="79" borderId="88">
      <alignment vertical="top" wrapText="1"/>
    </xf>
    <xf numFmtId="0" fontId="43" fillId="79" borderId="88">
      <alignment vertical="top" wrapText="1"/>
    </xf>
    <xf numFmtId="0" fontId="43" fillId="79" borderId="88">
      <alignment vertical="top" wrapText="1"/>
    </xf>
    <xf numFmtId="261" fontId="43" fillId="79" borderId="88">
      <alignment horizontal="center" vertical="top"/>
    </xf>
    <xf numFmtId="261" fontId="43" fillId="79" borderId="88">
      <alignment horizontal="center" vertical="top"/>
    </xf>
    <xf numFmtId="261" fontId="43" fillId="79" borderId="88">
      <alignment horizontal="center" vertical="top"/>
    </xf>
    <xf numFmtId="261" fontId="43" fillId="79" borderId="88">
      <alignment horizontal="center" vertical="top"/>
    </xf>
    <xf numFmtId="261" fontId="43" fillId="79" borderId="88">
      <alignment horizontal="center" vertical="top"/>
    </xf>
    <xf numFmtId="261" fontId="43" fillId="79" borderId="88">
      <alignment horizontal="center" vertical="top"/>
    </xf>
    <xf numFmtId="261" fontId="43" fillId="79" borderId="88">
      <alignment horizontal="center" vertical="top"/>
    </xf>
    <xf numFmtId="261" fontId="43" fillId="79" borderId="88">
      <alignment horizontal="center" vertical="top"/>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Continuous" vertical="top" wrapText="1"/>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vertical="top"/>
    </xf>
    <xf numFmtId="0" fontId="43" fillId="79" borderId="88">
      <alignment horizontal="center" textRotation="90"/>
    </xf>
    <xf numFmtId="0" fontId="43" fillId="79" borderId="88">
      <alignment horizontal="center" textRotation="90"/>
    </xf>
    <xf numFmtId="0" fontId="43" fillId="79" borderId="88">
      <alignment horizontal="center" textRotation="90"/>
    </xf>
    <xf numFmtId="0" fontId="43" fillId="79" borderId="88">
      <alignment horizontal="center" textRotation="90"/>
    </xf>
    <xf numFmtId="0" fontId="43" fillId="79" borderId="88">
      <alignment horizontal="center" textRotation="90"/>
    </xf>
    <xf numFmtId="0" fontId="43" fillId="79" borderId="88">
      <alignment horizontal="center" textRotation="90"/>
    </xf>
    <xf numFmtId="0" fontId="43" fillId="79" borderId="88">
      <alignment horizontal="center" textRotation="90"/>
    </xf>
    <xf numFmtId="0" fontId="43" fillId="79" borderId="88">
      <alignment horizontal="center" textRotation="90"/>
    </xf>
    <xf numFmtId="359" fontId="43" fillId="79" borderId="88">
      <alignment horizontal="center" vertical="top"/>
    </xf>
    <xf numFmtId="359" fontId="43" fillId="79" borderId="88">
      <alignment horizontal="center" vertical="top"/>
    </xf>
    <xf numFmtId="359" fontId="43" fillId="79" borderId="88">
      <alignment horizontal="center" vertical="top"/>
    </xf>
    <xf numFmtId="359" fontId="43" fillId="79" borderId="88">
      <alignment horizontal="center" vertical="top"/>
    </xf>
    <xf numFmtId="359" fontId="43" fillId="79" borderId="88">
      <alignment horizontal="center" vertical="top"/>
    </xf>
    <xf numFmtId="359" fontId="43" fillId="79" borderId="88">
      <alignment horizontal="center" vertical="top"/>
    </xf>
    <xf numFmtId="359" fontId="43" fillId="79" borderId="88">
      <alignment horizontal="center" vertical="top"/>
    </xf>
    <xf numFmtId="359" fontId="43" fillId="79" borderId="88">
      <alignment horizontal="center" vertical="top"/>
    </xf>
    <xf numFmtId="0" fontId="43" fillId="0" borderId="0">
      <alignment horizontal="center" vertical="top"/>
    </xf>
    <xf numFmtId="0" fontId="43" fillId="0" borderId="0" applyFont="0" applyFill="0" applyBorder="0" applyAlignment="0" applyProtection="0">
      <alignment horizontal="right"/>
    </xf>
    <xf numFmtId="0" fontId="43" fillId="77" borderId="0"/>
    <xf numFmtId="0" fontId="43" fillId="0" borderId="45">
      <alignment horizontal="right"/>
    </xf>
    <xf numFmtId="0" fontId="43" fillId="0" borderId="45">
      <alignment horizontal="right"/>
    </xf>
    <xf numFmtId="0" fontId="43" fillId="0" borderId="0" applyFill="0" applyBorder="0" applyProtection="0"/>
    <xf numFmtId="360" fontId="43" fillId="0" borderId="0" applyFill="0" applyBorder="0" applyProtection="0"/>
    <xf numFmtId="0" fontId="43" fillId="0" borderId="45">
      <alignment horizontal="right"/>
    </xf>
    <xf numFmtId="359" fontId="43" fillId="0" borderId="0"/>
    <xf numFmtId="361" fontId="43" fillId="0" borderId="45">
      <alignment horizontal="right"/>
    </xf>
    <xf numFmtId="361" fontId="43" fillId="0" borderId="45">
      <alignment horizontal="right"/>
    </xf>
    <xf numFmtId="0" fontId="43" fillId="0" borderId="0" applyFill="0" applyProtection="0"/>
    <xf numFmtId="0" fontId="43" fillId="89" borderId="109" applyNumberFormat="0" applyFont="0" applyBorder="0" applyAlignment="0" applyProtection="0">
      <alignment horizontal="right"/>
    </xf>
    <xf numFmtId="0" fontId="43" fillId="0" borderId="0" applyFont="0" applyFill="0" applyBorder="0" applyAlignment="0" applyProtection="0"/>
    <xf numFmtId="0" fontId="43" fillId="76" borderId="9" applyNumberFormat="0" applyFont="0" applyBorder="0" applyAlignment="0" applyProtection="0">
      <alignment horizontal="center"/>
    </xf>
    <xf numFmtId="0" fontId="43" fillId="76" borderId="9" applyNumberFormat="0" applyFont="0" applyBorder="0" applyAlignment="0" applyProtection="0">
      <alignment horizontal="center"/>
    </xf>
    <xf numFmtId="0" fontId="43" fillId="76" borderId="9" applyNumberFormat="0" applyFont="0" applyBorder="0" applyAlignment="0" applyProtection="0">
      <alignment horizontal="center"/>
    </xf>
    <xf numFmtId="0" fontId="43" fillId="76" borderId="9" applyNumberFormat="0" applyFont="0" applyBorder="0" applyAlignment="0" applyProtection="0">
      <alignment horizontal="center"/>
    </xf>
    <xf numFmtId="269" fontId="43" fillId="0" borderId="0" applyBorder="0" applyProtection="0"/>
    <xf numFmtId="269" fontId="43" fillId="0" borderId="0" applyBorder="0"/>
    <xf numFmtId="0" fontId="43" fillId="70" borderId="0" applyNumberFormat="0" applyFont="0" applyBorder="0" applyAlignment="0">
      <alignment vertical="top"/>
      <protection locked="0"/>
    </xf>
    <xf numFmtId="0" fontId="43" fillId="57" borderId="0" applyNumberFormat="0" applyFont="0" applyBorder="0" applyAlignment="0">
      <alignment vertical="top"/>
    </xf>
    <xf numFmtId="0" fontId="43" fillId="0" borderId="0"/>
    <xf numFmtId="0" fontId="43" fillId="0" borderId="0"/>
    <xf numFmtId="186" fontId="43" fillId="0" borderId="0" applyFont="0" applyFill="0" applyBorder="0" applyAlignment="0" applyProtection="0"/>
    <xf numFmtId="362" fontId="43" fillId="0" borderId="0" applyFont="0" applyFill="0" applyBorder="0" applyAlignment="0" applyProtection="0"/>
    <xf numFmtId="0" fontId="43" fillId="0" borderId="0" applyFont="0" applyFill="0" applyBorder="0" applyAlignment="0" applyProtection="0"/>
    <xf numFmtId="0" fontId="43" fillId="0" borderId="0"/>
    <xf numFmtId="187" fontId="43" fillId="0" borderId="0" applyFont="0" applyFill="0" applyBorder="0" applyAlignment="0" applyProtection="0"/>
    <xf numFmtId="185" fontId="43" fillId="0" borderId="0" applyFont="0" applyFill="0" applyBorder="0" applyAlignment="0" applyProtection="0"/>
    <xf numFmtId="0" fontId="43" fillId="0" borderId="0"/>
    <xf numFmtId="185" fontId="43" fillId="0" borderId="0" applyFont="0" applyFill="0" applyBorder="0" applyAlignment="0" applyProtection="0"/>
    <xf numFmtId="187" fontId="43" fillId="0" borderId="0" applyFont="0" applyFill="0" applyBorder="0" applyAlignment="0" applyProtection="0"/>
    <xf numFmtId="0" fontId="43" fillId="0" borderId="0"/>
    <xf numFmtId="233" fontId="43" fillId="0" borderId="0" applyFont="0" applyFill="0" applyBorder="0" applyAlignment="0" applyProtection="0"/>
    <xf numFmtId="358" fontId="43" fillId="0" borderId="0" applyFont="0" applyFill="0" applyBorder="0" applyAlignment="0" applyProtection="0"/>
    <xf numFmtId="0" fontId="43" fillId="0" borderId="0" applyFont="0" applyFill="0" applyBorder="0" applyAlignment="0" applyProtection="0"/>
    <xf numFmtId="363" fontId="43" fillId="0" borderId="0" applyFont="0" applyFill="0" applyBorder="0" applyAlignment="0" applyProtection="0"/>
    <xf numFmtId="0" fontId="6" fillId="0" borderId="0"/>
    <xf numFmtId="0" fontId="6" fillId="0" borderId="0"/>
    <xf numFmtId="0" fontId="6" fillId="0" borderId="0"/>
    <xf numFmtId="0" fontId="6" fillId="0" borderId="0"/>
    <xf numFmtId="185" fontId="6" fillId="0" borderId="0" applyFont="0" applyFill="0" applyBorder="0" applyAlignment="0" applyProtection="0"/>
  </cellStyleXfs>
  <cellXfs count="258">
    <xf numFmtId="0" fontId="0" fillId="0" borderId="0" xfId="0"/>
    <xf numFmtId="0" fontId="0" fillId="0" borderId="0" xfId="1669"/>
    <xf numFmtId="0" fontId="1" fillId="0" borderId="1" xfId="1669" applyFont="1" applyBorder="1" applyAlignment="1">
      <alignment horizontal="right" vertical="center" wrapText="1"/>
    </xf>
    <xf numFmtId="0" fontId="1" fillId="0" borderId="0" xfId="1669" applyFont="1" applyAlignment="1">
      <alignment horizontal="center" vertical="center" wrapText="1"/>
    </xf>
    <xf numFmtId="0" fontId="2" fillId="0" borderId="0" xfId="1669" applyFont="1" applyAlignment="1">
      <alignment horizontal="left" vertical="center" wrapText="1"/>
    </xf>
    <xf numFmtId="0" fontId="1" fillId="0" borderId="2" xfId="1669" applyFont="1" applyBorder="1" applyAlignment="1">
      <alignment horizontal="center" vertical="center" wrapText="1"/>
    </xf>
    <xf numFmtId="0" fontId="1" fillId="2" borderId="3" xfId="1669" applyFont="1" applyFill="1" applyBorder="1" applyAlignment="1">
      <alignment horizontal="center" vertical="center" wrapText="1"/>
    </xf>
    <xf numFmtId="0" fontId="1" fillId="2" borderId="4" xfId="1669" applyFont="1" applyFill="1" applyBorder="1" applyAlignment="1">
      <alignment horizontal="center" vertical="center" wrapText="1"/>
    </xf>
    <xf numFmtId="294" fontId="3" fillId="3" borderId="5" xfId="1669" applyNumberFormat="1" applyFont="1" applyFill="1" applyBorder="1" applyAlignment="1">
      <alignment horizontal="center" vertical="center"/>
    </xf>
    <xf numFmtId="0" fontId="3" fillId="3" borderId="6" xfId="1669" applyFont="1" applyFill="1" applyBorder="1" applyAlignment="1">
      <alignment horizontal="center" vertical="center" wrapText="1"/>
    </xf>
    <xf numFmtId="294" fontId="3" fillId="4" borderId="3" xfId="1669" applyNumberFormat="1" applyFont="1" applyFill="1" applyBorder="1" applyAlignment="1">
      <alignment horizontal="center" vertical="center" wrapText="1"/>
    </xf>
    <xf numFmtId="294" fontId="3" fillId="4" borderId="2" xfId="1669" applyNumberFormat="1" applyFont="1" applyFill="1" applyBorder="1" applyAlignment="1">
      <alignment horizontal="center" vertical="center" wrapText="1"/>
    </xf>
    <xf numFmtId="294" fontId="3" fillId="4" borderId="4" xfId="1669" applyNumberFormat="1" applyFont="1" applyFill="1" applyBorder="1" applyAlignment="1">
      <alignment horizontal="center" vertical="center" wrapText="1"/>
    </xf>
    <xf numFmtId="0" fontId="4" fillId="5" borderId="3" xfId="1669" applyFont="1" applyFill="1" applyBorder="1" applyAlignment="1">
      <alignment horizontal="center" vertical="center"/>
    </xf>
    <xf numFmtId="0" fontId="4" fillId="5" borderId="2" xfId="1669" applyFont="1" applyFill="1" applyBorder="1" applyAlignment="1">
      <alignment horizontal="center" vertical="center"/>
    </xf>
    <xf numFmtId="294" fontId="3" fillId="3" borderId="7" xfId="1669" applyNumberFormat="1" applyFont="1" applyFill="1" applyBorder="1" applyAlignment="1">
      <alignment horizontal="center" vertical="center"/>
    </xf>
    <xf numFmtId="0" fontId="3" fillId="3" borderId="8" xfId="1669" applyFont="1" applyFill="1" applyBorder="1" applyAlignment="1">
      <alignment horizontal="center" vertical="center" wrapText="1"/>
    </xf>
    <xf numFmtId="0" fontId="5" fillId="6" borderId="9" xfId="1665" applyFont="1" applyFill="1" applyBorder="1" applyAlignment="1">
      <alignment vertical="center"/>
    </xf>
    <xf numFmtId="0" fontId="0" fillId="0" borderId="9" xfId="1669" applyBorder="1" applyAlignment="1">
      <alignment horizontal="center"/>
    </xf>
    <xf numFmtId="0" fontId="0" fillId="0" borderId="8" xfId="1669" applyBorder="1" applyAlignment="1">
      <alignment horizontal="center" wrapText="1"/>
    </xf>
    <xf numFmtId="0" fontId="0" fillId="0" borderId="9" xfId="1669" applyBorder="1" applyAlignment="1">
      <alignment horizontal="center" wrapText="1"/>
    </xf>
    <xf numFmtId="0" fontId="0" fillId="0" borderId="9" xfId="1669" applyBorder="1"/>
    <xf numFmtId="0" fontId="4" fillId="5" borderId="10" xfId="1669" applyFont="1" applyFill="1" applyBorder="1" applyAlignment="1">
      <alignment horizontal="center" vertical="center"/>
    </xf>
    <xf numFmtId="0" fontId="2" fillId="7" borderId="9"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4" fillId="5" borderId="4" xfId="1669" applyFont="1" applyFill="1" applyBorder="1" applyAlignment="1">
      <alignment horizontal="center" vertical="center"/>
    </xf>
    <xf numFmtId="0" fontId="0" fillId="0" borderId="9" xfId="1669" applyBorder="1" applyAlignment="1">
      <alignment horizontal="right" wrapText="1"/>
    </xf>
    <xf numFmtId="0" fontId="0" fillId="0" borderId="9" xfId="1669" applyBorder="1" applyAlignment="1">
      <alignment horizontal="right"/>
    </xf>
    <xf numFmtId="0" fontId="4" fillId="5" borderId="11" xfId="1669" applyFont="1" applyFill="1" applyBorder="1" applyAlignment="1">
      <alignment horizontal="center" vertical="center"/>
    </xf>
    <xf numFmtId="0" fontId="4" fillId="5" borderId="12" xfId="1669" applyFont="1" applyFill="1" applyBorder="1" applyAlignment="1">
      <alignment horizontal="center" vertical="center"/>
    </xf>
    <xf numFmtId="0" fontId="3" fillId="3" borderId="9" xfId="1669" applyFont="1" applyFill="1" applyBorder="1" applyAlignment="1">
      <alignment horizontal="center" vertical="center" wrapText="1"/>
    </xf>
    <xf numFmtId="0" fontId="4" fillId="5" borderId="13" xfId="1669" applyFont="1" applyFill="1" applyBorder="1" applyAlignment="1">
      <alignment horizontal="center" vertical="center"/>
    </xf>
    <xf numFmtId="0" fontId="6" fillId="8" borderId="0" xfId="2352" applyFill="1"/>
    <xf numFmtId="0" fontId="6" fillId="6" borderId="0" xfId="2352" applyFill="1"/>
    <xf numFmtId="0" fontId="7" fillId="5" borderId="3" xfId="2352" applyFont="1" applyFill="1" applyBorder="1" applyAlignment="1">
      <alignment horizontal="center"/>
    </xf>
    <xf numFmtId="0" fontId="7" fillId="5" borderId="2" xfId="2352" applyFont="1" applyFill="1" applyBorder="1" applyAlignment="1">
      <alignment horizontal="center"/>
    </xf>
    <xf numFmtId="0" fontId="7" fillId="5" borderId="4" xfId="2352" applyFont="1" applyFill="1" applyBorder="1" applyAlignment="1">
      <alignment horizontal="center"/>
    </xf>
    <xf numFmtId="0" fontId="7" fillId="6" borderId="0" xfId="2352" applyFont="1" applyFill="1" applyAlignment="1">
      <alignment horizontal="center"/>
    </xf>
    <xf numFmtId="0" fontId="6" fillId="0" borderId="14" xfId="2352" applyBorder="1" applyAlignment="1">
      <alignment horizontal="center" vertical="center" wrapText="1"/>
    </xf>
    <xf numFmtId="0" fontId="6" fillId="0" borderId="15" xfId="2352" applyBorder="1" applyAlignment="1">
      <alignment horizontal="center" vertical="center" wrapText="1"/>
    </xf>
    <xf numFmtId="0" fontId="6" fillId="0" borderId="16" xfId="2352" applyBorder="1" applyAlignment="1">
      <alignment horizontal="center" vertical="center" wrapText="1"/>
    </xf>
    <xf numFmtId="0" fontId="6" fillId="6" borderId="0" xfId="2352" applyFill="1" applyAlignment="1">
      <alignment horizontal="center" vertical="center" wrapText="1"/>
    </xf>
    <xf numFmtId="0" fontId="8" fillId="0" borderId="17" xfId="2352" applyFont="1" applyBorder="1"/>
    <xf numFmtId="0" fontId="6" fillId="0" borderId="9" xfId="2352" applyBorder="1" applyAlignment="1">
      <alignment horizontal="center"/>
    </xf>
    <xf numFmtId="0" fontId="6" fillId="0" borderId="18" xfId="2352" applyBorder="1" applyAlignment="1">
      <alignment horizontal="center"/>
    </xf>
    <xf numFmtId="0" fontId="8" fillId="9" borderId="17" xfId="2352" applyFont="1" applyFill="1" applyBorder="1"/>
    <xf numFmtId="0" fontId="6" fillId="9" borderId="9" xfId="2352" applyFill="1" applyBorder="1"/>
    <xf numFmtId="0" fontId="6" fillId="9" borderId="18" xfId="2352" applyFill="1" applyBorder="1"/>
    <xf numFmtId="0" fontId="6" fillId="0" borderId="9" xfId="2352" applyBorder="1"/>
    <xf numFmtId="0" fontId="6" fillId="0" borderId="18" xfId="2352" applyBorder="1"/>
    <xf numFmtId="0" fontId="8" fillId="0" borderId="19" xfId="2352" applyFont="1" applyBorder="1"/>
    <xf numFmtId="0" fontId="6" fillId="0" borderId="20" xfId="2352" applyBorder="1"/>
    <xf numFmtId="0" fontId="6" fillId="0" borderId="21" xfId="2352" applyBorder="1"/>
    <xf numFmtId="0" fontId="6" fillId="2" borderId="14" xfId="2352" applyFill="1" applyBorder="1"/>
    <xf numFmtId="0" fontId="6" fillId="2" borderId="15" xfId="2352" applyFill="1" applyBorder="1"/>
    <xf numFmtId="0" fontId="6" fillId="2" borderId="16" xfId="2352" applyFill="1" applyBorder="1"/>
    <xf numFmtId="0" fontId="7" fillId="5" borderId="22" xfId="2352" applyFont="1" applyFill="1" applyBorder="1" applyAlignment="1">
      <alignment horizontal="center"/>
    </xf>
    <xf numFmtId="0" fontId="7" fillId="5" borderId="1" xfId="2352" applyFont="1" applyFill="1" applyBorder="1" applyAlignment="1">
      <alignment horizontal="center"/>
    </xf>
    <xf numFmtId="0" fontId="7" fillId="6" borderId="0" xfId="2352" applyFont="1" applyFill="1"/>
    <xf numFmtId="0" fontId="9" fillId="6" borderId="9" xfId="2352" applyFont="1" applyFill="1" applyBorder="1" applyAlignment="1">
      <alignment horizontal="center" vertical="center" wrapText="1"/>
    </xf>
    <xf numFmtId="0" fontId="9" fillId="6" borderId="23" xfId="2352" applyFont="1" applyFill="1" applyBorder="1" applyAlignment="1">
      <alignment horizontal="center" vertical="center" wrapText="1"/>
    </xf>
    <xf numFmtId="185" fontId="0" fillId="2" borderId="8" xfId="2354" applyFont="1" applyFill="1" applyBorder="1"/>
    <xf numFmtId="185" fontId="0" fillId="2" borderId="24" xfId="2354" applyFont="1" applyFill="1" applyBorder="1"/>
    <xf numFmtId="0" fontId="6" fillId="2" borderId="24" xfId="2352" applyFill="1" applyBorder="1"/>
    <xf numFmtId="185" fontId="0" fillId="2" borderId="20" xfId="2354" applyFont="1" applyFill="1" applyBorder="1"/>
    <xf numFmtId="0" fontId="6" fillId="2" borderId="20" xfId="2352" applyFill="1" applyBorder="1"/>
    <xf numFmtId="0" fontId="6" fillId="9" borderId="24" xfId="2352" applyFill="1" applyBorder="1"/>
    <xf numFmtId="0" fontId="6" fillId="9" borderId="25" xfId="2352" applyFill="1" applyBorder="1"/>
    <xf numFmtId="0" fontId="10" fillId="0" borderId="9" xfId="2352" applyFont="1" applyBorder="1" applyAlignment="1">
      <alignment vertical="center" wrapText="1"/>
    </xf>
    <xf numFmtId="0" fontId="7" fillId="5" borderId="26" xfId="2352" applyFont="1" applyFill="1" applyBorder="1" applyAlignment="1">
      <alignment horizontal="center"/>
    </xf>
    <xf numFmtId="3" fontId="6" fillId="0" borderId="20" xfId="2352" applyNumberFormat="1" applyBorder="1"/>
    <xf numFmtId="1" fontId="6" fillId="2" borderId="24" xfId="2352" applyNumberFormat="1" applyFill="1" applyBorder="1"/>
    <xf numFmtId="1" fontId="6" fillId="2" borderId="20" xfId="2352" applyNumberFormat="1" applyFill="1" applyBorder="1"/>
    <xf numFmtId="0" fontId="6" fillId="8" borderId="0" xfId="2352" applyFill="1" applyAlignment="1">
      <alignment horizontal="left"/>
    </xf>
    <xf numFmtId="0" fontId="6" fillId="8" borderId="0" xfId="2352" applyFill="1" applyAlignment="1">
      <alignment horizontal="center"/>
    </xf>
    <xf numFmtId="0" fontId="6" fillId="6" borderId="0" xfId="2352" applyFill="1" applyAlignment="1">
      <alignment horizontal="center"/>
    </xf>
    <xf numFmtId="0" fontId="6" fillId="0" borderId="14" xfId="2352" applyBorder="1" applyAlignment="1">
      <alignment horizontal="left" vertical="center" wrapText="1"/>
    </xf>
    <xf numFmtId="0" fontId="8" fillId="9" borderId="27" xfId="2352" applyFont="1" applyFill="1" applyBorder="1" applyAlignment="1">
      <alignment horizontal="left"/>
    </xf>
    <xf numFmtId="0" fontId="6" fillId="9" borderId="24" xfId="2352" applyFill="1" applyBorder="1" applyAlignment="1">
      <alignment horizontal="center"/>
    </xf>
    <xf numFmtId="0" fontId="6" fillId="9" borderId="25" xfId="2352" applyFill="1" applyBorder="1" applyAlignment="1">
      <alignment horizontal="center"/>
    </xf>
    <xf numFmtId="0" fontId="8" fillId="0" borderId="17" xfId="2352" applyFont="1" applyBorder="1" applyAlignment="1">
      <alignment horizontal="left"/>
    </xf>
    <xf numFmtId="0" fontId="6" fillId="2" borderId="14" xfId="2352" applyFill="1" applyBorder="1" applyAlignment="1">
      <alignment horizontal="left"/>
    </xf>
    <xf numFmtId="0" fontId="6" fillId="2" borderId="15" xfId="2352" applyFill="1" applyBorder="1" applyAlignment="1">
      <alignment horizontal="center"/>
    </xf>
    <xf numFmtId="0" fontId="6" fillId="2" borderId="16" xfId="2352" applyFill="1" applyBorder="1" applyAlignment="1">
      <alignment horizontal="center"/>
    </xf>
    <xf numFmtId="0" fontId="6" fillId="6" borderId="0" xfId="2352" applyFill="1" applyAlignment="1">
      <alignment horizontal="left"/>
    </xf>
    <xf numFmtId="0" fontId="9" fillId="6" borderId="23" xfId="2352" applyFont="1" applyFill="1" applyBorder="1" applyAlignment="1">
      <alignment horizontal="left" vertical="center" wrapText="1"/>
    </xf>
    <xf numFmtId="0" fontId="6" fillId="0" borderId="20" xfId="2352" applyBorder="1" applyAlignment="1">
      <alignment horizontal="left"/>
    </xf>
    <xf numFmtId="0" fontId="6" fillId="0" borderId="20" xfId="2352" applyBorder="1" applyAlignment="1">
      <alignment horizontal="center"/>
    </xf>
    <xf numFmtId="0" fontId="6" fillId="2" borderId="24" xfId="2352" applyFill="1" applyBorder="1" applyAlignment="1">
      <alignment horizontal="left"/>
    </xf>
    <xf numFmtId="0" fontId="6" fillId="2" borderId="24" xfId="2352" applyFill="1" applyBorder="1" applyAlignment="1">
      <alignment horizontal="center"/>
    </xf>
    <xf numFmtId="0" fontId="6" fillId="2" borderId="20" xfId="2352" applyFill="1" applyBorder="1" applyAlignment="1">
      <alignment horizontal="left"/>
    </xf>
    <xf numFmtId="0" fontId="6" fillId="2" borderId="20" xfId="2352" applyFill="1" applyBorder="1" applyAlignment="1">
      <alignment horizontal="center"/>
    </xf>
    <xf numFmtId="0" fontId="8" fillId="9" borderId="7" xfId="2352" applyFont="1" applyFill="1" applyBorder="1" applyAlignment="1">
      <alignment horizontal="left"/>
    </xf>
    <xf numFmtId="0" fontId="6" fillId="9" borderId="8" xfId="2352" applyFill="1" applyBorder="1" applyAlignment="1">
      <alignment horizontal="center"/>
    </xf>
    <xf numFmtId="0" fontId="6" fillId="9" borderId="28" xfId="2352" applyFill="1" applyBorder="1" applyAlignment="1">
      <alignment horizontal="center"/>
    </xf>
    <xf numFmtId="1" fontId="6" fillId="0" borderId="20" xfId="2352" applyNumberFormat="1" applyBorder="1" applyAlignment="1">
      <alignment horizontal="left"/>
    </xf>
    <xf numFmtId="185" fontId="0" fillId="2" borderId="24" xfId="2354" applyFont="1" applyFill="1" applyBorder="1" applyAlignment="1">
      <alignment horizontal="center"/>
    </xf>
    <xf numFmtId="185" fontId="0" fillId="2" borderId="20" xfId="2354" applyFont="1" applyFill="1" applyBorder="1" applyAlignment="1">
      <alignment horizontal="center"/>
    </xf>
    <xf numFmtId="3" fontId="6" fillId="0" borderId="20" xfId="2352" applyNumberFormat="1" applyBorder="1" applyAlignment="1">
      <alignment horizontal="left"/>
    </xf>
    <xf numFmtId="0" fontId="11" fillId="6" borderId="0" xfId="2353" applyFont="1" applyFill="1"/>
    <xf numFmtId="0" fontId="6" fillId="6" borderId="0" xfId="2353" applyFill="1"/>
    <xf numFmtId="0" fontId="11" fillId="0" borderId="14" xfId="2352" applyFont="1" applyBorder="1" applyAlignment="1">
      <alignment horizontal="center" vertical="center"/>
    </xf>
    <xf numFmtId="0" fontId="11" fillId="10" borderId="15" xfId="2352" applyFont="1" applyFill="1" applyBorder="1" applyAlignment="1">
      <alignment horizontal="center" vertical="center" wrapText="1"/>
    </xf>
    <xf numFmtId="0" fontId="11" fillId="0" borderId="15" xfId="2352" applyFont="1" applyBorder="1" applyAlignment="1">
      <alignment horizontal="center" vertical="center" wrapText="1"/>
    </xf>
    <xf numFmtId="0" fontId="8" fillId="0" borderId="17" xfId="2352" applyFont="1" applyBorder="1" applyAlignment="1">
      <alignment horizontal="left" vertical="center"/>
    </xf>
    <xf numFmtId="3" fontId="6" fillId="10" borderId="9" xfId="2352" applyNumberFormat="1" applyFill="1" applyBorder="1" applyAlignment="1">
      <alignment horizontal="center" vertical="center"/>
    </xf>
    <xf numFmtId="0" fontId="6" fillId="0" borderId="9" xfId="2352" applyBorder="1" applyAlignment="1">
      <alignment horizontal="center" vertical="center"/>
    </xf>
    <xf numFmtId="0" fontId="6" fillId="10" borderId="9" xfId="2352" applyFill="1" applyBorder="1" applyAlignment="1">
      <alignment horizontal="center" vertical="center"/>
    </xf>
    <xf numFmtId="0" fontId="6" fillId="10" borderId="9" xfId="2352" applyFill="1" applyBorder="1" applyAlignment="1">
      <alignment horizontal="center"/>
    </xf>
    <xf numFmtId="0" fontId="8" fillId="0" borderId="7" xfId="2352" applyFont="1" applyBorder="1" applyAlignment="1">
      <alignment horizontal="left" vertical="center"/>
    </xf>
    <xf numFmtId="3" fontId="12" fillId="2" borderId="9" xfId="2352" applyNumberFormat="1" applyFont="1" applyFill="1" applyBorder="1" applyAlignment="1">
      <alignment horizontal="center" vertical="center"/>
    </xf>
    <xf numFmtId="0" fontId="12" fillId="2" borderId="9" xfId="2352" applyFont="1" applyFill="1" applyBorder="1" applyAlignment="1">
      <alignment horizontal="center" vertical="center"/>
    </xf>
    <xf numFmtId="3" fontId="6" fillId="0" borderId="9" xfId="2352" applyNumberFormat="1" applyBorder="1" applyAlignment="1">
      <alignment horizontal="center" vertical="center"/>
    </xf>
    <xf numFmtId="0" fontId="0" fillId="6" borderId="0" xfId="2353" applyFont="1" applyFill="1"/>
    <xf numFmtId="0" fontId="13" fillId="11" borderId="29" xfId="2352" applyFont="1" applyFill="1" applyBorder="1" applyAlignment="1">
      <alignment vertical="center"/>
    </xf>
    <xf numFmtId="0" fontId="13" fillId="11" borderId="4" xfId="2352" applyFont="1" applyFill="1" applyBorder="1" applyAlignment="1">
      <alignment horizontal="center" vertical="center" wrapText="1"/>
    </xf>
    <xf numFmtId="0" fontId="13" fillId="11" borderId="4" xfId="2352" applyFont="1" applyFill="1" applyBorder="1" applyAlignment="1">
      <alignment horizontal="center" vertical="center"/>
    </xf>
    <xf numFmtId="0" fontId="13" fillId="11" borderId="30" xfId="2352" applyFont="1" applyFill="1" applyBorder="1" applyAlignment="1">
      <alignment vertical="center"/>
    </xf>
    <xf numFmtId="9" fontId="13" fillId="11" borderId="31" xfId="2352" applyNumberFormat="1" applyFont="1" applyFill="1" applyBorder="1" applyAlignment="1">
      <alignment horizontal="center" vertical="center"/>
    </xf>
    <xf numFmtId="0" fontId="6" fillId="0" borderId="0" xfId="2352"/>
    <xf numFmtId="0" fontId="6" fillId="0" borderId="0" xfId="2351"/>
    <xf numFmtId="0" fontId="11" fillId="0" borderId="0" xfId="2351" applyFont="1"/>
    <xf numFmtId="0" fontId="0" fillId="0" borderId="0" xfId="2351" applyFont="1"/>
    <xf numFmtId="0" fontId="11" fillId="0" borderId="9" xfId="2351" applyFont="1" applyBorder="1"/>
    <xf numFmtId="0" fontId="11" fillId="0" borderId="9" xfId="2351" applyFont="1" applyBorder="1" applyAlignment="1">
      <alignment vertical="top"/>
    </xf>
    <xf numFmtId="0" fontId="0" fillId="0" borderId="9" xfId="2351" applyFont="1" applyBorder="1" applyAlignment="1">
      <alignment vertical="top" wrapText="1"/>
    </xf>
    <xf numFmtId="0" fontId="11" fillId="0" borderId="9" xfId="2352" applyFont="1" applyBorder="1" applyAlignment="1">
      <alignment vertical="top"/>
    </xf>
    <xf numFmtId="0" fontId="14" fillId="0" borderId="9" xfId="2352" applyFont="1" applyBorder="1" applyAlignment="1">
      <alignment vertical="top" wrapText="1"/>
    </xf>
    <xf numFmtId="0" fontId="11" fillId="0" borderId="9" xfId="2351" applyFont="1" applyBorder="1" applyAlignment="1">
      <alignment vertical="top" wrapText="1"/>
    </xf>
    <xf numFmtId="0" fontId="15" fillId="0" borderId="9" xfId="2352" applyFont="1" applyBorder="1" applyAlignment="1">
      <alignment vertical="top"/>
    </xf>
    <xf numFmtId="0" fontId="15" fillId="0" borderId="9" xfId="2352" applyFont="1" applyBorder="1" applyAlignment="1">
      <alignment vertical="top" wrapText="1"/>
    </xf>
    <xf numFmtId="0" fontId="11" fillId="0" borderId="32" xfId="2352" applyFont="1" applyBorder="1" applyAlignment="1">
      <alignment vertical="top" wrapText="1"/>
    </xf>
    <xf numFmtId="0" fontId="11" fillId="0" borderId="9" xfId="2351" applyFont="1" applyBorder="1" applyAlignment="1">
      <alignment vertical="center" wrapText="1"/>
    </xf>
    <xf numFmtId="0" fontId="16" fillId="0" borderId="9" xfId="2351" applyFont="1" applyBorder="1" applyAlignment="1">
      <alignment vertical="center" wrapText="1"/>
    </xf>
    <xf numFmtId="0" fontId="11" fillId="0" borderId="9" xfId="2351" applyFont="1" applyBorder="1" applyAlignment="1">
      <alignment wrapText="1"/>
    </xf>
    <xf numFmtId="0" fontId="6" fillId="0" borderId="0" xfId="2350"/>
    <xf numFmtId="0" fontId="17" fillId="0" borderId="0" xfId="2350" applyFont="1" applyAlignment="1">
      <alignment vertical="center"/>
    </xf>
    <xf numFmtId="0" fontId="6" fillId="0" borderId="0" xfId="2350" applyAlignment="1">
      <alignment vertical="center"/>
    </xf>
    <xf numFmtId="0" fontId="13" fillId="0" borderId="33" xfId="2350" applyFont="1" applyBorder="1" applyAlignment="1">
      <alignment horizontal="center" vertical="center"/>
    </xf>
    <xf numFmtId="0" fontId="13" fillId="0" borderId="34" xfId="2350" applyFont="1" applyBorder="1" applyAlignment="1">
      <alignment horizontal="center" vertical="center"/>
    </xf>
    <xf numFmtId="0" fontId="13" fillId="0" borderId="34" xfId="2350" applyFont="1" applyBorder="1" applyAlignment="1">
      <alignment horizontal="center" vertical="center" wrapText="1"/>
    </xf>
    <xf numFmtId="0" fontId="13" fillId="0" borderId="35" xfId="2350" applyFont="1" applyBorder="1" applyAlignment="1">
      <alignment horizontal="center" vertical="center"/>
    </xf>
    <xf numFmtId="0" fontId="18" fillId="0" borderId="36" xfId="2350" applyFont="1" applyBorder="1" applyAlignment="1">
      <alignment horizontal="center" vertical="center"/>
    </xf>
    <xf numFmtId="0" fontId="13" fillId="0" borderId="36" xfId="2350" applyFont="1" applyBorder="1" applyAlignment="1">
      <alignment horizontal="center" vertical="center"/>
    </xf>
    <xf numFmtId="0" fontId="19" fillId="0" borderId="33" xfId="2350" applyFont="1" applyBorder="1" applyAlignment="1">
      <alignment vertical="center" wrapText="1"/>
    </xf>
    <xf numFmtId="0" fontId="20" fillId="0" borderId="35" xfId="2350" applyFont="1" applyBorder="1" applyAlignment="1">
      <alignment vertical="center"/>
    </xf>
    <xf numFmtId="0" fontId="21" fillId="0" borderId="37" xfId="2350" applyFont="1" applyBorder="1" applyAlignment="1">
      <alignment horizontal="center" vertical="center"/>
    </xf>
    <xf numFmtId="0" fontId="21" fillId="0" borderId="36" xfId="2350" applyFont="1" applyBorder="1" applyAlignment="1">
      <alignment horizontal="center" vertical="center"/>
    </xf>
    <xf numFmtId="0" fontId="21" fillId="0" borderId="38" xfId="2350" applyFont="1" applyBorder="1" applyAlignment="1">
      <alignment horizontal="center" vertical="center"/>
    </xf>
    <xf numFmtId="0" fontId="21" fillId="0" borderId="39" xfId="2350" applyFont="1" applyBorder="1" applyAlignment="1">
      <alignment horizontal="center" vertical="center"/>
    </xf>
    <xf numFmtId="0" fontId="1" fillId="0" borderId="10" xfId="1669" applyFont="1" applyBorder="1" applyAlignment="1">
      <alignment horizontal="center" vertical="center" wrapText="1"/>
    </xf>
    <xf numFmtId="0" fontId="1" fillId="2" borderId="40" xfId="1669" applyFont="1" applyFill="1" applyBorder="1" applyAlignment="1">
      <alignment horizontal="center" vertical="center" wrapText="1"/>
    </xf>
    <xf numFmtId="0" fontId="1" fillId="2" borderId="41" xfId="1669" applyFont="1" applyFill="1" applyBorder="1" applyAlignment="1">
      <alignment horizontal="center" vertical="center" wrapText="1"/>
    </xf>
    <xf numFmtId="294" fontId="3" fillId="4" borderId="40" xfId="1669" applyNumberFormat="1" applyFont="1" applyFill="1" applyBorder="1" applyAlignment="1">
      <alignment horizontal="center" vertical="center" wrapText="1"/>
    </xf>
    <xf numFmtId="294" fontId="3" fillId="4" borderId="10" xfId="1669" applyNumberFormat="1" applyFont="1" applyFill="1" applyBorder="1" applyAlignment="1">
      <alignment horizontal="center" vertical="center" wrapText="1"/>
    </xf>
    <xf numFmtId="294" fontId="3" fillId="3" borderId="9" xfId="1669" applyNumberFormat="1" applyFont="1" applyFill="1" applyBorder="1" applyAlignment="1">
      <alignment horizontal="center" vertical="center"/>
    </xf>
    <xf numFmtId="0" fontId="0" fillId="0" borderId="0" xfId="1674"/>
    <xf numFmtId="0" fontId="22" fillId="5" borderId="3" xfId="1674" applyFont="1" applyFill="1" applyBorder="1" applyAlignment="1">
      <alignment horizontal="center" vertical="center" wrapText="1" readingOrder="1"/>
    </xf>
    <xf numFmtId="0" fontId="22" fillId="5" borderId="2" xfId="1674" applyFont="1" applyFill="1" applyBorder="1" applyAlignment="1">
      <alignment horizontal="center" vertical="center" wrapText="1" readingOrder="1"/>
    </xf>
    <xf numFmtId="0" fontId="22" fillId="5" borderId="4" xfId="1674" applyFont="1" applyFill="1" applyBorder="1" applyAlignment="1">
      <alignment horizontal="center" vertical="center" wrapText="1" readingOrder="1"/>
    </xf>
    <xf numFmtId="0" fontId="23" fillId="12" borderId="35" xfId="1674" applyFont="1" applyFill="1" applyBorder="1" applyAlignment="1">
      <alignment horizontal="center" vertical="center" wrapText="1" readingOrder="1"/>
    </xf>
    <xf numFmtId="0" fontId="24" fillId="0" borderId="33" xfId="1674" applyFont="1" applyBorder="1" applyAlignment="1">
      <alignment horizontal="left" vertical="center" wrapText="1" readingOrder="1"/>
    </xf>
    <xf numFmtId="0" fontId="25" fillId="0" borderId="33" xfId="1674" applyFont="1" applyBorder="1" applyAlignment="1">
      <alignment vertical="center" wrapText="1"/>
    </xf>
    <xf numFmtId="0" fontId="25" fillId="0" borderId="33" xfId="1674" applyFont="1" applyBorder="1" applyAlignment="1">
      <alignment horizontal="left" vertical="center" wrapText="1" indent="1"/>
    </xf>
    <xf numFmtId="9" fontId="24" fillId="0" borderId="33" xfId="1674" applyNumberFormat="1" applyFont="1" applyBorder="1" applyAlignment="1">
      <alignment horizontal="left" vertical="center" wrapText="1" readingOrder="1"/>
    </xf>
    <xf numFmtId="0" fontId="24" fillId="0" borderId="33" xfId="1674" applyFont="1" applyBorder="1" applyAlignment="1">
      <alignment horizontal="left" vertical="center" wrapText="1" indent="1" readingOrder="1"/>
    </xf>
    <xf numFmtId="0" fontId="0" fillId="0" borderId="0" xfId="1673"/>
    <xf numFmtId="0" fontId="22" fillId="5" borderId="3" xfId="1673" applyFont="1" applyFill="1" applyBorder="1" applyAlignment="1">
      <alignment horizontal="center" vertical="center" wrapText="1" readingOrder="1"/>
    </xf>
    <xf numFmtId="0" fontId="22" fillId="5" borderId="2" xfId="1673" applyFont="1" applyFill="1" applyBorder="1" applyAlignment="1">
      <alignment horizontal="center" vertical="center" wrapText="1" readingOrder="1"/>
    </xf>
    <xf numFmtId="0" fontId="22" fillId="5" borderId="4" xfId="1673" applyFont="1" applyFill="1" applyBorder="1" applyAlignment="1">
      <alignment horizontal="center" vertical="center" wrapText="1" readingOrder="1"/>
    </xf>
    <xf numFmtId="0" fontId="23" fillId="12" borderId="35" xfId="1673" applyFont="1" applyFill="1" applyBorder="1" applyAlignment="1">
      <alignment horizontal="center" vertical="center" wrapText="1" readingOrder="1"/>
    </xf>
    <xf numFmtId="0" fontId="24" fillId="0" borderId="33" xfId="1673" applyFont="1" applyBorder="1" applyAlignment="1">
      <alignment horizontal="left" vertical="center" wrapText="1" readingOrder="1"/>
    </xf>
    <xf numFmtId="0" fontId="26" fillId="0" borderId="42" xfId="0" applyFont="1" applyBorder="1" applyAlignment="1">
      <alignment horizontal="left" vertical="center" wrapText="1"/>
    </xf>
    <xf numFmtId="0" fontId="25" fillId="0" borderId="33" xfId="1673" applyFont="1" applyBorder="1" applyAlignment="1">
      <alignment vertical="center" wrapText="1"/>
    </xf>
    <xf numFmtId="0" fontId="26" fillId="0" borderId="29" xfId="0" applyFont="1" applyBorder="1" applyAlignment="1">
      <alignment horizontal="left" vertical="center" wrapText="1"/>
    </xf>
    <xf numFmtId="0" fontId="27" fillId="0" borderId="33" xfId="1673" applyFont="1" applyBorder="1" applyAlignment="1">
      <alignment vertical="center" wrapText="1"/>
    </xf>
    <xf numFmtId="0" fontId="26" fillId="0" borderId="43" xfId="0" applyFont="1" applyBorder="1" applyAlignment="1">
      <alignment horizontal="left" vertical="center" wrapText="1"/>
    </xf>
    <xf numFmtId="0" fontId="25" fillId="0" borderId="33" xfId="1673" applyFont="1" applyBorder="1" applyAlignment="1">
      <alignment horizontal="left" vertical="center" wrapText="1" indent="1"/>
    </xf>
    <xf numFmtId="9" fontId="26" fillId="0" borderId="43" xfId="0" applyNumberFormat="1" applyFont="1" applyBorder="1" applyAlignment="1">
      <alignment horizontal="left" vertical="center" wrapText="1"/>
    </xf>
    <xf numFmtId="9" fontId="26" fillId="0" borderId="29" xfId="0" applyNumberFormat="1" applyFont="1" applyBorder="1" applyAlignment="1">
      <alignment horizontal="left" vertical="center" wrapText="1"/>
    </xf>
    <xf numFmtId="0" fontId="24" fillId="0" borderId="33" xfId="1673" applyFont="1" applyBorder="1" applyAlignment="1">
      <alignment horizontal="left" vertical="center" wrapText="1" indent="1" readingOrder="1"/>
    </xf>
    <xf numFmtId="0" fontId="26" fillId="0" borderId="30" xfId="0" applyFont="1" applyBorder="1" applyAlignment="1">
      <alignment horizontal="left" vertical="center" wrapText="1"/>
    </xf>
    <xf numFmtId="0" fontId="27" fillId="0" borderId="33" xfId="1673" applyFont="1" applyBorder="1" applyAlignment="1">
      <alignment horizontal="left" vertical="center" wrapText="1" indent="1"/>
    </xf>
    <xf numFmtId="9" fontId="24" fillId="0" borderId="33" xfId="1673" applyNumberFormat="1" applyFont="1" applyBorder="1" applyAlignment="1">
      <alignment horizontal="left" vertical="center" wrapText="1" readingOrder="1"/>
    </xf>
    <xf numFmtId="0" fontId="0" fillId="3" borderId="9" xfId="0" applyFill="1" applyBorder="1"/>
    <xf numFmtId="0" fontId="0" fillId="0" borderId="9" xfId="0" applyBorder="1"/>
    <xf numFmtId="295" fontId="0" fillId="0" borderId="9" xfId="0" applyNumberFormat="1" applyBorder="1"/>
    <xf numFmtId="0" fontId="0" fillId="0" borderId="9" xfId="0" applyBorder="1" applyAlignment="1">
      <alignment vertical="top"/>
    </xf>
    <xf numFmtId="295" fontId="0" fillId="0" borderId="9" xfId="0" applyNumberFormat="1" applyBorder="1" applyAlignment="1">
      <alignment vertical="top"/>
    </xf>
    <xf numFmtId="0" fontId="0" fillId="0" borderId="9" xfId="0" applyBorder="1" applyAlignment="1">
      <alignment wrapText="1"/>
    </xf>
    <xf numFmtId="0" fontId="0" fillId="0" borderId="9" xfId="0" applyBorder="1" applyAlignment="1">
      <alignment vertical="top" wrapText="1"/>
    </xf>
    <xf numFmtId="0" fontId="28" fillId="0" borderId="0" xfId="1663"/>
    <xf numFmtId="0" fontId="29" fillId="0" borderId="0" xfId="1663" applyFont="1" applyAlignment="1">
      <alignment horizontal="left" wrapText="1"/>
    </xf>
    <xf numFmtId="0" fontId="26" fillId="0" borderId="0" xfId="1663" applyFont="1" applyAlignment="1">
      <alignment horizontal="left" vertical="center" wrapText="1"/>
    </xf>
    <xf numFmtId="0" fontId="30" fillId="0" borderId="0" xfId="1663" applyFont="1"/>
    <xf numFmtId="0" fontId="30" fillId="0" borderId="0" xfId="1663" applyFont="1" applyAlignment="1">
      <alignment horizontal="center" vertical="center"/>
    </xf>
    <xf numFmtId="0" fontId="28" fillId="0" borderId="0" xfId="1663" applyAlignment="1">
      <alignment vertical="top" wrapText="1"/>
    </xf>
    <xf numFmtId="0" fontId="0" fillId="0" borderId="0" xfId="1668"/>
    <xf numFmtId="0" fontId="31" fillId="0" borderId="0" xfId="1668" applyFont="1" applyAlignment="1">
      <alignment vertical="top"/>
    </xf>
    <xf numFmtId="0" fontId="31" fillId="13" borderId="0" xfId="1668" applyFont="1" applyFill="1"/>
    <xf numFmtId="0" fontId="31" fillId="0" borderId="0" xfId="1668" applyFont="1"/>
    <xf numFmtId="0" fontId="28" fillId="0" borderId="0" xfId="1663" applyAlignment="1">
      <alignment wrapText="1"/>
    </xf>
    <xf numFmtId="0" fontId="1" fillId="0" borderId="2" xfId="1668" applyFont="1" applyBorder="1" applyAlignment="1">
      <alignment horizontal="center" vertical="center" wrapText="1"/>
    </xf>
    <xf numFmtId="0" fontId="1" fillId="2" borderId="3" xfId="1668" applyFont="1" applyFill="1" applyBorder="1" applyAlignment="1">
      <alignment horizontal="center" vertical="center" wrapText="1"/>
    </xf>
    <xf numFmtId="0" fontId="1" fillId="2" borderId="2" xfId="1668" applyFont="1" applyFill="1" applyBorder="1" applyAlignment="1">
      <alignment horizontal="center" vertical="center" wrapText="1"/>
    </xf>
    <xf numFmtId="0" fontId="1" fillId="2" borderId="4" xfId="1668" applyFont="1" applyFill="1" applyBorder="1" applyAlignment="1">
      <alignment horizontal="center" vertical="center" wrapText="1"/>
    </xf>
    <xf numFmtId="0" fontId="1" fillId="0" borderId="0" xfId="1668" applyFont="1" applyAlignment="1">
      <alignment horizontal="center" vertical="center" wrapText="1"/>
    </xf>
    <xf numFmtId="294" fontId="3" fillId="4" borderId="3" xfId="1668" applyNumberFormat="1" applyFont="1" applyFill="1" applyBorder="1" applyAlignment="1">
      <alignment horizontal="center" vertical="center" wrapText="1"/>
    </xf>
    <xf numFmtId="294" fontId="3" fillId="4" borderId="2" xfId="1668" applyNumberFormat="1" applyFont="1" applyFill="1" applyBorder="1" applyAlignment="1">
      <alignment horizontal="center" vertical="center" wrapText="1"/>
    </xf>
    <xf numFmtId="0" fontId="31" fillId="0" borderId="3" xfId="1668" applyFont="1" applyBorder="1"/>
    <xf numFmtId="0" fontId="3" fillId="3" borderId="15" xfId="1668" applyFont="1" applyFill="1" applyBorder="1" applyAlignment="1">
      <alignment horizontal="center" vertical="center" wrapText="1"/>
    </xf>
    <xf numFmtId="294" fontId="3" fillId="3" borderId="15" xfId="1668" applyNumberFormat="1" applyFont="1" applyFill="1" applyBorder="1" applyAlignment="1">
      <alignment horizontal="center" vertical="center"/>
    </xf>
    <xf numFmtId="0" fontId="31" fillId="0" borderId="44" xfId="1668" applyFont="1" applyBorder="1" applyAlignment="1">
      <alignment vertical="top"/>
    </xf>
    <xf numFmtId="0" fontId="31" fillId="0" borderId="45" xfId="1668" applyFont="1" applyBorder="1" applyAlignment="1">
      <alignment vertical="top" wrapText="1"/>
    </xf>
    <xf numFmtId="0" fontId="32" fillId="0" borderId="46" xfId="1668" applyFont="1" applyBorder="1" applyAlignment="1">
      <alignment vertical="top" wrapText="1"/>
    </xf>
    <xf numFmtId="0" fontId="32" fillId="0" borderId="8" xfId="1668" applyFont="1" applyBorder="1" applyAlignment="1">
      <alignment vertical="top" wrapText="1"/>
    </xf>
    <xf numFmtId="0" fontId="33" fillId="0" borderId="8" xfId="1668" applyFont="1" applyBorder="1" applyAlignment="1">
      <alignment vertical="top" wrapText="1"/>
    </xf>
    <xf numFmtId="0" fontId="31" fillId="0" borderId="47" xfId="1668" applyFont="1" applyBorder="1"/>
    <xf numFmtId="0" fontId="31" fillId="0" borderId="48" xfId="1668" applyFont="1" applyBorder="1"/>
    <xf numFmtId="0" fontId="31" fillId="0" borderId="49" xfId="1668" applyFont="1" applyBorder="1"/>
    <xf numFmtId="0" fontId="31" fillId="0" borderId="20" xfId="1668" applyFont="1" applyBorder="1"/>
    <xf numFmtId="0" fontId="31" fillId="0" borderId="20" xfId="1668" applyFont="1" applyBorder="1" applyAlignment="1">
      <alignment wrapText="1"/>
    </xf>
    <xf numFmtId="0" fontId="31" fillId="13" borderId="0" xfId="1668" applyFont="1" applyFill="1" applyAlignment="1">
      <alignment wrapText="1"/>
    </xf>
    <xf numFmtId="0" fontId="34" fillId="6" borderId="10" xfId="1668" applyFont="1" applyFill="1" applyBorder="1"/>
    <xf numFmtId="0" fontId="35" fillId="6" borderId="10" xfId="1668" applyFont="1" applyFill="1" applyBorder="1"/>
    <xf numFmtId="0" fontId="31" fillId="6" borderId="42" xfId="1668" applyFont="1" applyFill="1" applyBorder="1"/>
    <xf numFmtId="0" fontId="31" fillId="6" borderId="10" xfId="1668" applyFont="1" applyFill="1" applyBorder="1"/>
    <xf numFmtId="0" fontId="31" fillId="2" borderId="50" xfId="1668" applyFont="1" applyFill="1" applyBorder="1"/>
    <xf numFmtId="0" fontId="31" fillId="6" borderId="51" xfId="1668" applyFont="1" applyFill="1" applyBorder="1"/>
    <xf numFmtId="0" fontId="31" fillId="2" borderId="47" xfId="1668" applyFont="1" applyFill="1" applyBorder="1"/>
    <xf numFmtId="0" fontId="36" fillId="6" borderId="48" xfId="1668" applyFont="1" applyFill="1" applyBorder="1"/>
    <xf numFmtId="0" fontId="31" fillId="6" borderId="48" xfId="1668" applyFont="1" applyFill="1" applyBorder="1"/>
    <xf numFmtId="0" fontId="31" fillId="2" borderId="0" xfId="1668" applyFont="1" applyFill="1" applyAlignment="1">
      <alignment wrapText="1"/>
    </xf>
    <xf numFmtId="0" fontId="37" fillId="0" borderId="0" xfId="1668" applyFont="1"/>
    <xf numFmtId="0" fontId="38" fillId="0" borderId="0" xfId="6" applyNumberFormat="1" applyFont="1" applyFill="1"/>
    <xf numFmtId="0" fontId="39" fillId="0" borderId="0" xfId="1668" applyFont="1"/>
    <xf numFmtId="0" fontId="31" fillId="2" borderId="0" xfId="1668" applyFont="1" applyFill="1"/>
    <xf numFmtId="0" fontId="40" fillId="2" borderId="0" xfId="1663" applyFont="1" applyFill="1"/>
    <xf numFmtId="0" fontId="2" fillId="0" borderId="0" xfId="1668" applyFont="1" applyAlignment="1">
      <alignment horizontal="left" vertical="center" wrapText="1"/>
    </xf>
    <xf numFmtId="294" fontId="3" fillId="4" borderId="4" xfId="1668" applyNumberFormat="1" applyFont="1" applyFill="1" applyBorder="1" applyAlignment="1">
      <alignment horizontal="center" vertical="center" wrapText="1"/>
    </xf>
    <xf numFmtId="0" fontId="4" fillId="5" borderId="26" xfId="1668" applyFont="1" applyFill="1" applyBorder="1" applyAlignment="1">
      <alignment horizontal="center" vertical="center"/>
    </xf>
    <xf numFmtId="0" fontId="4" fillId="5" borderId="1" xfId="1668" applyFont="1" applyFill="1" applyBorder="1" applyAlignment="1">
      <alignment horizontal="center" vertical="center"/>
    </xf>
    <xf numFmtId="0" fontId="2" fillId="7" borderId="0" xfId="1663" applyFont="1" applyFill="1" applyAlignment="1">
      <alignment horizontal="left" vertical="center" wrapText="1"/>
    </xf>
    <xf numFmtId="0" fontId="2" fillId="14" borderId="0" xfId="1663" applyFont="1" applyFill="1" applyAlignment="1">
      <alignment horizontal="left" vertical="center" wrapText="1"/>
    </xf>
    <xf numFmtId="0" fontId="3" fillId="2" borderId="8" xfId="1668" applyFont="1" applyFill="1" applyBorder="1" applyAlignment="1">
      <alignment horizontal="center" vertical="center" wrapText="1"/>
    </xf>
    <xf numFmtId="0" fontId="41" fillId="0" borderId="0" xfId="1668" applyFont="1" applyAlignment="1">
      <alignment vertical="top" wrapText="1"/>
    </xf>
    <xf numFmtId="0" fontId="31" fillId="0" borderId="0" xfId="1668" applyFont="1" applyAlignment="1">
      <alignment wrapText="1"/>
    </xf>
    <xf numFmtId="0" fontId="42" fillId="0" borderId="9" xfId="1668" applyFont="1" applyBorder="1" applyAlignment="1">
      <alignment horizontal="center" wrapText="1"/>
    </xf>
    <xf numFmtId="0" fontId="34" fillId="6" borderId="0" xfId="1668" applyFont="1" applyFill="1"/>
    <xf numFmtId="0" fontId="31" fillId="6" borderId="41" xfId="1668" applyFont="1" applyFill="1" applyBorder="1"/>
    <xf numFmtId="0" fontId="31" fillId="6" borderId="52" xfId="1668" applyFont="1" applyFill="1" applyBorder="1"/>
    <xf numFmtId="0" fontId="31" fillId="6" borderId="53" xfId="1668" applyFont="1" applyFill="1" applyBorder="1"/>
    <xf numFmtId="0" fontId="31" fillId="6" borderId="0" xfId="1668" applyFont="1" applyFill="1"/>
    <xf numFmtId="0" fontId="32" fillId="0" borderId="8" xfId="1668" applyFont="1" applyBorder="1" applyAlignment="1">
      <alignment vertical="top"/>
    </xf>
    <xf numFmtId="0" fontId="34" fillId="6" borderId="41" xfId="1668" applyFont="1" applyFill="1" applyBorder="1"/>
    <xf numFmtId="0" fontId="3" fillId="3" borderId="16" xfId="1668" applyFont="1" applyFill="1" applyBorder="1" applyAlignment="1">
      <alignment horizontal="center" vertical="center" wrapText="1"/>
    </xf>
    <xf numFmtId="0" fontId="32" fillId="0" borderId="28" xfId="1668" applyFont="1" applyBorder="1" applyAlignment="1">
      <alignment vertical="top" wrapText="1"/>
    </xf>
    <xf numFmtId="0" fontId="31" fillId="0" borderId="21" xfId="1668" applyFont="1" applyBorder="1"/>
    <xf numFmtId="0" fontId="3" fillId="2" borderId="8" xfId="1668" applyFont="1" applyFill="1" applyBorder="1" applyAlignment="1" quotePrefix="1">
      <alignment horizontal="center" vertical="center" wrapText="1"/>
    </xf>
    <xf numFmtId="0" fontId="24" fillId="0" borderId="33" xfId="1674" applyFont="1" applyBorder="1" applyAlignment="1" quotePrefix="1">
      <alignment horizontal="left" vertical="center" wrapText="1" readingOrder="1"/>
    </xf>
    <xf numFmtId="0" fontId="6" fillId="0" borderId="9" xfId="2352" applyBorder="1" applyAlignment="1" quotePrefix="1">
      <alignment horizontal="center" vertical="center"/>
    </xf>
    <xf numFmtId="0" fontId="3" fillId="2" borderId="8" xfId="0" applyFont="1" applyFill="1" applyBorder="1" applyAlignment="1" quotePrefix="1">
      <alignment horizontal="center" vertical="center" wrapText="1"/>
    </xf>
  </cellXfs>
  <cellStyles count="23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 xfId="49"/>
    <cellStyle name=" Task]_x000a__x000a_TaskName=Scan At_x000a__x000a_TaskID=3_x000a__x000a_WorkstationName=SmarTone_x000a__x000a_LastExecuted=0_x000a__x000a_LastSt" xfId="50"/>
    <cellStyle name=" Task]_x000d__x000a_TaskName=Scan At_x000d__x000a_TaskID=3_x000d__x000a_WorkstationName=SmarTone_x000d__x000a_LastExecuted=0_x000d__x000a_LastSt" xfId="51"/>
    <cellStyle name="_x000a_bidires=100_x000d_" xfId="52"/>
    <cellStyle name="_x000a_shell=progma" xfId="53"/>
    <cellStyle name="_x000d__x000a_JournalTemplate=C:\COMFO\CTALK\JOURSTD.TPL_x000d__x000a_LbStateAddress=3 3 0 251 1 89 2 311_x000d__x000a_LbStateJou" xfId="54"/>
    <cellStyle name="#.00wlleft" xfId="55"/>
    <cellStyle name="#.00wlleft 2" xfId="56"/>
    <cellStyle name="#wlleft" xfId="57"/>
    <cellStyle name="#wlleft 2" xfId="58"/>
    <cellStyle name="$#.00wlleft" xfId="59"/>
    <cellStyle name="$#.00wlleft 2" xfId="60"/>
    <cellStyle name="$0.0;($0.0)" xfId="61"/>
    <cellStyle name="$0wlleft" xfId="62"/>
    <cellStyle name="$0wlleft 2" xfId="63"/>
    <cellStyle name="%" xfId="64"/>
    <cellStyle name="% - total" xfId="65"/>
    <cellStyle name="% 2" xfId="66"/>
    <cellStyle name="% 3" xfId="67"/>
    <cellStyle name="% 4" xfId="68"/>
    <cellStyle name="%_Betas and WACC" xfId="69"/>
    <cellStyle name="%_Betas and WACC_DSL v2" xfId="70"/>
    <cellStyle name="%_Betas and WACC_IT" xfId="71"/>
    <cellStyle name="%_DATA (AH)" xfId="72"/>
    <cellStyle name="%_DSL v2" xfId="73"/>
    <cellStyle name="%_EUROPE icon waterfall" xfId="74"/>
    <cellStyle name="%_FAP Forecasting v1.03" xfId="75"/>
    <cellStyle name="%_Fixed_Services_0910_2+10_VG2" xfId="76"/>
    <cellStyle name="%_GROUP horizontal IS (stat)" xfId="77"/>
    <cellStyle name="%_Horizontal" xfId="78"/>
    <cellStyle name="%_LRP Horizontal income statement and KPIs" xfId="79"/>
    <cellStyle name="%_LRP revenue stimulation in Europe (EV) v2" xfId="80"/>
    <cellStyle name="%_Mobile plus revenue_EV_211106 V2- DRAFT (HC)" xfId="81"/>
    <cellStyle name="%_Mobile plus revenue_EV_281106_POST REVIEW OUTPUT_(KH update)" xfId="82"/>
    <cellStyle name="&amp;Eingabe" xfId="83"/>
    <cellStyle name="&amp;Eingabe 2" xfId="84"/>
    <cellStyle name="&amp;Gesperrt" xfId="85"/>
    <cellStyle name="&amp;Kombi" xfId="86"/>
    <cellStyle name="(0%) &quot; - &quot;" xfId="87"/>
    <cellStyle name="(0,000) &quot; - &quot;" xfId="88"/>
    <cellStyle name="******************************************" xfId="89"/>
    <cellStyle name=";;;" xfId="90"/>
    <cellStyle name="?? [0.00]_PL&amp;BS" xfId="91"/>
    <cellStyle name="?? [0]_??" xfId="92"/>
    <cellStyle name="???" xfId="93"/>
    <cellStyle name="???? [0.00]_CAW17_Japan Financial Model_v9 Consolidated Asia Adjusted" xfId="94"/>
    <cellStyle name="?????? [0]_SWISS" xfId="95"/>
    <cellStyle name="???????_Budget_2001" xfId="96"/>
    <cellStyle name="??????_SWISS" xfId="97"/>
    <cellStyle name="?????_QTBLNEW" xfId="98"/>
    <cellStyle name="????_CAW17_Japan Financial Model_v9 Consolidated Asia Adjusted" xfId="99"/>
    <cellStyle name="???[0]_11 version c&amp;wrevenue-ctt3" xfId="100"/>
    <cellStyle name="???_11 version c&amp;wrevenue-ctt3" xfId="101"/>
    <cellStyle name="??_?.????" xfId="102"/>
    <cellStyle name="_%(SignOnly)_GermanyHo" xfId="103"/>
    <cellStyle name="_%(SignSpaceOnly)_GermanyHo" xfId="104"/>
    <cellStyle name="_050125 Operational model" xfId="105"/>
    <cellStyle name="_050301 Camel operational model V1" xfId="106"/>
    <cellStyle name="_050816 Cheetah-multiple analysis at various prices" xfId="107"/>
    <cellStyle name="_110225" xfId="108"/>
    <cellStyle name="_1659-3-EST" xfId="109"/>
    <cellStyle name="_2110458L.xls Chart 1" xfId="110"/>
    <cellStyle name="_2110458L.xls Chart 1_Appendix 1a part 4 - Kathryn" xfId="111"/>
    <cellStyle name="_2110458L.xls Chart 1_DSL v2" xfId="112"/>
    <cellStyle name="_2120587L.xls Chart 1" xfId="113"/>
    <cellStyle name="_2120587L.xls Chart 1_Europe fixed line &amp; DSL - Alea" xfId="114"/>
    <cellStyle name="_2120587L.xls Chart 1_HORIZONTAL 2008_9 OUTPUTS - 5YP Europe only" xfId="115"/>
    <cellStyle name="_2120587L.xls Chart 1-1" xfId="116"/>
    <cellStyle name="_2120587L.xls Chart 1-2" xfId="117"/>
    <cellStyle name="_2120587L.xls Chart 1-3" xfId="118"/>
    <cellStyle name="_2120587L.xls Chart 2" xfId="119"/>
    <cellStyle name="_2120587L.xls Chart 2-1" xfId="120"/>
    <cellStyle name="_3010065L" xfId="121"/>
    <cellStyle name="_3070172AL" xfId="122"/>
    <cellStyle name="_3070172L" xfId="123"/>
    <cellStyle name="_3080054l" xfId="124"/>
    <cellStyle name="_3100028L" xfId="125"/>
    <cellStyle name="_3110205l" xfId="126"/>
    <cellStyle name="_Advertising Dicembre 02 HC" xfId="127"/>
    <cellStyle name="_Advertising Gennaio 03" xfId="128"/>
    <cellStyle name="_Advertising_Giugno" xfId="129"/>
    <cellStyle name="_Alt5" xfId="130"/>
    <cellStyle name="_Alt5_2+10 Pre-Sub Template v0.4" xfId="131"/>
    <cellStyle name="_Alt5_3090107L" xfId="132"/>
    <cellStyle name="_Alt5_3090107L_2+10 CEO Country review template v1" xfId="133"/>
    <cellStyle name="_Alt5_Book1" xfId="134"/>
    <cellStyle name="_Alt5_DSL v2" xfId="135"/>
    <cellStyle name="_Alt5_GR" xfId="136"/>
    <cellStyle name="_analisi costi below cons+previsioni" xfId="137"/>
    <cellStyle name="_Assumption update Sept 2005 v1" xfId="138"/>
    <cellStyle name="_Astika Kentra_Marketing2" xfId="139"/>
    <cellStyle name="_Astika Kentra_Marketing2_HOL_5Yforecast" xfId="140"/>
    <cellStyle name="_Astika Kentra_Marketing2_Sheet3" xfId="141"/>
    <cellStyle name="_BC Streaming v5_MV_a" xfId="142"/>
    <cellStyle name="_BELOW 01_03_sintesi-agg" xfId="143"/>
    <cellStyle name="_BELOW 06-02" xfId="144"/>
    <cellStyle name="_BELOW 11-02" xfId="145"/>
    <cellStyle name="_BELOW-CONS-01-02" xfId="146"/>
    <cellStyle name="_Book1" xfId="147"/>
    <cellStyle name="_Book1 2" xfId="148"/>
    <cellStyle name="_Book2 (7)" xfId="149"/>
    <cellStyle name="_Book2 (7)_HOL_5Yforecast" xfId="150"/>
    <cellStyle name="_Book2 (7)_Sheet3" xfId="151"/>
    <cellStyle name="_Book3 (3)" xfId="152"/>
    <cellStyle name="_Book3 (3)_HOL_5Yforecast" xfId="153"/>
    <cellStyle name="_Book3 (3)_Sheet3" xfId="154"/>
    <cellStyle name="_Book31" xfId="155"/>
    <cellStyle name="_BP vs Mgt1" xfId="156"/>
    <cellStyle name="_BU Corp HC Detail" xfId="157"/>
    <cellStyle name="_BUDGET-GEN-MARZO 2001" xfId="158"/>
    <cellStyle name="_C3160_LEs for DSL LRP_FY0809_FY0910DB_FY1011_v2 (4)" xfId="159"/>
    <cellStyle name="_Calculation v2" xfId="160"/>
    <cellStyle name="_CN-CONSOLIDATED_COMMITMENT (2)" xfId="161"/>
    <cellStyle name="_Column1" xfId="162"/>
    <cellStyle name="_Column1_2.4-Stat P&amp;L" xfId="163"/>
    <cellStyle name="_Column1_2+10 CEO Country review template v1" xfId="164"/>
    <cellStyle name="_Column1_Capex Actuals 2+10 2007_8" xfId="165"/>
    <cellStyle name="_Column1_Capex Actuals 2006_7" xfId="166"/>
    <cellStyle name="_Column1_Capital Intensity" xfId="167"/>
    <cellStyle name="_Column1_DATA (AH)" xfId="168"/>
    <cellStyle name="_Column1_EUROPE icon waterfall" xfId="169"/>
    <cellStyle name="_Column1_Ex POST  XMAS card al 31012006" xfId="170"/>
    <cellStyle name="_Column1_GROUP horizontal IS (stat)" xfId="171"/>
    <cellStyle name="_Column1_Group income statement rec" xfId="172"/>
    <cellStyle name="_Column1_HC" xfId="173"/>
    <cellStyle name="_Column1_Horizontal" xfId="174"/>
    <cellStyle name="_Column1_LRP Horizontal income statement and KPIs" xfId="175"/>
    <cellStyle name="_Column1_LRP revenue stimulation in Europe (EV) v2" xfId="176"/>
    <cellStyle name="_Column1_MIS5" xfId="177"/>
    <cellStyle name="_Column1_Mobile plus revenue_EV_211106 V2- DRAFT (HC)" xfId="178"/>
    <cellStyle name="_Column1_Mobile plus revenue_EV_281106_POST REVIEW OUTPUT_(KH update)" xfId="179"/>
    <cellStyle name="_Column1_Service revenue for Ed 24NOV06" xfId="180"/>
    <cellStyle name="_Column2" xfId="181"/>
    <cellStyle name="_Column2_2.4-Stat P&amp;L" xfId="182"/>
    <cellStyle name="_Column2_2+10 CEO Country review template v1" xfId="183"/>
    <cellStyle name="_Column2_Capex Actuals 2+10 2007_8" xfId="184"/>
    <cellStyle name="_Column2_Capex Actuals 2006_7" xfId="185"/>
    <cellStyle name="_Column2_Capital Intensity" xfId="186"/>
    <cellStyle name="_Column2_DATA (AH)" xfId="187"/>
    <cellStyle name="_Column2_EUROPE icon waterfall" xfId="188"/>
    <cellStyle name="_Column2_Ex POST  XMAS card al 31012006" xfId="189"/>
    <cellStyle name="_Column2_GROUP horizontal IS (stat)" xfId="190"/>
    <cellStyle name="_Column2_Group income statement rec" xfId="191"/>
    <cellStyle name="_Column2_HC" xfId="192"/>
    <cellStyle name="_Column2_Horizontal" xfId="193"/>
    <cellStyle name="_Column2_LRP Horizontal income statement and KPIs" xfId="194"/>
    <cellStyle name="_Column2_LRP revenue stimulation in Europe (EV) v2" xfId="195"/>
    <cellStyle name="_Column2_MIS5" xfId="196"/>
    <cellStyle name="_Column2_Mobile plus revenue_EV_211106 V2- DRAFT (HC)" xfId="197"/>
    <cellStyle name="_Column2_Mobile plus revenue_EV_281106_POST REVIEW OUTPUT_(KH update)" xfId="198"/>
    <cellStyle name="_Column2_Service revenue for Ed 24NOV06" xfId="199"/>
    <cellStyle name="_Column3" xfId="200"/>
    <cellStyle name="_Column3_2.4-Stat P&amp;L" xfId="201"/>
    <cellStyle name="_Column3_2+10 CEO Country review template v1" xfId="202"/>
    <cellStyle name="_Column3_Capex Actuals 2+10 2007_8" xfId="203"/>
    <cellStyle name="_Column3_Capex Actuals 2006_7" xfId="204"/>
    <cellStyle name="_Column3_Capital Intensity" xfId="205"/>
    <cellStyle name="_Column3_DATA (AH)" xfId="206"/>
    <cellStyle name="_Column3_EUROPE icon waterfall" xfId="207"/>
    <cellStyle name="_Column3_Ex POST  XMAS card al 31012006" xfId="208"/>
    <cellStyle name="_Column3_GROUP horizontal IS (stat)" xfId="209"/>
    <cellStyle name="_Column3_Group income statement rec" xfId="210"/>
    <cellStyle name="_Column3_HC" xfId="211"/>
    <cellStyle name="_Column3_Horizontal" xfId="212"/>
    <cellStyle name="_Column3_LRP Horizontal income statement and KPIs" xfId="213"/>
    <cellStyle name="_Column3_LRP revenue stimulation in Europe (EV) v2" xfId="214"/>
    <cellStyle name="_Column3_MIS5" xfId="215"/>
    <cellStyle name="_Column3_Mobile plus revenue_EV_211106 V2- DRAFT (HC)" xfId="216"/>
    <cellStyle name="_Column3_Mobile plus revenue_EV_281106_POST REVIEW OUTPUT_(KH update)" xfId="217"/>
    <cellStyle name="_Column3_Service revenue for Ed 24NOV06" xfId="218"/>
    <cellStyle name="_Column4" xfId="219"/>
    <cellStyle name="_Column4_2.4-Stat P&amp;L" xfId="220"/>
    <cellStyle name="_Column4_2+10 CEO Country review template v1" xfId="221"/>
    <cellStyle name="_Column4_Capex Actuals 2+10 2007_8" xfId="222"/>
    <cellStyle name="_Column4_Capex Actuals 2006_7" xfId="223"/>
    <cellStyle name="_Column4_Capital Intensity" xfId="224"/>
    <cellStyle name="_Column4_DATA (AH)" xfId="225"/>
    <cellStyle name="_Column4_EUROPE icon waterfall" xfId="226"/>
    <cellStyle name="_Column4_Ex POST  XMAS card al 31012006" xfId="227"/>
    <cellStyle name="_Column4_GROUP horizontal IS (stat)" xfId="228"/>
    <cellStyle name="_Column4_Group income statement rec" xfId="229"/>
    <cellStyle name="_Column4_HC" xfId="230"/>
    <cellStyle name="_Column4_Horizontal" xfId="231"/>
    <cellStyle name="_Column4_LRP Horizontal income statement and KPIs" xfId="232"/>
    <cellStyle name="_Column4_LRP revenue stimulation in Europe (EV) v2" xfId="233"/>
    <cellStyle name="_Column4_MIS5" xfId="234"/>
    <cellStyle name="_Column4_Mobile plus revenue_EV_211106 V2- DRAFT (HC)" xfId="235"/>
    <cellStyle name="_Column4_Mobile plus revenue_EV_281106_POST REVIEW OUTPUT_(KH update)" xfId="236"/>
    <cellStyle name="_Column4_Service revenue for Ed 24NOV06" xfId="237"/>
    <cellStyle name="_Column5" xfId="238"/>
    <cellStyle name="_Column5_070503_Revised" xfId="239"/>
    <cellStyle name="_Column5_2.4-Stat P&amp;L" xfId="240"/>
    <cellStyle name="_Column5_2+10 CEO Country review template v1" xfId="241"/>
    <cellStyle name="_Column5_271201" xfId="242"/>
    <cellStyle name="_Column5_271201.XLS Chart 16" xfId="243"/>
    <cellStyle name="_Column5_5+7F&amp;OB updates for IR 14DEC05" xfId="244"/>
    <cellStyle name="_Column5_Assumption update Sept 2005 v1" xfId="245"/>
    <cellStyle name="_Column5_Book31" xfId="246"/>
    <cellStyle name="_Column5_Capex Actuals 2+10 2007_8" xfId="247"/>
    <cellStyle name="_Column5_Capex Actuals 2006_7" xfId="248"/>
    <cellStyle name="_Column5_Capital Intensity" xfId="249"/>
    <cellStyle name="_Column5_DATA (AH)" xfId="250"/>
    <cellStyle name="_Column5_Elisa multiple5" xfId="251"/>
    <cellStyle name="_Column5_EUROPE icon waterfall" xfId="252"/>
    <cellStyle name="_Column5_Ex POST  XMAS card al 31012006" xfId="253"/>
    <cellStyle name="_Column5_GROUP horizontal IS (stat)" xfId="254"/>
    <cellStyle name="_Column5_Group income statement rec" xfId="255"/>
    <cellStyle name="_Column5_HC" xfId="256"/>
    <cellStyle name="_Column5_Horizontal" xfId="257"/>
    <cellStyle name="_Column5_LRP Horizontal income statement and KPIs" xfId="258"/>
    <cellStyle name="_Column5_LRP revenue stimulation in Europe (EV) v2" xfId="259"/>
    <cellStyle name="_Column5_MIS5" xfId="260"/>
    <cellStyle name="_Column5_Mobile plus revenue_EV_211106 V2- DRAFT (HC)" xfId="261"/>
    <cellStyle name="_Column5_Mobile plus revenue_EV_281106_POST REVIEW OUTPUT_(KH update)" xfId="262"/>
    <cellStyle name="_Column5_Service revenue for Ed 24NOV06" xfId="263"/>
    <cellStyle name="_Column5_Statements sent to PWC 20051113" xfId="264"/>
    <cellStyle name="_Column5_Telsim 19-July-04" xfId="265"/>
    <cellStyle name="_Column5_Tower data file" xfId="266"/>
    <cellStyle name="_Column5_UBS Delight 20051010 v2" xfId="267"/>
    <cellStyle name="_Column5_UBS Delight 20051024" xfId="268"/>
    <cellStyle name="_Column5_UBS Delight 20051028" xfId="269"/>
    <cellStyle name="_Column5_UBS Delight 20051030" xfId="270"/>
    <cellStyle name="_Column5_UBS Delight 20051103" xfId="271"/>
    <cellStyle name="_Column5_UBS Delight 20051106" xfId="272"/>
    <cellStyle name="_Column5_UBS Delight 20051109" xfId="273"/>
    <cellStyle name="_Column5_UBS Delight 20051113" xfId="274"/>
    <cellStyle name="_Column5_UBS Delight 20051115" xfId="275"/>
    <cellStyle name="_Column5_UBS Delight 20051116" xfId="276"/>
    <cellStyle name="_Column5_UBS Delight 20051120" xfId="277"/>
    <cellStyle name="_Column5_UBS Delight 20051121" xfId="278"/>
    <cellStyle name="_Column5_UBS Delight 20051123" xfId="279"/>
    <cellStyle name="_Column5_UBS Delight 20051129 (2)" xfId="280"/>
    <cellStyle name="_Column6" xfId="281"/>
    <cellStyle name="_Column6_2.4-Stat P&amp;L" xfId="282"/>
    <cellStyle name="_Column6_2+10 CEO Country review template v1" xfId="283"/>
    <cellStyle name="_Column6_Capex Actuals 2+10 2007_8" xfId="284"/>
    <cellStyle name="_Column6_Capex Actuals 2006_7" xfId="285"/>
    <cellStyle name="_Column6_Capital Intensity" xfId="286"/>
    <cellStyle name="_Column6_DATA (AH)" xfId="287"/>
    <cellStyle name="_Column6_EUROPE icon waterfall" xfId="288"/>
    <cellStyle name="_Column6_Ex POST  XMAS card al 31012006" xfId="289"/>
    <cellStyle name="_Column6_GROUP horizontal IS (stat)" xfId="290"/>
    <cellStyle name="_Column6_Group income statement rec" xfId="291"/>
    <cellStyle name="_Column6_HC" xfId="292"/>
    <cellStyle name="_Column6_Horizontal" xfId="293"/>
    <cellStyle name="_Column6_LRP Horizontal income statement and KPIs" xfId="294"/>
    <cellStyle name="_Column6_LRP revenue stimulation in Europe (EV) v2" xfId="295"/>
    <cellStyle name="_Column6_MIS5" xfId="296"/>
    <cellStyle name="_Column6_Mobile plus revenue_EV_211106 V2- DRAFT (HC)" xfId="297"/>
    <cellStyle name="_Column6_Mobile plus revenue_EV_281106_POST REVIEW OUTPUT_(KH update)" xfId="298"/>
    <cellStyle name="_Column6_Service revenue for Ed 24NOV06" xfId="299"/>
    <cellStyle name="_Column7" xfId="300"/>
    <cellStyle name="_Column7_2.4-Stat P&amp;L" xfId="301"/>
    <cellStyle name="_Column7_2+10 CEO Country review template v1" xfId="302"/>
    <cellStyle name="_Column7_Capex Actuals 2+10 2007_8" xfId="303"/>
    <cellStyle name="_Column7_Capex Actuals 2006_7" xfId="304"/>
    <cellStyle name="_Column7_Capital Intensity" xfId="305"/>
    <cellStyle name="_Column7_DATA (AH)" xfId="306"/>
    <cellStyle name="_Column7_EUROPE icon waterfall" xfId="307"/>
    <cellStyle name="_Column7_Ex POST  XMAS card al 31012006" xfId="308"/>
    <cellStyle name="_Column7_GROUP horizontal IS (stat)" xfId="309"/>
    <cellStyle name="_Column7_Group income statement rec" xfId="310"/>
    <cellStyle name="_Column7_HC" xfId="311"/>
    <cellStyle name="_Column7_Horizontal" xfId="312"/>
    <cellStyle name="_Column7_LRP Horizontal income statement and KPIs" xfId="313"/>
    <cellStyle name="_Column7_LRP revenue stimulation in Europe (EV) v2" xfId="314"/>
    <cellStyle name="_Column7_MIS5" xfId="315"/>
    <cellStyle name="_Column7_Mobile plus revenue_EV_211106 V2- DRAFT (HC)" xfId="316"/>
    <cellStyle name="_Column7_Mobile plus revenue_EV_281106_POST REVIEW OUTPUT_(KH update)" xfId="317"/>
    <cellStyle name="_Column7_Service revenue for Ed 24NOV06" xfId="318"/>
    <cellStyle name="_Comma" xfId="319"/>
    <cellStyle name="_Comma_bls roic_GermanyHo" xfId="320"/>
    <cellStyle name="_Comma_FT-6June2001_GermanyHo" xfId="321"/>
    <cellStyle name="_Comma_GermanyHo" xfId="322"/>
    <cellStyle name="_COMPENSI fee-TOT-11-02" xfId="323"/>
    <cellStyle name="_Cover e Indice" xfId="324"/>
    <cellStyle name="_Currency" xfId="325"/>
    <cellStyle name="_Currency_050301 Camel operational model V1" xfId="326"/>
    <cellStyle name="_Currency_2+10 CEO Country review template v1" xfId="327"/>
    <cellStyle name="_Currency_Betas and WACC_GermanyHo" xfId="328"/>
    <cellStyle name="_Currency_bls roic_GermanyHo" xfId="329"/>
    <cellStyle name="_Currency_BLS_GermanyHo" xfId="330"/>
    <cellStyle name="_Currency_Book1" xfId="331"/>
    <cellStyle name="_Currency_Book1_2+10 CEO Country review template v1" xfId="332"/>
    <cellStyle name="_Currency_Book1_Jazztel model 16DP3-Exhibits_Orange-Mar01" xfId="333"/>
    <cellStyle name="_Currency_Book1_Jazztel model 16DP3-Exhibits_T_MOBIL2_GermanyHo" xfId="334"/>
    <cellStyle name="_Currency_Book1_Jazztel model 16DP3-Exhibits_T_MOBIL2_Orange-May01_GermanyHo" xfId="335"/>
    <cellStyle name="_Currency_Book1_Jazztel model 18DP-exhibits_GermanyHo" xfId="336"/>
    <cellStyle name="_Currency_Book1_Orange-Sep01_GermanyHo" xfId="337"/>
    <cellStyle name="_Currency_Tower operational model v4.2" xfId="338"/>
    <cellStyle name="_CurrencySpace" xfId="339"/>
    <cellStyle name="_CurrencySpace_bls roic_GermanyHo" xfId="340"/>
    <cellStyle name="_CurrencySpace_Combined Estimates Model 02" xfId="341"/>
    <cellStyle name="_CurrencySpace_Fixed Line Report 2008-09 Actuals v6 bench" xfId="342"/>
    <cellStyle name="_CurrencySpace_Fixed Line Report 2008-09 Actuals v6 bench HC" xfId="343"/>
    <cellStyle name="_CurrencySpace_Fixed Line Report 2008-09 Actuals v7 model" xfId="344"/>
    <cellStyle name="_CurrencySpace_Ownership" xfId="345"/>
    <cellStyle name="_CurrencySpace_SOTP" xfId="346"/>
    <cellStyle name="_CurrencySpace_Switches" xfId="347"/>
    <cellStyle name="_CurrencySpace_Version 5" xfId="348"/>
    <cellStyle name="_CurrencySpace_Viceroy Cons Inputs" xfId="349"/>
    <cellStyle name="_CurrencySpace_VZW HC LRP05-6 valuation" xfId="350"/>
    <cellStyle name="_Data" xfId="351"/>
    <cellStyle name="_Data_2.4-Stat P&amp;L" xfId="352"/>
    <cellStyle name="_Data_2+10 CEO Country review template v1" xfId="353"/>
    <cellStyle name="_Data_7.1-REGIONAL Mobile Plus" xfId="354"/>
    <cellStyle name="_Data_Capex Actuals 2+10 2007_8" xfId="355"/>
    <cellStyle name="_Data_Capex Actuals 2006_7" xfId="356"/>
    <cellStyle name="_Data_Capital Intensity" xfId="357"/>
    <cellStyle name="_Data_DATA (AH)" xfId="358"/>
    <cellStyle name="_Data_EUROPE icon waterfall" xfId="359"/>
    <cellStyle name="_Data_Ex POST  XMAS card al 31012006" xfId="360"/>
    <cellStyle name="_Data_Flash-Zahlen int Budget" xfId="361"/>
    <cellStyle name="_Data_Flash-Zahlen int Budget_2+10 CEO Country review template v1" xfId="362"/>
    <cellStyle name="_Data_Flash-Zahlen int Budget_Calculation v2" xfId="363"/>
    <cellStyle name="_Data_Flash-Zahlen int Budget_Calculation v2_2+10 CEO Country review template v1" xfId="364"/>
    <cellStyle name="_Data_Flash-Zahlen int Budget_Calculation v2_DB 1b Summary" xfId="365"/>
    <cellStyle name="_Data_Flash-Zahlen int Budget_Calculation v2_DSL v2" xfId="366"/>
    <cellStyle name="_Data_Flash-Zahlen int Budget_Calculation v2_GermanyHo" xfId="367"/>
    <cellStyle name="_Data_Flash-Zahlen int Budget_DB 1b Summary" xfId="368"/>
    <cellStyle name="_Data_Flash-Zahlen int Budget_DCF Template" xfId="369"/>
    <cellStyle name="_Data_Flash-Zahlen int Budget_DCF Template_Turkey" xfId="370"/>
    <cellStyle name="_Data_Flash-Zahlen int Budget_DCF-2" xfId="371"/>
    <cellStyle name="_Data_Flash-Zahlen int Budget_DSL v2" xfId="372"/>
    <cellStyle name="_Data_Flash-Zahlen int Budget_GermanyHo" xfId="373"/>
    <cellStyle name="_Data_Flash-Zahlen int Budget_Tower operational model v4.3" xfId="374"/>
    <cellStyle name="_Data_GROUP horizontal IS (stat)" xfId="375"/>
    <cellStyle name="_Data_Group income statement rec" xfId="376"/>
    <cellStyle name="_Data_HC" xfId="377"/>
    <cellStyle name="_Data_Horizontal" xfId="378"/>
    <cellStyle name="_Data_LRP Horizontal income statement and KPIs" xfId="379"/>
    <cellStyle name="_Data_LRP revenue stimulation in Europe (EV) v2" xfId="380"/>
    <cellStyle name="_Data_MIS5" xfId="381"/>
    <cellStyle name="_Data_Mobile plus revenue_EV_211106 V2- DRAFT (HC)" xfId="382"/>
    <cellStyle name="_Data_Mobile plus revenue_EV_281106_POST REVIEW OUTPUT_(KH update)" xfId="383"/>
    <cellStyle name="_Data_OTHER DATA v.36 Output sheet final (PV) v3" xfId="384"/>
    <cellStyle name="_Data_Service revenue for Ed 24NOV06" xfId="385"/>
    <cellStyle name="_Data_sonstiger Input" xfId="386"/>
    <cellStyle name="_Data_Tower data file" xfId="387"/>
    <cellStyle name="_Data_Tower data file_Arcor Appendix 1b (Detailed Budget)_hardtype" xfId="388"/>
    <cellStyle name="_Data_Tower data file_Change Log" xfId="389"/>
    <cellStyle name="_Data_Tower data file_GermanyHo" xfId="390"/>
    <cellStyle name="_Data_TSI Grafischer_Bericht_Template_TEC Herrn Heil mit Sternausrichtung" xfId="391"/>
    <cellStyle name="_Data_TSI Grafischer_Bericht_Template_TEC Herrn Heil mit Sternausrichtung_Calculation v2" xfId="392"/>
    <cellStyle name="_Data_TSI Grafischer_Bericht_Template_TEC Herrn Heil mit Sternausrichtung_DCF Template" xfId="393"/>
    <cellStyle name="_Data_TSI Grafischer_Bericht_Template_TEC Herrn Heil mit Sternausrichtung_DCF-2" xfId="394"/>
    <cellStyle name="_Data_TSI Grafischer_Bericht_Template_TEC Herrn Heil mit Sternausrichtung_Tower operational model v4.3" xfId="395"/>
    <cellStyle name="_DCF model" xfId="396"/>
    <cellStyle name="_DCF Template" xfId="397"/>
    <cellStyle name="_DCF valuation_10 May v32" xfId="398"/>
    <cellStyle name="_depr" xfId="399"/>
    <cellStyle name="_Dollar_Jazztel model 16DP3-Exhibits" xfId="400"/>
    <cellStyle name="_Dollar_Jazztel model 18DP-exhibits_T_MOBIL2_Orange-May01_GermanyHo" xfId="401"/>
    <cellStyle name="_DSL Roll-out (capex) 3YP BC (2)" xfId="402"/>
    <cellStyle name="_DSL_Business_Case_v4.0" xfId="403"/>
    <cellStyle name="_Elisa multiple5" xfId="404"/>
    <cellStyle name="_Euro" xfId="405"/>
    <cellStyle name="_Euro_050301 Camel operational model V1" xfId="406"/>
    <cellStyle name="_Euro_050301 Camel operational model V1_Arcor Appendix 1b (Detailed Budget)_hardtype" xfId="407"/>
    <cellStyle name="_Euro_050301 Camel operational model V1_Change Log" xfId="408"/>
    <cellStyle name="_Euro_050301 Camel operational model V1_Europe fixed line &amp; DSL - Alea" xfId="409"/>
    <cellStyle name="_Euro_050301 Camel operational model V1_HORIZONTAL 2008_9 OUTPUTS - 5YP Europe only" xfId="410"/>
    <cellStyle name="_Euro_2+10 Pre-Sub Template v0.4" xfId="411"/>
    <cellStyle name="_Euro_Book1" xfId="412"/>
    <cellStyle name="_FAP Forecasting DB+2 v1 3" xfId="413"/>
    <cellStyle name="_filebudgetProduzione" xfId="414"/>
    <cellStyle name="_Fixed Acceleration Forecast EBU_Jun 09 (2)" xfId="415"/>
    <cellStyle name="_Fixed broadband services forecasts" xfId="416"/>
    <cellStyle name="_Fixed broadband services forecasts_HOL_5Yforecast" xfId="417"/>
    <cellStyle name="_Fixed broadband services forecasts_Sheet3" xfId="418"/>
    <cellStyle name="_fixed corporate services _ F-LRP v2" xfId="419"/>
    <cellStyle name="_Fixed Line Report 2008-09 Actuals v6 bench" xfId="420"/>
    <cellStyle name="_Fixed Line Report 2008-09 Actuals v6 bench HC" xfId="421"/>
    <cellStyle name="_Fixed Line Report 2008-09 Actuals v7 model" xfId="422"/>
    <cellStyle name="_Fixed Lines_F9+15_Factbook_PL 06 2009" xfId="423"/>
    <cellStyle name="_Fixed_Services_0910_2+10_VG2" xfId="424"/>
    <cellStyle name="_Fixed-Broadband Market Evolution &amp; Service Forecast v.6" xfId="425"/>
    <cellStyle name="_Fixed-Broadband Market Evolution &amp; Service Forecast v.6_HOL_5Yforecast" xfId="426"/>
    <cellStyle name="_Fixed-Broadband Market Evolution &amp; Service Forecast v.6_Sheet3" xfId="427"/>
    <cellStyle name="_Fixed-DSL business case update" xfId="428"/>
    <cellStyle name="_FY09 - FY13 Perseas Business case update_CN_updated (2)" xfId="429"/>
    <cellStyle name="_gen0646AL" xfId="430"/>
    <cellStyle name="_Germany Sc3 - analyst comp" xfId="431"/>
    <cellStyle name="_GRIGLI.2 BDGT APPROVATO" xfId="432"/>
    <cellStyle name="_GRIGLI.6+6" xfId="433"/>
    <cellStyle name="_GRIGLI.9+3" xfId="434"/>
    <cellStyle name="_GRIGLI.9+3_5'" xfId="435"/>
    <cellStyle name="_Header" xfId="436"/>
    <cellStyle name="_Header_2.4-Stat P&amp;L" xfId="437"/>
    <cellStyle name="_Header_2+10 CEO Country review template v1" xfId="438"/>
    <cellStyle name="_Header_Capex Actuals 2+10 2007_8" xfId="439"/>
    <cellStyle name="_Header_Capex Actuals 2006_7" xfId="440"/>
    <cellStyle name="_Header_Capital Intensity" xfId="441"/>
    <cellStyle name="_Header_DATA (AH)" xfId="442"/>
    <cellStyle name="_Header_EUROPE icon waterfall" xfId="443"/>
    <cellStyle name="_Header_Ex POST  XMAS card al 31012006" xfId="444"/>
    <cellStyle name="_Header_GROUP horizontal IS (stat)" xfId="445"/>
    <cellStyle name="_Header_Group income statement rec" xfId="446"/>
    <cellStyle name="_Header_HC" xfId="447"/>
    <cellStyle name="_Header_Horizontal" xfId="448"/>
    <cellStyle name="_Header_LRP Horizontal income statement and KPIs" xfId="449"/>
    <cellStyle name="_Header_LRP revenue stimulation in Europe (EV) v2" xfId="450"/>
    <cellStyle name="_Header_MIS5" xfId="451"/>
    <cellStyle name="_Header_Mobile plus revenue_EV_211106 V2- DRAFT (HC)" xfId="452"/>
    <cellStyle name="_Header_Mobile plus revenue_EV_281106_POST REVIEW OUTPUT_(KH update)" xfId="453"/>
    <cellStyle name="_Header_Service revenue for Ed 24NOV06" xfId="454"/>
    <cellStyle name="_Heading" xfId="455"/>
    <cellStyle name="_Heading_050301 Camel operational model V1" xfId="456"/>
    <cellStyle name="_Heading_2+10 CEO Country review template v1" xfId="457"/>
    <cellStyle name="_Heading_Book1" xfId="458"/>
    <cellStyle name="_Heading_DCF model" xfId="459"/>
    <cellStyle name="_Heading_prestemp" xfId="460"/>
    <cellStyle name="_Headline" xfId="461"/>
    <cellStyle name="_Headline_050301 Camel operational model V1" xfId="462"/>
    <cellStyle name="_Headline_Book1" xfId="463"/>
    <cellStyle name="_Headline_DCF model" xfId="464"/>
    <cellStyle name="_Highlight" xfId="465"/>
    <cellStyle name="_HOL Connectivity Total" xfId="466"/>
    <cellStyle name="_HOLv2" xfId="467"/>
    <cellStyle name="_HomeZone F5+7 v2" xfId="468"/>
    <cellStyle name="_Hyperion input" xfId="469"/>
    <cellStyle name="_Infotainment services" xfId="470"/>
    <cellStyle name="_l lines_count" xfId="471"/>
    <cellStyle name="_Last Mile  Connectivity forecast v1" xfId="472"/>
    <cellStyle name="_LE cost control" xfId="473"/>
    <cellStyle name="_LL OPEX (PERSEAS)" xfId="474"/>
    <cellStyle name="_MEDIA 10-02" xfId="475"/>
    <cellStyle name="_MEDIA 10-02_RDA AGG" xfId="476"/>
    <cellStyle name="_Multiple" xfId="477"/>
    <cellStyle name="_Multiple_050301 Camel operational model V1" xfId="478"/>
    <cellStyle name="_Multiple_Betas and WACC_GermanyHo" xfId="479"/>
    <cellStyle name="_Multiple_Book1" xfId="480"/>
    <cellStyle name="_Multiple_Book1_Jazztel model 16DP3-Exhibits_FT-6June2001" xfId="481"/>
    <cellStyle name="_Multiple_Book1_Jazztel model 18DP-exhibits_T_MOBIL2_GermanyHo" xfId="482"/>
    <cellStyle name="_Multiple_Book1_Jazztel model 18DP-exhibits_Telia-April01(new structure)_FT-6June2001_GermanyHo" xfId="483"/>
    <cellStyle name="_Multiple_Book3_GermanyHo" xfId="484"/>
    <cellStyle name="_Multiple_Calculation v2" xfId="485"/>
    <cellStyle name="_Multiple_DCF Template" xfId="486"/>
    <cellStyle name="_Multiple_DCF Template_Arcor Appendix 1b (Detailed Budget)_hardtype" xfId="487"/>
    <cellStyle name="_Multiple_DCF Template_Change Log" xfId="488"/>
    <cellStyle name="_Multiple_DCF Template_Europe fixed line &amp; DSL - Alea" xfId="489"/>
    <cellStyle name="_Multiple_DCF Template_GermanyHo" xfId="490"/>
    <cellStyle name="_Multiple_DCF Template_HORIZONTAL 2008_9 OUTPUTS - 5YP Europe only" xfId="491"/>
    <cellStyle name="_Multiple_DCF-2" xfId="492"/>
    <cellStyle name="_Multiple_Elisa multiple5" xfId="493"/>
    <cellStyle name="_Multiple_GermanyHo" xfId="494"/>
    <cellStyle name="_Multiple_TDC model 2005 04 30" xfId="495"/>
    <cellStyle name="_Multiple_Tower operational model v4.2" xfId="496"/>
    <cellStyle name="_Multiple_Tower operational model v4.3" xfId="497"/>
    <cellStyle name="_MultipleSpace" xfId="498"/>
    <cellStyle name="_MultipleSpace_050301 Camel operational model V1" xfId="499"/>
    <cellStyle name="_MultipleSpace_bls roic" xfId="500"/>
    <cellStyle name="_MultipleSpace_Book1" xfId="501"/>
    <cellStyle name="_MultipleSpace_Book1_Jazztel model 18DP-exhibits_T_MOBIL2_FT-6June2001" xfId="502"/>
    <cellStyle name="_MultipleSpace_Book1_Jazztel model 18DP-exhibits_T_MOBIL2_GermanyHo" xfId="503"/>
    <cellStyle name="_MultipleSpace_Book3_GermanyHo" xfId="504"/>
    <cellStyle name="_MultipleSpace_Calculation v2" xfId="505"/>
    <cellStyle name="_MultipleSpace_DCF Template" xfId="506"/>
    <cellStyle name="_MultipleSpace_DCF-2" xfId="507"/>
    <cellStyle name="_MultipleSpace_Elisa multiple5" xfId="508"/>
    <cellStyle name="_MultipleSpace_FT-6June2001_GermanyHo" xfId="509"/>
    <cellStyle name="_MultipleSpace_TDC model 2005 04 30" xfId="510"/>
    <cellStyle name="_MultipleSpace_Tower operational model v4.2_GermanyHo" xfId="511"/>
    <cellStyle name="_MultipleSpace_Tower operational model v4.3" xfId="512"/>
    <cellStyle name="_OPEX BU Corp Febbraio 03" xfId="513"/>
    <cellStyle name="_OPEX BU Corp Maggio 03" xfId="514"/>
    <cellStyle name="_OPEX BU Corp Marzo 03" xfId="515"/>
    <cellStyle name="_Opex Capex Dicembre" xfId="516"/>
    <cellStyle name="_OPEX CAPEX FTE BU Corporate 2002-03" xfId="517"/>
    <cellStyle name="_Opex Capex Galli" xfId="518"/>
    <cellStyle name="_Opex Capex Galli 18122002ftsera" xfId="519"/>
    <cellStyle name="_OPEX Dicembre BU Corp 02Totale" xfId="520"/>
    <cellStyle name="_OPEX Gennaio BU Corp 03" xfId="521"/>
    <cellStyle name="_OPEX Luglio 2002" xfId="522"/>
    <cellStyle name="_OPEX Novembre BU Corp 2002" xfId="523"/>
    <cellStyle name="_OPEX Ottobre BU Corp 2002" xfId="524"/>
    <cellStyle name="_opex_04" xfId="525"/>
    <cellStyle name="_Percent" xfId="526"/>
    <cellStyle name="_Percent_050301 Camel operational model V1" xfId="527"/>
    <cellStyle name="_Percent_050301 Camel operational model V1_Arcor Appendix 1b (Detailed Budget)_hardtype" xfId="528"/>
    <cellStyle name="_Percent_050301 Camel operational model V1_Change Log" xfId="529"/>
    <cellStyle name="_Percent_Betas and WACC_GermanyHo" xfId="530"/>
    <cellStyle name="_Percent_Book1" xfId="531"/>
    <cellStyle name="_Percent_Book1_GermanyHo" xfId="532"/>
    <cellStyle name="_Percent_Book1_Jazztel model 16DP3-Exhibits_Orange-May01_GermanyHo" xfId="533"/>
    <cellStyle name="_Percent_Book1_Jazztel model 16DP3-Exhibits_T_MOBIL2_GermanyHo" xfId="534"/>
    <cellStyle name="_Percent_Book1_Orange-Sep01_GermanyHo" xfId="535"/>
    <cellStyle name="_PercentSpace" xfId="536"/>
    <cellStyle name="_PercentSpace_050301 Camel operational model V1" xfId="537"/>
    <cellStyle name="_PercentSpace_Betas and WACC_GermanyHo" xfId="538"/>
    <cellStyle name="_PercentSpace_Book1" xfId="539"/>
    <cellStyle name="_PERSEAS VASD 3 YEAR PLAN JULY 2008 v2 140708_Version 2" xfId="540"/>
    <cellStyle name="_Perseas-Techinput-DB0809_RV" xfId="541"/>
    <cellStyle name="_Perseas-Techinput-DB0809_RV_HOL_5Yforecast" xfId="542"/>
    <cellStyle name="_Perseas-Techinput-DB0809_RV_Sheet3" xfId="543"/>
    <cellStyle name="_PROD" xfId="544"/>
    <cellStyle name="_PROD 02-03_sintesi" xfId="545"/>
    <cellStyle name="_PROD 10-02" xfId="546"/>
    <cellStyle name="_PROD 11-02" xfId="547"/>
    <cellStyle name="_PROD-CONS-01-02" xfId="548"/>
    <cellStyle name="_PRODUCTION 01-2001" xfId="549"/>
    <cellStyle name="_Reconsolidation" xfId="550"/>
    <cellStyle name="_Riders" xfId="551"/>
    <cellStyle name="_Row1" xfId="552"/>
    <cellStyle name="_Row1_2.4-Stat P&amp;L" xfId="553"/>
    <cellStyle name="_Row1_7.1-REGIONAL Mobile Plus" xfId="554"/>
    <cellStyle name="_Row1_Capex Actuals 2+10 2007_8" xfId="555"/>
    <cellStyle name="_Row1_Capex Actuals 2006_7" xfId="556"/>
    <cellStyle name="_Row1_Capital Intensity" xfId="557"/>
    <cellStyle name="_Row1_DATA (AH)" xfId="558"/>
    <cellStyle name="_Row1_EUROPE icon waterfall" xfId="559"/>
    <cellStyle name="_Row1_Ex POST  XMAS card al 31012006" xfId="560"/>
    <cellStyle name="_Row1_GROUP horizontal IS (stat)" xfId="561"/>
    <cellStyle name="_Row1_Group income statement rec" xfId="562"/>
    <cellStyle name="_Row1_HC" xfId="563"/>
    <cellStyle name="_Row1_Horizontal" xfId="564"/>
    <cellStyle name="_Row1_LRP Horizontal income statement and KPIs" xfId="565"/>
    <cellStyle name="_Row1_LRP revenue stimulation in Europe (EV) v2" xfId="566"/>
    <cellStyle name="_Row1_MIS5" xfId="567"/>
    <cellStyle name="_Row1_Mobile plus revenue_EV_211106 V2- DRAFT (HC)" xfId="568"/>
    <cellStyle name="_Row1_Mobile plus revenue_EV_281106_POST REVIEW OUTPUT_(KH update)" xfId="569"/>
    <cellStyle name="_Row1_Service revenue for Ed 24NOV06" xfId="570"/>
    <cellStyle name="_Row2" xfId="571"/>
    <cellStyle name="_Row2_2.4-Stat P&amp;L" xfId="572"/>
    <cellStyle name="_Row2_Capex Actuals 2+10 2007_8" xfId="573"/>
    <cellStyle name="_Row2_Capex Actuals 2006_7" xfId="574"/>
    <cellStyle name="_Row2_Capital Intensity" xfId="575"/>
    <cellStyle name="_Row2_DATA (AH)" xfId="576"/>
    <cellStyle name="_Row2_EUROPE icon waterfall" xfId="577"/>
    <cellStyle name="_Row2_Ex POST  XMAS card al 31012006" xfId="578"/>
    <cellStyle name="_Row2_GROUP horizontal IS (stat)" xfId="579"/>
    <cellStyle name="_Row2_Group income statement rec" xfId="580"/>
    <cellStyle name="_Row2_HC" xfId="581"/>
    <cellStyle name="_Row2_Horizontal" xfId="582"/>
    <cellStyle name="_Row2_LRP Horizontal income statement and KPIs" xfId="583"/>
    <cellStyle name="_Row2_LRP revenue stimulation in Europe (EV) v2" xfId="584"/>
    <cellStyle name="_Row2_MIS5" xfId="585"/>
    <cellStyle name="_Row2_Mobile plus revenue_EV_211106 V2- DRAFT (HC)" xfId="586"/>
    <cellStyle name="_Row2_Mobile plus revenue_EV_281106_POST REVIEW OUTPUT_(KH update)" xfId="587"/>
    <cellStyle name="_Row2_Service revenue for Ed 24NOV06" xfId="588"/>
    <cellStyle name="_Row3" xfId="589"/>
    <cellStyle name="_Row3_2.4-Stat P&amp;L" xfId="590"/>
    <cellStyle name="_Row3_Capex Actuals 2+10 2007_8" xfId="591"/>
    <cellStyle name="_Row3_Capex Actuals 2006_7" xfId="592"/>
    <cellStyle name="_Row3_Capital Intensity" xfId="593"/>
    <cellStyle name="_Row3_DATA (AH)" xfId="594"/>
    <cellStyle name="_Row3_EUROPE icon waterfall" xfId="595"/>
    <cellStyle name="_Row3_Ex POST  XMAS card al 31012006" xfId="596"/>
    <cellStyle name="_Row3_GROUP horizontal IS (stat)" xfId="597"/>
    <cellStyle name="_Row3_Group income statement rec" xfId="598"/>
    <cellStyle name="_Row3_HC" xfId="599"/>
    <cellStyle name="_Row3_Horizontal" xfId="600"/>
    <cellStyle name="_Row3_LRP Horizontal income statement and KPIs" xfId="601"/>
    <cellStyle name="_Row3_LRP revenue stimulation in Europe (EV) v2" xfId="602"/>
    <cellStyle name="_Row3_MIS5" xfId="603"/>
    <cellStyle name="_Row3_Mobile plus revenue_EV_211106 V2- DRAFT (HC)" xfId="604"/>
    <cellStyle name="_Row3_Mobile plus revenue_EV_281106_POST REVIEW OUTPUT_(KH update)" xfId="605"/>
    <cellStyle name="_Row3_Service revenue for Ed 24NOV06" xfId="606"/>
    <cellStyle name="_Row4" xfId="607"/>
    <cellStyle name="_Row4_2.4-Stat P&amp;L" xfId="608"/>
    <cellStyle name="_Row4_Capex Actuals 2+10 2007_8" xfId="609"/>
    <cellStyle name="_Row4_Capex Actuals 2006_7" xfId="610"/>
    <cellStyle name="_Row4_Capital Intensity" xfId="611"/>
    <cellStyle name="_Row4_DATA (AH)" xfId="612"/>
    <cellStyle name="_Row4_EUROPE icon waterfall" xfId="613"/>
    <cellStyle name="_Row4_Ex POST  XMAS card al 31012006" xfId="614"/>
    <cellStyle name="_Row4_GROUP horizontal IS (stat)" xfId="615"/>
    <cellStyle name="_Row4_Group income statement rec" xfId="616"/>
    <cellStyle name="_Row4_HC" xfId="617"/>
    <cellStyle name="_Row4_Horizontal" xfId="618"/>
    <cellStyle name="_Row4_LRP Horizontal income statement and KPIs" xfId="619"/>
    <cellStyle name="_Row4_LRP revenue stimulation in Europe (EV) v2" xfId="620"/>
    <cellStyle name="_Row4_MIS5" xfId="621"/>
    <cellStyle name="_Row4_Mobile plus revenue_EV_211106 V2- DRAFT (HC)" xfId="622"/>
    <cellStyle name="_Row4_Mobile plus revenue_EV_281106_POST REVIEW OUTPUT_(KH update)" xfId="623"/>
    <cellStyle name="_Row4_Service revenue for Ed 24NOV06" xfId="624"/>
    <cellStyle name="_Row5" xfId="625"/>
    <cellStyle name="_Row5_070503_Revised" xfId="626"/>
    <cellStyle name="_Row5_2.4-Stat P&amp;L" xfId="627"/>
    <cellStyle name="_Row5_271201" xfId="628"/>
    <cellStyle name="_Row5_271201.XLS Chart 16" xfId="629"/>
    <cellStyle name="_Row5_5+7F&amp;OB updates for IR 14DEC05" xfId="630"/>
    <cellStyle name="_Row5_Assumption update Sept 2005 v1" xfId="631"/>
    <cellStyle name="_Row5_Book31" xfId="632"/>
    <cellStyle name="_Row5_Capex Actuals 2+10 2007_8" xfId="633"/>
    <cellStyle name="_Row5_Capex Actuals 2006_7" xfId="634"/>
    <cellStyle name="_Row5_Capital Intensity" xfId="635"/>
    <cellStyle name="_Row5_DATA (AH)" xfId="636"/>
    <cellStyle name="_Row5_Elisa multiple5" xfId="637"/>
    <cellStyle name="_Row5_EUROPE icon waterfall" xfId="638"/>
    <cellStyle name="_Row5_Ex POST  XMAS card al 31012006" xfId="639"/>
    <cellStyle name="_Row5_GROUP horizontal IS (stat)" xfId="640"/>
    <cellStyle name="_Row5_Group income statement rec" xfId="641"/>
    <cellStyle name="_Row5_HC" xfId="642"/>
    <cellStyle name="_Row5_Horizontal" xfId="643"/>
    <cellStyle name="_Row5_LRP Horizontal income statement and KPIs" xfId="644"/>
    <cellStyle name="_Row5_LRP revenue stimulation in Europe (EV) v2" xfId="645"/>
    <cellStyle name="_Row5_MIS5" xfId="646"/>
    <cellStyle name="_Row5_Mobile plus revenue_EV_211106 V2- DRAFT (HC)" xfId="647"/>
    <cellStyle name="_Row5_Mobile plus revenue_EV_281106_POST REVIEW OUTPUT_(KH update)" xfId="648"/>
    <cellStyle name="_Row5_Service revenue for Ed 24NOV06" xfId="649"/>
    <cellStyle name="_Row5_Statements sent to PWC 20051113" xfId="650"/>
    <cellStyle name="_Row5_Telsim 19-July-04" xfId="651"/>
    <cellStyle name="_Row5_Tower data file" xfId="652"/>
    <cellStyle name="_Row5_UBS Delight 20051010 v2" xfId="653"/>
    <cellStyle name="_Row5_UBS Delight 20051024" xfId="654"/>
    <cellStyle name="_Row5_UBS Delight 20051028" xfId="655"/>
    <cellStyle name="_Row5_UBS Delight 20051030" xfId="656"/>
    <cellStyle name="_Row5_UBS Delight 20051103" xfId="657"/>
    <cellStyle name="_Row5_UBS Delight 20051106" xfId="658"/>
    <cellStyle name="_Row5_UBS Delight 20051109" xfId="659"/>
    <cellStyle name="_Row5_UBS Delight 20051113" xfId="660"/>
    <cellStyle name="_Row5_UBS Delight 20051115" xfId="661"/>
    <cellStyle name="_Row5_UBS Delight 20051116" xfId="662"/>
    <cellStyle name="_Row5_UBS Delight 20051120" xfId="663"/>
    <cellStyle name="_Row5_UBS Delight 20051121" xfId="664"/>
    <cellStyle name="_Row5_UBS Delight 20051123" xfId="665"/>
    <cellStyle name="_Row5_UBS Delight 20051129 (2)" xfId="666"/>
    <cellStyle name="_Row6" xfId="667"/>
    <cellStyle name="_Row6_2.4-Stat P&amp;L" xfId="668"/>
    <cellStyle name="_Row6_Capex Actuals 2+10 2007_8" xfId="669"/>
    <cellStyle name="_Row6_Capex Actuals 2006_7" xfId="670"/>
    <cellStyle name="_Row6_Capital Intensity" xfId="671"/>
    <cellStyle name="_Row6_DATA (AH)" xfId="672"/>
    <cellStyle name="_Row6_EUROPE icon waterfall" xfId="673"/>
    <cellStyle name="_Row6_Ex POST  XMAS card al 31012006" xfId="674"/>
    <cellStyle name="_Row6_GROUP horizontal IS (stat)" xfId="675"/>
    <cellStyle name="_Row6_Group income statement rec" xfId="676"/>
    <cellStyle name="_Row6_HC" xfId="677"/>
    <cellStyle name="_Row6_Horizontal" xfId="678"/>
    <cellStyle name="_Row6_LRP Horizontal income statement and KPIs" xfId="679"/>
    <cellStyle name="_Row6_LRP revenue stimulation in Europe (EV) v2" xfId="680"/>
    <cellStyle name="_Row6_MIS5" xfId="681"/>
    <cellStyle name="_Row6_Mobile plus revenue_EV_211106 V2- DRAFT (HC)" xfId="682"/>
    <cellStyle name="_Row6_Mobile plus revenue_EV_281106_POST REVIEW OUTPUT_(KH update)" xfId="683"/>
    <cellStyle name="_Row6_Service revenue for Ed 24NOV06" xfId="684"/>
    <cellStyle name="_Row7" xfId="685"/>
    <cellStyle name="_Row7_2.4-Stat P&amp;L" xfId="686"/>
    <cellStyle name="_Row7_Capex Actuals 2+10 2007_8" xfId="687"/>
    <cellStyle name="_Row7_Capex Actuals 2006_7" xfId="688"/>
    <cellStyle name="_Row7_Capital Intensity" xfId="689"/>
    <cellStyle name="_Row7_DATA (AH)" xfId="690"/>
    <cellStyle name="_Row7_EUROPE icon waterfall" xfId="691"/>
    <cellStyle name="_Row7_Ex POST  XMAS card al 31012006" xfId="692"/>
    <cellStyle name="_Row7_GROUP horizontal IS (stat)" xfId="693"/>
    <cellStyle name="_Row7_Group income statement rec" xfId="694"/>
    <cellStyle name="_Row7_HC" xfId="695"/>
    <cellStyle name="_Row7_Horizontal" xfId="696"/>
    <cellStyle name="_Row7_LRP Horizontal income statement and KPIs" xfId="697"/>
    <cellStyle name="_Row7_LRP revenue stimulation in Europe (EV) v2" xfId="698"/>
    <cellStyle name="_Row7_MIS5" xfId="699"/>
    <cellStyle name="_Row7_Mobile plus revenue_EV_211106 V2- DRAFT (HC)" xfId="700"/>
    <cellStyle name="_Row7_Mobile plus revenue_EV_281106_POST REVIEW OUTPUT_(KH update)" xfId="701"/>
    <cellStyle name="_Row7_Service revenue for Ed 24NOV06" xfId="702"/>
    <cellStyle name="_SMARTS Model Assumptions" xfId="703"/>
    <cellStyle name="_SMARTS Model v21" xfId="704"/>
    <cellStyle name="_Spinoza adjustment 140906" xfId="705"/>
    <cellStyle name="_standard businesscase" xfId="706"/>
    <cellStyle name="_Statements sent to PWC 20051113" xfId="707"/>
    <cellStyle name="_SubHeading" xfId="708"/>
    <cellStyle name="_SubHeading_050301 Camel operational model V1" xfId="709"/>
    <cellStyle name="_SubHeading_2+10 CEO Country review template v1" xfId="710"/>
    <cellStyle name="_SubHeading_bls roic" xfId="711"/>
    <cellStyle name="_SubHeading_Book1" xfId="712"/>
    <cellStyle name="_SubHeading_DCF model" xfId="713"/>
    <cellStyle name="_SubHeading_prestemp" xfId="714"/>
    <cellStyle name="_Table" xfId="715"/>
    <cellStyle name="_Table_050301 Camel operational model V1" xfId="716"/>
    <cellStyle name="_Table_2+10 CEO Country review template v1" xfId="717"/>
    <cellStyle name="_Table_bls roic" xfId="718"/>
    <cellStyle name="_Table_Book1" xfId="719"/>
    <cellStyle name="_Table_DCF model" xfId="720"/>
    <cellStyle name="_Table_DCF Template" xfId="721"/>
    <cellStyle name="_Table_Elisa multiple5" xfId="722"/>
    <cellStyle name="_Table_TDC model 2005 04 30" xfId="723"/>
    <cellStyle name="_TableHead" xfId="724"/>
    <cellStyle name="_TableHead_050301 Camel operational model V1" xfId="725"/>
    <cellStyle name="_TableHead_2+10 CEO Country review template v1" xfId="726"/>
    <cellStyle name="_TableHead_Book1" xfId="727"/>
    <cellStyle name="_TableHead_Broadband Comps" xfId="728"/>
    <cellStyle name="_TableHead_DCF model" xfId="729"/>
    <cellStyle name="_TableHead_DCF Template" xfId="730"/>
    <cellStyle name="_TableHead_Elisa multiple5" xfId="731"/>
    <cellStyle name="_TableHead_Fixed Line Report 2008-09 Actuals v6 bench" xfId="732"/>
    <cellStyle name="_TableHead_Fixed Line Report 2008-09 Actuals v6 bench HC" xfId="733"/>
    <cellStyle name="_TableHead_Fixed Line Report 2008-09 Actuals v7 model" xfId="734"/>
    <cellStyle name="_TableHead_TDC model 2005 04 30" xfId="735"/>
    <cellStyle name="_TableHeading" xfId="736"/>
    <cellStyle name="_TableHeading_050301 Camel operational model V1" xfId="737"/>
    <cellStyle name="_TableHeading_Book1" xfId="738"/>
    <cellStyle name="_TableHeading_DCF model" xfId="739"/>
    <cellStyle name="_TableRowBorder" xfId="740"/>
    <cellStyle name="_TableRowBorder 2" xfId="741"/>
    <cellStyle name="_TableRowBorder_VF-IT" xfId="742"/>
    <cellStyle name="_TableRowHead" xfId="743"/>
    <cellStyle name="_TableRowHead_050301 Camel operational model V1" xfId="744"/>
    <cellStyle name="_TableRowHead_2+10 CEO Country review template v1" xfId="745"/>
    <cellStyle name="_TableRowHead_Book1" xfId="746"/>
    <cellStyle name="_TableRowHead_Broadband Comps" xfId="747"/>
    <cellStyle name="_TableRowHead_DCF model" xfId="748"/>
    <cellStyle name="_TableRowHead_DCF Template" xfId="749"/>
    <cellStyle name="_TableRowHead_Elisa multiple5" xfId="750"/>
    <cellStyle name="_TableRowHead_TDC model 2005 04 30" xfId="751"/>
    <cellStyle name="_TableRowHeading" xfId="752"/>
    <cellStyle name="_TableRowHeading_050301 Camel operational model V1" xfId="753"/>
    <cellStyle name="_TableRowHeading_Book1" xfId="754"/>
    <cellStyle name="_TableRowHeading_DCF model" xfId="755"/>
    <cellStyle name="_TableSuperHead" xfId="756"/>
    <cellStyle name="_TableSuperHead_050301 Camel operational model V1" xfId="757"/>
    <cellStyle name="_TableSuperHead_2+10 CEO Country review template v1" xfId="758"/>
    <cellStyle name="_TableSuperHead_Book1" xfId="759"/>
    <cellStyle name="_TableSuperHead_Broadband Comps" xfId="760"/>
    <cellStyle name="_TableSuperHead_DCF model" xfId="761"/>
    <cellStyle name="_TableSuperHeading" xfId="762"/>
    <cellStyle name="_TableSuperHeading_050301 Camel operational model V1" xfId="763"/>
    <cellStyle name="_TableSuperHeading_Book1" xfId="764"/>
    <cellStyle name="_TableSuperHeading_DCF model" xfId="765"/>
    <cellStyle name="_TableText" xfId="766"/>
    <cellStyle name="_TableText_050301 Camel operational model V1" xfId="767"/>
    <cellStyle name="_TableText_Book1" xfId="768"/>
    <cellStyle name="_TableText_DCF model" xfId="769"/>
    <cellStyle name="_target mdv 110902" xfId="770"/>
    <cellStyle name="_TDC model 2005 04 30" xfId="771"/>
    <cellStyle name="_TOT-09 PRODUC" xfId="772"/>
    <cellStyle name="_Tower data file" xfId="773"/>
    <cellStyle name="_Tower operational model v4.3" xfId="774"/>
    <cellStyle name="_TSIM - CAPEX V1.0" xfId="775"/>
    <cellStyle name="_UBS Delight 20051113" xfId="776"/>
    <cellStyle name="_val" xfId="777"/>
    <cellStyle name="_Valuation 0413041" xfId="778"/>
    <cellStyle name="_VIP BP_2003-04231" xfId="779"/>
    <cellStyle name="£Currency [0]" xfId="780"/>
    <cellStyle name="£Pounds" xfId="781"/>
    <cellStyle name="=C:\WINDOWS\SYSTEM32\COMMAND.COM" xfId="782"/>
    <cellStyle name="=C:\WINNT\SYSTEM32\COMMAND.COM" xfId="783"/>
    <cellStyle name="§Q\?1@" xfId="784"/>
    <cellStyle name="0" xfId="785"/>
    <cellStyle name="0 2" xfId="786"/>
    <cellStyle name="0,0_x000a__x000a_NA_x000a__x000a_" xfId="787"/>
    <cellStyle name="0,0_x000d__x000a_NA_x000d__x000a_" xfId="788"/>
    <cellStyle name="0.0" xfId="789"/>
    <cellStyle name="0.0 2" xfId="790"/>
    <cellStyle name="0.0 x; (0.0 x)" xfId="791"/>
    <cellStyle name="0.0 x; (0.0 x) 2" xfId="792"/>
    <cellStyle name="0.0 x; (0.0 x) 3" xfId="793"/>
    <cellStyle name="0.0_2+10 CEO Country review template v1" xfId="794"/>
    <cellStyle name="0.00" xfId="795"/>
    <cellStyle name="0.00 2" xfId="796"/>
    <cellStyle name="000" xfId="797"/>
    <cellStyle name="'000" xfId="798"/>
    <cellStyle name="000_DSL v2" xfId="799"/>
    <cellStyle name="000's" xfId="800"/>
    <cellStyle name="0DP bkt" xfId="801"/>
    <cellStyle name="1,comma" xfId="802"/>
    <cellStyle name="12 bkt 0DP" xfId="803"/>
    <cellStyle name="12 bkt 2DP" xfId="804"/>
    <cellStyle name="14 bold head" xfId="805"/>
    <cellStyle name="1Nachkommastelle" xfId="806"/>
    <cellStyle name="20% - Accent1 2" xfId="807"/>
    <cellStyle name="3" xfId="808"/>
    <cellStyle name="3_2+10 CEO Country review template v1" xfId="809"/>
    <cellStyle name="3_DB 1b Summary" xfId="810"/>
    <cellStyle name="3_DSL v2" xfId="811"/>
    <cellStyle name="4.56" xfId="812"/>
    <cellStyle name="a" xfId="813"/>
    <cellStyle name="A Big heading" xfId="814"/>
    <cellStyle name="A body text" xfId="815"/>
    <cellStyle name="A smaller heading" xfId="816"/>
    <cellStyle name="aBanner" xfId="817"/>
    <cellStyle name="aBody" xfId="818"/>
    <cellStyle name="aCash" xfId="819"/>
    <cellStyle name="aCash .0 K" xfId="820"/>
    <cellStyle name="aCash Cents" xfId="821"/>
    <cellStyle name="aCash K" xfId="822"/>
    <cellStyle name="aCash M" xfId="823"/>
    <cellStyle name="Actual Date" xfId="824"/>
    <cellStyle name="Actual Date 2" xfId="825"/>
    <cellStyle name="AFE" xfId="826"/>
    <cellStyle name="After Percent" xfId="827"/>
    <cellStyle name="After Percent 2" xfId="828"/>
    <cellStyle name="Año" xfId="829"/>
    <cellStyle name="args.style" xfId="830"/>
    <cellStyle name="Arial 10" xfId="831"/>
    <cellStyle name="Arial 12" xfId="832"/>
    <cellStyle name="Assumption [#]" xfId="833"/>
    <cellStyle name="Availability" xfId="834"/>
    <cellStyle name="b" xfId="835"/>
    <cellStyle name="Balance_Sheet" xfId="836"/>
    <cellStyle name="Banner" xfId="837"/>
    <cellStyle name="Basic1" xfId="838"/>
    <cellStyle name="Besuchter Hyperlink" xfId="839"/>
    <cellStyle name="billion" xfId="840"/>
    <cellStyle name="BLACK" xfId="841"/>
    <cellStyle name="Blank" xfId="842"/>
    <cellStyle name="blaugrau" xfId="843"/>
    <cellStyle name="blaugrau 2" xfId="844"/>
    <cellStyle name="blaugrau 3" xfId="845"/>
    <cellStyle name="blaugrau 4" xfId="846"/>
    <cellStyle name="blaukursiv" xfId="847"/>
    <cellStyle name="blaukursiv 2" xfId="848"/>
    <cellStyle name="blaukursiv 2 2" xfId="849"/>
    <cellStyle name="blaukursiv 3" xfId="850"/>
    <cellStyle name="Blue" xfId="851"/>
    <cellStyle name="blue$00" xfId="852"/>
    <cellStyle name="Body" xfId="853"/>
    <cellStyle name="bold big" xfId="854"/>
    <cellStyle name="bold bot bord" xfId="855"/>
    <cellStyle name="bold bot bord 2" xfId="856"/>
    <cellStyle name="Bold Pink" xfId="857"/>
    <cellStyle name="Bold Pink 2" xfId="858"/>
    <cellStyle name="bold underline" xfId="859"/>
    <cellStyle name="Border Bottom Thick" xfId="860"/>
    <cellStyle name="Border Bottom Thick 2" xfId="861"/>
    <cellStyle name="Border Heavy" xfId="862"/>
    <cellStyle name="Border Heavy 2" xfId="863"/>
    <cellStyle name="Border Thin" xfId="864"/>
    <cellStyle name="Border Top Thin" xfId="865"/>
    <cellStyle name="Border Top Thin 2" xfId="866"/>
    <cellStyle name="Border Top Thin 3" xfId="867"/>
    <cellStyle name="Border Top Thin 4" xfId="868"/>
    <cellStyle name="Border Years" xfId="869"/>
    <cellStyle name="Border Years 2" xfId="870"/>
    <cellStyle name="bottom dbl" xfId="871"/>
    <cellStyle name="bottom dbl 2" xfId="872"/>
    <cellStyle name="British Pound" xfId="873"/>
    <cellStyle name="calc" xfId="874"/>
    <cellStyle name="calc 2" xfId="875"/>
    <cellStyle name="Calc Currency (0)" xfId="876"/>
    <cellStyle name="Calc Currency (2)" xfId="877"/>
    <cellStyle name="Calc Units (0)" xfId="878"/>
    <cellStyle name="Calculation with Border" xfId="879"/>
    <cellStyle name="Calculation with Border 2" xfId="880"/>
    <cellStyle name="Calculation with Border 2 2" xfId="881"/>
    <cellStyle name="Calculation with Border 3" xfId="882"/>
    <cellStyle name="Calculation with Border 3 2" xfId="883"/>
    <cellStyle name="Calculation with Border 4" xfId="884"/>
    <cellStyle name="Calculation with Border 4 2" xfId="885"/>
    <cellStyle name="Calculation with Border 5" xfId="886"/>
    <cellStyle name="Case" xfId="887"/>
    <cellStyle name="Cashflow" xfId="888"/>
    <cellStyle name="Cashflow 2" xfId="889"/>
    <cellStyle name="category" xfId="890"/>
    <cellStyle name="cc0 -CalComma" xfId="891"/>
    <cellStyle name="cc1 -CalComma" xfId="892"/>
    <cellStyle name="cc2 -CalComma" xfId="893"/>
    <cellStyle name="cc3 -CalComma" xfId="894"/>
    <cellStyle name="cc4 -CalComma" xfId="895"/>
    <cellStyle name="cComma0" xfId="896"/>
    <cellStyle name="cComma1" xfId="897"/>
    <cellStyle name="cComma2" xfId="898"/>
    <cellStyle name="cComma3" xfId="899"/>
    <cellStyle name="cCurrency0" xfId="900"/>
    <cellStyle name="cCurrency2" xfId="901"/>
    <cellStyle name="cDateDM" xfId="902"/>
    <cellStyle name="cDateDMY" xfId="903"/>
    <cellStyle name="cDateHM" xfId="904"/>
    <cellStyle name="cDateMY" xfId="905"/>
    <cellStyle name="cDateT24" xfId="906"/>
    <cellStyle name="cdDMMY -CalDate" xfId="907"/>
    <cellStyle name="cdDMMYHM -CalDateTime" xfId="908"/>
    <cellStyle name="cdDMY -CalDate" xfId="909"/>
    <cellStyle name="cdMDY -CalDate" xfId="910"/>
    <cellStyle name="cdMMY -CalDate" xfId="911"/>
    <cellStyle name="cdMMYc-CalDateC" xfId="912"/>
    <cellStyle name="cell" xfId="913"/>
    <cellStyle name="cell 2" xfId="914"/>
    <cellStyle name="cell 2 2" xfId="915"/>
    <cellStyle name="cell 3" xfId="916"/>
    <cellStyle name="Center" xfId="917"/>
    <cellStyle name="Center 2" xfId="918"/>
    <cellStyle name="cf0 -CalFixed" xfId="919"/>
    <cellStyle name="Check" xfId="920"/>
    <cellStyle name="Checksum" xfId="921"/>
    <cellStyle name="cmHM  -CalTime" xfId="922"/>
    <cellStyle name="cmHM24+ -CalTime" xfId="923"/>
    <cellStyle name="Co. Names" xfId="924"/>
    <cellStyle name="COL HEADINGS" xfId="925"/>
    <cellStyle name="COL HEADINGS 2" xfId="926"/>
    <cellStyle name="Colhead_left" xfId="927"/>
    <cellStyle name="ColHeading" xfId="928"/>
    <cellStyle name="Column heading" xfId="929"/>
    <cellStyle name="Column label" xfId="930"/>
    <cellStyle name="Column label (left aligned)" xfId="931"/>
    <cellStyle name="Column label (no wrap)" xfId="932"/>
    <cellStyle name="Column label (not bold)" xfId="933"/>
    <cellStyle name="Column Title" xfId="934"/>
    <cellStyle name="ColumnHeading" xfId="935"/>
    <cellStyle name="Com?a" xfId="936"/>
    <cellStyle name="Com⏭a" xfId="937"/>
    <cellStyle name="Comma  - Style1" xfId="938"/>
    <cellStyle name="Comma  - Style2" xfId="939"/>
    <cellStyle name="Comma  - Style3" xfId="940"/>
    <cellStyle name="Comma  - Style4" xfId="941"/>
    <cellStyle name="Comma  - Style5" xfId="942"/>
    <cellStyle name="Comma  - Style6" xfId="943"/>
    <cellStyle name="Comma  - Style7" xfId="944"/>
    <cellStyle name="Comma  - Style8" xfId="945"/>
    <cellStyle name="comma - number" xfId="946"/>
    <cellStyle name="Comma [1]" xfId="947"/>
    <cellStyle name="Comma [2]" xfId="948"/>
    <cellStyle name="Comma [3]" xfId="949"/>
    <cellStyle name="Comma 0" xfId="950"/>
    <cellStyle name="Comma 17" xfId="951"/>
    <cellStyle name="Comma 17 3" xfId="952"/>
    <cellStyle name="Comma 2" xfId="953"/>
    <cellStyle name="Comma 2 2" xfId="954"/>
    <cellStyle name="Comma 22" xfId="955"/>
    <cellStyle name="Comma 22 2" xfId="956"/>
    <cellStyle name="Comma 3" xfId="957"/>
    <cellStyle name="Comma 4" xfId="958"/>
    <cellStyle name="Comma 5" xfId="959"/>
    <cellStyle name="Comma0" xfId="960"/>
    <cellStyle name="Comment" xfId="961"/>
    <cellStyle name="Company" xfId="962"/>
    <cellStyle name="Company Name" xfId="963"/>
    <cellStyle name="Company_050301 Camel operational model V1" xfId="964"/>
    <cellStyle name="COMPS" xfId="965"/>
    <cellStyle name="COMPS 2" xfId="966"/>
    <cellStyle name="COMPS 2 2" xfId="967"/>
    <cellStyle name="COMPS 3" xfId="968"/>
    <cellStyle name="Copied" xfId="969"/>
    <cellStyle name="Copy Decimal 0" xfId="970"/>
    <cellStyle name="Copy Decimal 0,00" xfId="971"/>
    <cellStyle name="Copy Decimal 0_DCF valuation_10 May v32" xfId="972"/>
    <cellStyle name="Copy Percent 0" xfId="973"/>
    <cellStyle name="Copy Percent 0,00" xfId="974"/>
    <cellStyle name="Copy Percent 0_0309 XI" xfId="975"/>
    <cellStyle name="Country1" xfId="976"/>
    <cellStyle name="cp0 -CalPercent" xfId="977"/>
    <cellStyle name="cp1 -CalPercent" xfId="978"/>
    <cellStyle name="cp2 -CalPercent" xfId="979"/>
    <cellStyle name="cp3 -CalPercent" xfId="980"/>
    <cellStyle name="cParenth0" xfId="981"/>
    <cellStyle name="cParenth2" xfId="982"/>
    <cellStyle name="cPercent0" xfId="983"/>
    <cellStyle name="cPercent1" xfId="984"/>
    <cellStyle name="cPercent2" xfId="985"/>
    <cellStyle name="cr0 -CalCurr" xfId="986"/>
    <cellStyle name="cr1 -CalCurr" xfId="987"/>
    <cellStyle name="cr2 -CalCurr" xfId="988"/>
    <cellStyle name="cr3 -CalCurr" xfId="989"/>
    <cellStyle name="cr4 -CalCurr" xfId="990"/>
    <cellStyle name="cRed0" xfId="991"/>
    <cellStyle name="cRed2" xfId="992"/>
    <cellStyle name="cTextB" xfId="993"/>
    <cellStyle name="cTextBCen" xfId="994"/>
    <cellStyle name="cTextCen" xfId="995"/>
    <cellStyle name="cTextGenWrap" xfId="996"/>
    <cellStyle name="cTextI" xfId="997"/>
    <cellStyle name="cTextSm" xfId="998"/>
    <cellStyle name="cTextSmWrap" xfId="999"/>
    <cellStyle name="cTextU" xfId="1000"/>
    <cellStyle name="Cuadro 1" xfId="1001"/>
    <cellStyle name="cur2" xfId="1002"/>
    <cellStyle name="CurRatio" xfId="1003"/>
    <cellStyle name="Currency - £" xfId="1004"/>
    <cellStyle name="Currency - £ - sub-total" xfId="1005"/>
    <cellStyle name="Currency - £ - sub-total 2" xfId="1006"/>
    <cellStyle name="Currency - £ - sub-total 3" xfId="1007"/>
    <cellStyle name="Currency - £ - sub-total 4" xfId="1008"/>
    <cellStyle name="Currency - £ - total" xfId="1009"/>
    <cellStyle name="Currency - £ - total 2" xfId="1010"/>
    <cellStyle name="Currency - £ - total 2 2" xfId="1011"/>
    <cellStyle name="Currency - £ - total 3" xfId="1012"/>
    <cellStyle name="Currency - £_DATA (AH)" xfId="1013"/>
    <cellStyle name="Currency - no ()" xfId="1014"/>
    <cellStyle name="Currency (2dp)" xfId="1015"/>
    <cellStyle name="Currency [00]" xfId="1016"/>
    <cellStyle name="Currency [2]" xfId="1017"/>
    <cellStyle name="Currency [2] 2" xfId="1018"/>
    <cellStyle name="Currency [2] 2 2" xfId="1019"/>
    <cellStyle name="Currency [2] 3" xfId="1020"/>
    <cellStyle name="Currency [2] 3 2" xfId="1021"/>
    <cellStyle name="Currency [2] 4" xfId="1022"/>
    <cellStyle name="Currency [2] 4 2" xfId="1023"/>
    <cellStyle name="Currency [2] 5" xfId="1024"/>
    <cellStyle name="Currency 0" xfId="1025"/>
    <cellStyle name="Currency 2" xfId="1026"/>
    <cellStyle name="Currency 3" xfId="1027"/>
    <cellStyle name="Currency 4" xfId="1028"/>
    <cellStyle name="Currency 5" xfId="1029"/>
    <cellStyle name="Currency 6" xfId="1030"/>
    <cellStyle name="Currency Dollar" xfId="1031"/>
    <cellStyle name="Currency Dollar (2dp)" xfId="1032"/>
    <cellStyle name="Currency EUR" xfId="1033"/>
    <cellStyle name="Currency EUR (2dp)" xfId="1034"/>
    <cellStyle name="Currency Euro" xfId="1035"/>
    <cellStyle name="Currency Euro (2dp)" xfId="1036"/>
    <cellStyle name="Currency GBP" xfId="1037"/>
    <cellStyle name="Currency GBP (2dp)" xfId="1038"/>
    <cellStyle name="Currency Pound" xfId="1039"/>
    <cellStyle name="Currency Pound (2dp)" xfId="1040"/>
    <cellStyle name="Currency USD" xfId="1041"/>
    <cellStyle name="Currency USD (2dp)" xfId="1042"/>
    <cellStyle name="Currency0" xfId="1043"/>
    <cellStyle name="Currency1Blue" xfId="1044"/>
    <cellStyle name="CUS.Work.Area" xfId="1045"/>
    <cellStyle name="CW" xfId="1046"/>
    <cellStyle name="CW 2" xfId="1047"/>
    <cellStyle name="CW 2 2" xfId="1048"/>
    <cellStyle name="CW 3" xfId="1049"/>
    <cellStyle name="d" xfId="1050"/>
    <cellStyle name="d_Blank company forecasts" xfId="1051"/>
    <cellStyle name="data" xfId="1052"/>
    <cellStyle name="Data Input" xfId="1053"/>
    <cellStyle name="Data Input 2" xfId="1054"/>
    <cellStyle name="Data Input 2 2" xfId="1055"/>
    <cellStyle name="Data Input 3" xfId="1056"/>
    <cellStyle name="Data Section Heading" xfId="1057"/>
    <cellStyle name="DATA_Amount" xfId="1058"/>
    <cellStyle name="Date" xfId="1059"/>
    <cellStyle name="Date (Month)" xfId="1060"/>
    <cellStyle name="Date (Year)" xfId="1061"/>
    <cellStyle name="Date Aligned" xfId="1062"/>
    <cellStyle name="Date Short" xfId="1063"/>
    <cellStyle name="Date, Long" xfId="1064"/>
    <cellStyle name="Date, Short" xfId="1065"/>
    <cellStyle name="Date_105960_1" xfId="1066"/>
    <cellStyle name="Date2" xfId="1067"/>
    <cellStyle name="DateUS" xfId="1068"/>
    <cellStyle name="Datum" xfId="1069"/>
    <cellStyle name="Datum 2" xfId="1070"/>
    <cellStyle name="Datum 2 2" xfId="1071"/>
    <cellStyle name="Datum mit Wochentag" xfId="1072"/>
    <cellStyle name="DblLineDollarAcct" xfId="1073"/>
    <cellStyle name="DblLinePercent" xfId="1074"/>
    <cellStyle name="dd/mm/yy" xfId="1075"/>
    <cellStyle name="Dec 0,0" xfId="1076"/>
    <cellStyle name="Dec 0,00" xfId="1077"/>
    <cellStyle name="decimal" xfId="1078"/>
    <cellStyle name="Decimal 0,0" xfId="1079"/>
    <cellStyle name="Decimal 0,00" xfId="1080"/>
    <cellStyle name="Decimal 0,0000" xfId="1081"/>
    <cellStyle name="Decimal1" xfId="1082"/>
    <cellStyle name="Decimal2" xfId="1083"/>
    <cellStyle name="Dezimal (0.0)" xfId="1084"/>
    <cellStyle name="Dezimal [+line]" xfId="1085"/>
    <cellStyle name="Dezimal [+line] 2" xfId="1086"/>
    <cellStyle name="Dezimal [0]_01_delta03_V47_KORR_21.8." xfId="1087"/>
    <cellStyle name="Dezimal 0,00" xfId="1088"/>
    <cellStyle name="Dezimal_!!!GO" xfId="1089"/>
    <cellStyle name="diskette" xfId="1090"/>
    <cellStyle name="DollarAccounting" xfId="1091"/>
    <cellStyle name="Dotted Line" xfId="1092"/>
    <cellStyle name="Double Accounting" xfId="1093"/>
    <cellStyle name="DOWNFOOT" xfId="1094"/>
    <cellStyle name="DOWNFOOT 2" xfId="1095"/>
    <cellStyle name="DOWNFOOT 2 2" xfId="1096"/>
    <cellStyle name="DOWNFOOT 3" xfId="1097"/>
    <cellStyle name="dp*Accent" xfId="1098"/>
    <cellStyle name="dp*ChartSubTitle" xfId="1099"/>
    <cellStyle name="dp*ChartTitle" xfId="1100"/>
    <cellStyle name="dp*ColumnHeading1" xfId="1101"/>
    <cellStyle name="dp*ColumnHeading2" xfId="1102"/>
    <cellStyle name="dp*ColumnHeadingDate" xfId="1103"/>
    <cellStyle name="dp*FiscalDate" xfId="1104"/>
    <cellStyle name="dp*Footnote" xfId="1105"/>
    <cellStyle name="dp*Information" xfId="1106"/>
    <cellStyle name="dp*LabelItalics" xfId="1107"/>
    <cellStyle name="dp*LabelItalicsLineAbove" xfId="1108"/>
    <cellStyle name="dp*LabelItalicsLineAbove 2" xfId="1109"/>
    <cellStyle name="dp*LabelLine" xfId="1110"/>
    <cellStyle name="dp*LabelLine 2" xfId="1111"/>
    <cellStyle name="dp*Labels" xfId="1112"/>
    <cellStyle name="dp*Normal" xfId="1113"/>
    <cellStyle name="dp*NormalCurrency1Dec." xfId="1114"/>
    <cellStyle name="dp*Number%Italics" xfId="1115"/>
    <cellStyle name="dp*Number%ItalicsLineAbove" xfId="1116"/>
    <cellStyle name="dp*Number%ItalicsLineAbove 2" xfId="1117"/>
    <cellStyle name="dp*Number%ItalicsLineAbove 3" xfId="1118"/>
    <cellStyle name="dp*Number%ItalicsLineAbove 4" xfId="1119"/>
    <cellStyle name="dp*NumberCurrencyLine" xfId="1120"/>
    <cellStyle name="dp*NumberCurrencyLine 2" xfId="1121"/>
    <cellStyle name="dp*NumberGeneral" xfId="1122"/>
    <cellStyle name="dp*NumberGeneral2Dec." xfId="1123"/>
    <cellStyle name="dp*NumberLine" xfId="1124"/>
    <cellStyle name="dp*NumberLine 2" xfId="1125"/>
    <cellStyle name="dp*NumberLineEPS" xfId="1126"/>
    <cellStyle name="dp*NumberLineEPS 2" xfId="1127"/>
    <cellStyle name="dp*NumberSpecial" xfId="1128"/>
    <cellStyle name="dp*RatioX" xfId="1129"/>
    <cellStyle name="dp*SeriesName" xfId="1130"/>
    <cellStyle name="dp*SheetSubTitle" xfId="1131"/>
    <cellStyle name="dp*SheetSubTitle 2" xfId="1132"/>
    <cellStyle name="dp*SheetTitle" xfId="1133"/>
    <cellStyle name="dp*SubTitle" xfId="1134"/>
    <cellStyle name="dp*ThickLineAbove" xfId="1135"/>
    <cellStyle name="dp*ThickLineBelow" xfId="1136"/>
    <cellStyle name="dp*ThinLineAbove" xfId="1137"/>
    <cellStyle name="dp*ThinLineAbove 2" xfId="1138"/>
    <cellStyle name="dp*ThinLineAbove 3" xfId="1139"/>
    <cellStyle name="dp*ThinLineAbove 4" xfId="1140"/>
    <cellStyle name="dp*ThinLineBelow" xfId="1141"/>
    <cellStyle name="dp*XAxisTitle" xfId="1142"/>
    <cellStyle name="Eingabe" xfId="1143"/>
    <cellStyle name="Eingabe 2" xfId="1144"/>
    <cellStyle name="Entered" xfId="1145"/>
    <cellStyle name="Euro" xfId="1146"/>
    <cellStyle name="Excel_BuiltIn_Bad" xfId="1147"/>
    <cellStyle name="ExchangeRatio" xfId="1148"/>
    <cellStyle name="ExchangeRatio 2" xfId="1149"/>
    <cellStyle name="ExchangeRatio 2 2" xfId="1150"/>
    <cellStyle name="ExchangeRatio 3" xfId="1151"/>
    <cellStyle name="Ext link" xfId="1152"/>
    <cellStyle name="External link" xfId="1153"/>
    <cellStyle name="EY House" xfId="1154"/>
    <cellStyle name="Finanz" xfId="1155"/>
    <cellStyle name="Fixed" xfId="1156"/>
    <cellStyle name="fo]_x000d__x000a_UserName=Murat Zelef_x000d__x000a_UserCompany=Bumerang_x000d__x000a__x000d__x000a_[File Paths]_x000d__x000a_WorkingDirectory=C:\EQUIS\DLWIN_x000d__x000a_DownLoader=C" xfId="1157"/>
    <cellStyle name="Followed Hyperl?nk_1080099L.xls Chart 4" xfId="1158"/>
    <cellStyle name="Footnote" xfId="1159"/>
    <cellStyle name="footnote1" xfId="1160"/>
    <cellStyle name="Formula" xfId="1161"/>
    <cellStyle name="gelberHintergrund" xfId="1162"/>
    <cellStyle name="gelberHintergrund 2" xfId="1163"/>
    <cellStyle name="gelberHintergrund 2 2" xfId="1164"/>
    <cellStyle name="gelberHintergrund 3" xfId="1165"/>
    <cellStyle name="GPAFont" xfId="1166"/>
    <cellStyle name="Grey" xfId="1167"/>
    <cellStyle name="GWN Table Body" xfId="1168"/>
    <cellStyle name="GWN Table Header" xfId="1169"/>
    <cellStyle name="GWN Table Left Header" xfId="1170"/>
    <cellStyle name="GWN Table Note" xfId="1171"/>
    <cellStyle name="GWN Table Title" xfId="1172"/>
    <cellStyle name="H0" xfId="1173"/>
    <cellStyle name="h0 -Heading" xfId="1174"/>
    <cellStyle name="H1" xfId="1175"/>
    <cellStyle name="h1 -Heading" xfId="1176"/>
    <cellStyle name="H1_FAP Forecasting v1.03" xfId="1177"/>
    <cellStyle name="H2" xfId="1178"/>
    <cellStyle name="h2 -Heading" xfId="1179"/>
    <cellStyle name="H2_FAP Forecasting v1.03" xfId="1180"/>
    <cellStyle name="H3" xfId="1181"/>
    <cellStyle name="h3 -Heading" xfId="1182"/>
    <cellStyle name="H3_FAP Forecasting v1.03" xfId="1183"/>
    <cellStyle name="H4" xfId="1184"/>
    <cellStyle name="Hard input" xfId="1185"/>
    <cellStyle name="hard no" xfId="1186"/>
    <cellStyle name="hard no 2" xfId="1187"/>
    <cellStyle name="hard no 2 2" xfId="1188"/>
    <cellStyle name="hard no 3" xfId="1189"/>
    <cellStyle name="Hard Percent" xfId="1190"/>
    <cellStyle name="hardno" xfId="1191"/>
    <cellStyle name="hatched" xfId="1192"/>
    <cellStyle name="hatched 2" xfId="1193"/>
    <cellStyle name="hatched 2 2" xfId="1194"/>
    <cellStyle name="hatched 3" xfId="1195"/>
    <cellStyle name="Header" xfId="1196"/>
    <cellStyle name="Header1" xfId="1197"/>
    <cellStyle name="Header1 2" xfId="1198"/>
    <cellStyle name="Header2" xfId="1199"/>
    <cellStyle name="Header2 2" xfId="1200"/>
    <cellStyle name="Header2 3" xfId="1201"/>
    <cellStyle name="Header2 4" xfId="1202"/>
    <cellStyle name="headers" xfId="1203"/>
    <cellStyle name="Heading" xfId="1204"/>
    <cellStyle name="Heading 1 2" xfId="1205"/>
    <cellStyle name="Heading 2 2" xfId="1206"/>
    <cellStyle name="Heading 3 2" xfId="1207"/>
    <cellStyle name="Heading I" xfId="1208"/>
    <cellStyle name="Heading1" xfId="1209"/>
    <cellStyle name="Heading2" xfId="1210"/>
    <cellStyle name="Heading2 2" xfId="1211"/>
    <cellStyle name="HeadingS" xfId="1212"/>
    <cellStyle name="HeadingS 2" xfId="1213"/>
    <cellStyle name="HeadingS 2 2" xfId="1214"/>
    <cellStyle name="Headline1" xfId="1215"/>
    <cellStyle name="Headline2" xfId="1216"/>
    <cellStyle name="Headline3" xfId="1217"/>
    <cellStyle name="hellgrau" xfId="1218"/>
    <cellStyle name="hellgrauÜberschrift" xfId="1219"/>
    <cellStyle name="hellgrauÜberschrift 2" xfId="1220"/>
    <cellStyle name="Helv 10 Bold" xfId="1221"/>
    <cellStyle name="Helv 12 Bold" xfId="1222"/>
    <cellStyle name="Hidden Decimal 0,00" xfId="1223"/>
    <cellStyle name="HIGHLIGHT" xfId="1224"/>
    <cellStyle name="Historicals" xfId="1225"/>
    <cellStyle name="hours" xfId="1226"/>
    <cellStyle name="hp0 -Hyperlink" xfId="1227"/>
    <cellStyle name="hp1 -Hyperlink" xfId="1228"/>
    <cellStyle name="hp2 -Hyperlink" xfId="1229"/>
    <cellStyle name="hp3 -Hyperlink" xfId="1230"/>
    <cellStyle name="Hyperlink 2" xfId="1231"/>
    <cellStyle name="ic0 -InpComma" xfId="1232"/>
    <cellStyle name="ic1 -InpComma" xfId="1233"/>
    <cellStyle name="ic2 -InpComma" xfId="1234"/>
    <cellStyle name="ic3 -InpComma" xfId="1235"/>
    <cellStyle name="ic4 -InpComma" xfId="1236"/>
    <cellStyle name="iComma0" xfId="1237"/>
    <cellStyle name="iComma0 2" xfId="1238"/>
    <cellStyle name="iComma0 2 2" xfId="1239"/>
    <cellStyle name="iComma0 3" xfId="1240"/>
    <cellStyle name="iComma0 3 2" xfId="1241"/>
    <cellStyle name="iComma0 4" xfId="1242"/>
    <cellStyle name="iComma0 4 2" xfId="1243"/>
    <cellStyle name="iComma0 5" xfId="1244"/>
    <cellStyle name="iComma1" xfId="1245"/>
    <cellStyle name="iComma1 2" xfId="1246"/>
    <cellStyle name="iComma1 2 2" xfId="1247"/>
    <cellStyle name="iComma1 3" xfId="1248"/>
    <cellStyle name="iComma1 3 2" xfId="1249"/>
    <cellStyle name="iComma1 4" xfId="1250"/>
    <cellStyle name="iComma1 4 2" xfId="1251"/>
    <cellStyle name="iComma1 5" xfId="1252"/>
    <cellStyle name="iComma2" xfId="1253"/>
    <cellStyle name="iComma2 2" xfId="1254"/>
    <cellStyle name="iComma2 2 2" xfId="1255"/>
    <cellStyle name="iComma2 3" xfId="1256"/>
    <cellStyle name="iComma2 3 2" xfId="1257"/>
    <cellStyle name="iComma2 4" xfId="1258"/>
    <cellStyle name="iComma2 4 2" xfId="1259"/>
    <cellStyle name="iComma2 5" xfId="1260"/>
    <cellStyle name="iComma3" xfId="1261"/>
    <cellStyle name="iComma3 2" xfId="1262"/>
    <cellStyle name="iComma3 2 2" xfId="1263"/>
    <cellStyle name="iComma3 3" xfId="1264"/>
    <cellStyle name="iComma3 3 2" xfId="1265"/>
    <cellStyle name="iComma3 4" xfId="1266"/>
    <cellStyle name="iComma3 4 2" xfId="1267"/>
    <cellStyle name="iComma3 5" xfId="1268"/>
    <cellStyle name="iCurrency0" xfId="1269"/>
    <cellStyle name="iCurrency0 2" xfId="1270"/>
    <cellStyle name="iCurrency0 2 2" xfId="1271"/>
    <cellStyle name="iCurrency0 3" xfId="1272"/>
    <cellStyle name="iCurrency0 3 2" xfId="1273"/>
    <cellStyle name="iCurrency0 4" xfId="1274"/>
    <cellStyle name="iCurrency0 4 2" xfId="1275"/>
    <cellStyle name="iCurrency0 5" xfId="1276"/>
    <cellStyle name="iCurrency2" xfId="1277"/>
    <cellStyle name="iCurrency2 2" xfId="1278"/>
    <cellStyle name="iCurrency2 2 2" xfId="1279"/>
    <cellStyle name="iCurrency2 3" xfId="1280"/>
    <cellStyle name="iCurrency2 3 2" xfId="1281"/>
    <cellStyle name="iCurrency2 4" xfId="1282"/>
    <cellStyle name="iCurrency2 4 2" xfId="1283"/>
    <cellStyle name="iCurrency2 5" xfId="1284"/>
    <cellStyle name="iDateDM" xfId="1285"/>
    <cellStyle name="iDateDM 2" xfId="1286"/>
    <cellStyle name="iDateDM 2 2" xfId="1287"/>
    <cellStyle name="iDateDM 3" xfId="1288"/>
    <cellStyle name="iDateDM 3 2" xfId="1289"/>
    <cellStyle name="iDateDM 4" xfId="1290"/>
    <cellStyle name="iDateDM 4 2" xfId="1291"/>
    <cellStyle name="iDateDM 5" xfId="1292"/>
    <cellStyle name="iDateDMY" xfId="1293"/>
    <cellStyle name="iDateDMY 2" xfId="1294"/>
    <cellStyle name="iDateDMY 2 2" xfId="1295"/>
    <cellStyle name="iDateDMY 3" xfId="1296"/>
    <cellStyle name="iDateDMY 3 2" xfId="1297"/>
    <cellStyle name="iDateDMY 4" xfId="1298"/>
    <cellStyle name="iDateDMY 4 2" xfId="1299"/>
    <cellStyle name="iDateDMY 5" xfId="1300"/>
    <cellStyle name="iDateHM" xfId="1301"/>
    <cellStyle name="iDateHM 2" xfId="1302"/>
    <cellStyle name="iDateHM 2 2" xfId="1303"/>
    <cellStyle name="iDateHM 3" xfId="1304"/>
    <cellStyle name="iDateHM 3 2" xfId="1305"/>
    <cellStyle name="iDateHM 4" xfId="1306"/>
    <cellStyle name="iDateHM 4 2" xfId="1307"/>
    <cellStyle name="iDateHM 5" xfId="1308"/>
    <cellStyle name="iDateMY" xfId="1309"/>
    <cellStyle name="iDateMY 2" xfId="1310"/>
    <cellStyle name="iDateMY 2 2" xfId="1311"/>
    <cellStyle name="iDateMY 3" xfId="1312"/>
    <cellStyle name="iDateMY 3 2" xfId="1313"/>
    <cellStyle name="iDateMY 4" xfId="1314"/>
    <cellStyle name="iDateMY 4 2" xfId="1315"/>
    <cellStyle name="iDateMY 5" xfId="1316"/>
    <cellStyle name="iDateT24" xfId="1317"/>
    <cellStyle name="iDateT24 2" xfId="1318"/>
    <cellStyle name="iDateT24 2 2" xfId="1319"/>
    <cellStyle name="iDateT24 3" xfId="1320"/>
    <cellStyle name="iDateT24 3 2" xfId="1321"/>
    <cellStyle name="iDateT24 4" xfId="1322"/>
    <cellStyle name="iDateT24 4 2" xfId="1323"/>
    <cellStyle name="iDateT24 5" xfId="1324"/>
    <cellStyle name="idDMMY -InpDate" xfId="1325"/>
    <cellStyle name="idDMMYHM -InpDateTime" xfId="1326"/>
    <cellStyle name="idDMY -InpDate" xfId="1327"/>
    <cellStyle name="idMDY -InpDate" xfId="1328"/>
    <cellStyle name="idMMY -InpDate" xfId="1329"/>
    <cellStyle name="if0 -InpFixed" xfId="1330"/>
    <cellStyle name="if0b-InpFixedB" xfId="1331"/>
    <cellStyle name="iln -InpTableTextNoWrap" xfId="1332"/>
    <cellStyle name="ilnb-InpTableTextNoWrapB" xfId="1333"/>
    <cellStyle name="ilw -InpTableTextWrap" xfId="1334"/>
    <cellStyle name="imHM  -InpTime" xfId="1335"/>
    <cellStyle name="imHM24+ -InpTime" xfId="1336"/>
    <cellStyle name="Imput" xfId="1337"/>
    <cellStyle name="InLink" xfId="1338"/>
    <cellStyle name="input - no decimal" xfId="1339"/>
    <cellStyle name="Input %" xfId="1340"/>
    <cellStyle name="Input (0dp#)" xfId="1341"/>
    <cellStyle name="Input (0dp#) 2" xfId="1342"/>
    <cellStyle name="Input (0dp#) 2 2" xfId="1343"/>
    <cellStyle name="Input (0dp#) 3" xfId="1344"/>
    <cellStyle name="Input (0dp%)" xfId="1345"/>
    <cellStyle name="Input (0dp%) 2" xfId="1346"/>
    <cellStyle name="Input (0dp%) 2 2" xfId="1347"/>
    <cellStyle name="Input (0dp%) 3" xfId="1348"/>
    <cellStyle name="Input (1dp#)" xfId="1349"/>
    <cellStyle name="Input (1dp#) 2" xfId="1350"/>
    <cellStyle name="Input (1dp#) 2 2" xfId="1351"/>
    <cellStyle name="Input (1dp#) 3" xfId="1352"/>
    <cellStyle name="Input (1dp%)" xfId="1353"/>
    <cellStyle name="Input (1dp%) 2" xfId="1354"/>
    <cellStyle name="Input (1dp%) 2 2" xfId="1355"/>
    <cellStyle name="Input (1dp%) 3" xfId="1356"/>
    <cellStyle name="Input (1dpx)" xfId="1357"/>
    <cellStyle name="Input (1dpx) 2" xfId="1358"/>
    <cellStyle name="Input (1dpx) 2 2" xfId="1359"/>
    <cellStyle name="Input (1dpx) 3" xfId="1360"/>
    <cellStyle name="Input (2dp#)" xfId="1361"/>
    <cellStyle name="Input (2dp#) 2" xfId="1362"/>
    <cellStyle name="Input (2dp#) 2 2" xfId="1363"/>
    <cellStyle name="Input (2dp#) 3" xfId="1364"/>
    <cellStyle name="Input (2dp%)" xfId="1365"/>
    <cellStyle name="Input (2dp%) 2" xfId="1366"/>
    <cellStyle name="Input (2dp%) 2 2" xfId="1367"/>
    <cellStyle name="Input (2dp%) 3" xfId="1368"/>
    <cellStyle name="Input [%]" xfId="1369"/>
    <cellStyle name="Input [%] 2" xfId="1370"/>
    <cellStyle name="Input [%] 2 2" xfId="1371"/>
    <cellStyle name="Input [%] 3" xfId="1372"/>
    <cellStyle name="Input [%0]" xfId="1373"/>
    <cellStyle name="Input [%0] 2" xfId="1374"/>
    <cellStyle name="Input [%0] 2 2" xfId="1375"/>
    <cellStyle name="Input [%0] 3" xfId="1376"/>
    <cellStyle name="Input [%00]" xfId="1377"/>
    <cellStyle name="Input [%00] 2" xfId="1378"/>
    <cellStyle name="Input [%00] 2 2" xfId="1379"/>
    <cellStyle name="Input [%00] 3" xfId="1380"/>
    <cellStyle name="Input [0]" xfId="1381"/>
    <cellStyle name="Input [0] 2" xfId="1382"/>
    <cellStyle name="Input [0] 2 2" xfId="1383"/>
    <cellStyle name="Input [0] 3" xfId="1384"/>
    <cellStyle name="Input [00]" xfId="1385"/>
    <cellStyle name="Input [00] 2" xfId="1386"/>
    <cellStyle name="Input [00] 2 2" xfId="1387"/>
    <cellStyle name="Input [00] 3" xfId="1388"/>
    <cellStyle name="Input [yellow]" xfId="1389"/>
    <cellStyle name="Input [yellow] 2" xfId="1390"/>
    <cellStyle name="Input [yellow] 2 2" xfId="1391"/>
    <cellStyle name="Input [yellow] 3" xfId="1392"/>
    <cellStyle name="Input 0" xfId="1393"/>
    <cellStyle name="Input 0,0" xfId="1394"/>
    <cellStyle name="Input calculation" xfId="1395"/>
    <cellStyle name="Input data" xfId="1396"/>
    <cellStyle name="Input data 2" xfId="1397"/>
    <cellStyle name="Input data 2 2" xfId="1398"/>
    <cellStyle name="Input data 3" xfId="1399"/>
    <cellStyle name="Input data 3 2" xfId="1400"/>
    <cellStyle name="Input data 4" xfId="1401"/>
    <cellStyle name="Input data 4 2" xfId="1402"/>
    <cellStyle name="Input data 5" xfId="1403"/>
    <cellStyle name="Input Decimal 0" xfId="1404"/>
    <cellStyle name="Input Decimal 0,00" xfId="1405"/>
    <cellStyle name="Input Decimal 0_7.2.3. CAPEX" xfId="1406"/>
    <cellStyle name="Input estimate" xfId="1407"/>
    <cellStyle name="Input estimate 2" xfId="1408"/>
    <cellStyle name="Input estimate 2 2" xfId="1409"/>
    <cellStyle name="Input estimate 3" xfId="1410"/>
    <cellStyle name="Input estimate 3 2" xfId="1411"/>
    <cellStyle name="Input estimate 4" xfId="1412"/>
    <cellStyle name="Input estimate 4 2" xfId="1413"/>
    <cellStyle name="Input estimate 5" xfId="1414"/>
    <cellStyle name="Input from Scenario" xfId="1415"/>
    <cellStyle name="Input from Scenario 2" xfId="1416"/>
    <cellStyle name="Input from Scenario 2 2" xfId="1417"/>
    <cellStyle name="Input from Scenario 3" xfId="1418"/>
    <cellStyle name="Input from Scenario 3 2" xfId="1419"/>
    <cellStyle name="Input from Scenario 4" xfId="1420"/>
    <cellStyle name="Input from Scenario 4 2" xfId="1421"/>
    <cellStyle name="Input from Scenario 5" xfId="1422"/>
    <cellStyle name="Input link" xfId="1423"/>
    <cellStyle name="Input link (different workbook)" xfId="1424"/>
    <cellStyle name="Input Link_FAP Forecasting v1.03" xfId="1425"/>
    <cellStyle name="Input parameter" xfId="1426"/>
    <cellStyle name="Input parameter 2" xfId="1427"/>
    <cellStyle name="Input parameter 2 2" xfId="1428"/>
    <cellStyle name="Input parameter 3" xfId="1429"/>
    <cellStyle name="Input parameter 3 2" xfId="1430"/>
    <cellStyle name="Input parameter 4" xfId="1431"/>
    <cellStyle name="Input parameter 4 2" xfId="1432"/>
    <cellStyle name="Input parameter 5" xfId="1433"/>
    <cellStyle name="Input Percent 0" xfId="1434"/>
    <cellStyle name="Input Percent 0,00" xfId="1435"/>
    <cellStyle name="Input Percent 0_0309 XI" xfId="1436"/>
    <cellStyle name="Input to be checked" xfId="1437"/>
    <cellStyle name="Input to be checked 2" xfId="1438"/>
    <cellStyle name="Input to be checked 2 2" xfId="1439"/>
    <cellStyle name="Input to be checked 3" xfId="1440"/>
    <cellStyle name="Input to be checked 3 2" xfId="1441"/>
    <cellStyle name="Input to be checked 4" xfId="1442"/>
    <cellStyle name="Input to be checked 4 2" xfId="1443"/>
    <cellStyle name="Input to be checked 5" xfId="1444"/>
    <cellStyle name="Input%" xfId="1445"/>
    <cellStyle name="Input, 0 dec" xfId="1446"/>
    <cellStyle name="Input, 1 dec" xfId="1447"/>
    <cellStyle name="Input, 2 dec" xfId="1448"/>
    <cellStyle name="Input[#]" xfId="1449"/>
    <cellStyle name="Input0" xfId="1450"/>
    <cellStyle name="InputBlueFont" xfId="1451"/>
    <cellStyle name="InputDate" xfId="1452"/>
    <cellStyle name="InputDecimal" xfId="1453"/>
    <cellStyle name="InputDecimal 2" xfId="1454"/>
    <cellStyle name="InputValue" xfId="1455"/>
    <cellStyle name="Integer" xfId="1456"/>
    <cellStyle name="Invisible" xfId="1457"/>
    <cellStyle name="Invisible 2" xfId="1458"/>
    <cellStyle name="ip0 -InpPercent" xfId="1459"/>
    <cellStyle name="ip1 -InpPercent" xfId="1460"/>
    <cellStyle name="ip2 -InpPercent" xfId="1461"/>
    <cellStyle name="ip3 -InpPercent" xfId="1462"/>
    <cellStyle name="iParenth0" xfId="1463"/>
    <cellStyle name="iParenth0 2" xfId="1464"/>
    <cellStyle name="iParenth0 2 2" xfId="1465"/>
    <cellStyle name="iParenth0 3" xfId="1466"/>
    <cellStyle name="iParenth0 3 2" xfId="1467"/>
    <cellStyle name="iParenth0 4" xfId="1468"/>
    <cellStyle name="iParenth0 4 2" xfId="1469"/>
    <cellStyle name="iParenth0 5" xfId="1470"/>
    <cellStyle name="iParenth2" xfId="1471"/>
    <cellStyle name="iParenth2 2" xfId="1472"/>
    <cellStyle name="iParenth2 2 2" xfId="1473"/>
    <cellStyle name="iParenth2 3" xfId="1474"/>
    <cellStyle name="iParenth2 3 2" xfId="1475"/>
    <cellStyle name="iParenth2 4" xfId="1476"/>
    <cellStyle name="iParenth2 4 2" xfId="1477"/>
    <cellStyle name="iParenth2 5" xfId="1478"/>
    <cellStyle name="iPercent0" xfId="1479"/>
    <cellStyle name="iPercent0 2" xfId="1480"/>
    <cellStyle name="iPercent0 2 2" xfId="1481"/>
    <cellStyle name="iPercent0 3" xfId="1482"/>
    <cellStyle name="iPercent0 3 2" xfId="1483"/>
    <cellStyle name="iPercent0 4" xfId="1484"/>
    <cellStyle name="iPercent0 4 2" xfId="1485"/>
    <cellStyle name="iPercent0 5" xfId="1486"/>
    <cellStyle name="iPercent1" xfId="1487"/>
    <cellStyle name="iPercent1 2" xfId="1488"/>
    <cellStyle name="iPercent1 2 2" xfId="1489"/>
    <cellStyle name="iPercent1 3" xfId="1490"/>
    <cellStyle name="iPercent1 3 2" xfId="1491"/>
    <cellStyle name="iPercent1 4" xfId="1492"/>
    <cellStyle name="iPercent1 4 2" xfId="1493"/>
    <cellStyle name="iPercent1 5" xfId="1494"/>
    <cellStyle name="iPercent2" xfId="1495"/>
    <cellStyle name="iPercent2 2" xfId="1496"/>
    <cellStyle name="iPercent2 2 2" xfId="1497"/>
    <cellStyle name="iPercent2 3" xfId="1498"/>
    <cellStyle name="iPercent2 3 2" xfId="1499"/>
    <cellStyle name="iPercent2 4" xfId="1500"/>
    <cellStyle name="iPercent2 4 2" xfId="1501"/>
    <cellStyle name="iPercent2 5" xfId="1502"/>
    <cellStyle name="ir0 -InpCurr" xfId="1503"/>
    <cellStyle name="ir1 -InpCurr" xfId="1504"/>
    <cellStyle name="ir2 -InpCurr" xfId="1505"/>
    <cellStyle name="ir3 -InpCurr" xfId="1506"/>
    <cellStyle name="ir4 -InpCurr" xfId="1507"/>
    <cellStyle name="iRed0" xfId="1508"/>
    <cellStyle name="iRed0 2" xfId="1509"/>
    <cellStyle name="iRed0 2 2" xfId="1510"/>
    <cellStyle name="iRed0 3" xfId="1511"/>
    <cellStyle name="iRed0 3 2" xfId="1512"/>
    <cellStyle name="iRed0 4" xfId="1513"/>
    <cellStyle name="iRed0 4 2" xfId="1514"/>
    <cellStyle name="iRed0 5" xfId="1515"/>
    <cellStyle name="iRed2" xfId="1516"/>
    <cellStyle name="iRed2 2" xfId="1517"/>
    <cellStyle name="iRed2 2 2" xfId="1518"/>
    <cellStyle name="iRed2 3" xfId="1519"/>
    <cellStyle name="iRed2 3 2" xfId="1520"/>
    <cellStyle name="iRed2 4" xfId="1521"/>
    <cellStyle name="iRed2 4 2" xfId="1522"/>
    <cellStyle name="iRed2 5" xfId="1523"/>
    <cellStyle name="is0 -InpSideText" xfId="1524"/>
    <cellStyle name="is1 -InpSideText" xfId="1525"/>
    <cellStyle name="is2 -InpSideText" xfId="1526"/>
    <cellStyle name="is3 -InpSideText" xfId="1527"/>
    <cellStyle name="is4 -InpSideText" xfId="1528"/>
    <cellStyle name="Item" xfId="1529"/>
    <cellStyle name="Items_Optional" xfId="1530"/>
    <cellStyle name="ItemTypeClass" xfId="1531"/>
    <cellStyle name="ItemTypeClass 2" xfId="1532"/>
    <cellStyle name="ItemTypeClass 2 2" xfId="1533"/>
    <cellStyle name="ItemTypeClass 3" xfId="1534"/>
    <cellStyle name="ItemTypeClass 3 2" xfId="1535"/>
    <cellStyle name="ItemTypeClass 4" xfId="1536"/>
    <cellStyle name="ItemTypeClass 4 2" xfId="1537"/>
    <cellStyle name="ItemTypeClass 5" xfId="1538"/>
    <cellStyle name="iTextGenProt" xfId="1539"/>
    <cellStyle name="iTextGenProt 2" xfId="1540"/>
    <cellStyle name="iTextGenProt 2 2" xfId="1541"/>
    <cellStyle name="iTextGenProt 3" xfId="1542"/>
    <cellStyle name="iTextGenProt 3 2" xfId="1543"/>
    <cellStyle name="iTextGenProt 4" xfId="1544"/>
    <cellStyle name="iTextGenProt 4 2" xfId="1545"/>
    <cellStyle name="iTextGenProt 5" xfId="1546"/>
    <cellStyle name="iTextGenWrap" xfId="1547"/>
    <cellStyle name="iTextGenWrap 2" xfId="1548"/>
    <cellStyle name="iTextGenWrap 2 2" xfId="1549"/>
    <cellStyle name="iTextGenWrap 3" xfId="1550"/>
    <cellStyle name="iTextGenWrap 3 2" xfId="1551"/>
    <cellStyle name="iTextGenWrap 4" xfId="1552"/>
    <cellStyle name="iTextGenWrap 4 2" xfId="1553"/>
    <cellStyle name="iTextGenWrap 5" xfId="1554"/>
    <cellStyle name="iTextSm" xfId="1555"/>
    <cellStyle name="iTextSm 2" xfId="1556"/>
    <cellStyle name="iTextSm 2 2" xfId="1557"/>
    <cellStyle name="iTextSm 3" xfId="1558"/>
    <cellStyle name="iTextSm 3 2" xfId="1559"/>
    <cellStyle name="iTextSm 4" xfId="1560"/>
    <cellStyle name="iTextSm 4 2" xfId="1561"/>
    <cellStyle name="iTextSm 5" xfId="1562"/>
    <cellStyle name="itn -InpTopTextNoWrap" xfId="1563"/>
    <cellStyle name="itw -InpTopTextWrap" xfId="1564"/>
    <cellStyle name="J.P.M. input" xfId="1565"/>
    <cellStyle name="James" xfId="1566"/>
    <cellStyle name="Jun" xfId="1567"/>
    <cellStyle name="Komma [0]_KPN" xfId="1568"/>
    <cellStyle name="Komma_KPN" xfId="1569"/>
    <cellStyle name="Kostenstelle" xfId="1570"/>
    <cellStyle name="Kostenstelle 2" xfId="1571"/>
    <cellStyle name="Kostenstelle 2 2" xfId="1572"/>
    <cellStyle name="Kostenstelle 3" xfId="1573"/>
    <cellStyle name="KPMG Heading 1" xfId="1574"/>
    <cellStyle name="KPMG Heading 2" xfId="1575"/>
    <cellStyle name="KPMG Heading 3" xfId="1576"/>
    <cellStyle name="KPMG Heading 4" xfId="1577"/>
    <cellStyle name="KPMG Normal" xfId="1578"/>
    <cellStyle name="KPMG Normal Text" xfId="1579"/>
    <cellStyle name="Label" xfId="1580"/>
    <cellStyle name="Level 3 Account Name" xfId="1581"/>
    <cellStyle name="Level 6 Account" xfId="1582"/>
    <cellStyle name="light_blue_highlight" xfId="1583"/>
    <cellStyle name="Line" xfId="1584"/>
    <cellStyle name="ltn -TableTextNoWrap" xfId="1585"/>
    <cellStyle name="ltw -TableTextWrap" xfId="1586"/>
    <cellStyle name="m" xfId="1587"/>
    <cellStyle name="m_GermanyHo" xfId="1588"/>
    <cellStyle name="Main heading" xfId="1589"/>
    <cellStyle name="MainHeading" xfId="1590"/>
    <cellStyle name="Margin" xfId="1591"/>
    <cellStyle name="Margin &amp; Growth" xfId="1592"/>
    <cellStyle name="Margin_2+10 CEO Country review template v1" xfId="1593"/>
    <cellStyle name="max" xfId="1594"/>
    <cellStyle name="Message" xfId="1595"/>
    <cellStyle name="Migliaia (0)" xfId="1596"/>
    <cellStyle name="Millares [0]_Asset Mgmt " xfId="1597"/>
    <cellStyle name="Millares_Asset Mgmt " xfId="1598"/>
    <cellStyle name="Milliers [0]_!!!GO" xfId="1599"/>
    <cellStyle name="Milliers_!!!GO" xfId="1600"/>
    <cellStyle name="Million" xfId="1601"/>
    <cellStyle name="Millions" xfId="1602"/>
    <cellStyle name="min" xfId="1603"/>
    <cellStyle name="mine" xfId="1604"/>
    <cellStyle name="mit Punkten" xfId="1605"/>
    <cellStyle name="mit Punkten 2" xfId="1606"/>
    <cellStyle name="mmm yy" xfId="1607"/>
    <cellStyle name="Model" xfId="1608"/>
    <cellStyle name="Model 2" xfId="1609"/>
    <cellStyle name="Mon?aire [0]_!!!GO" xfId="1610"/>
    <cellStyle name="Mon?aire_!!!GO" xfId="1611"/>
    <cellStyle name="Moneda [0]_Asset Mgmt " xfId="1612"/>
    <cellStyle name="Moneda_Asset Mgmt " xfId="1613"/>
    <cellStyle name="Monétaire [0]_!!!GO" xfId="1614"/>
    <cellStyle name="Monétaire_!!!GO" xfId="1615"/>
    <cellStyle name="month" xfId="1616"/>
    <cellStyle name="months" xfId="1617"/>
    <cellStyle name="Mon騁aire [0]_!!!GO" xfId="1618"/>
    <cellStyle name="Mon騁aire_!!!GO" xfId="1619"/>
    <cellStyle name="MSectionHeadings" xfId="1620"/>
    <cellStyle name="Mult" xfId="1621"/>
    <cellStyle name="Mult No x" xfId="1622"/>
    <cellStyle name="Mult No x 2" xfId="1623"/>
    <cellStyle name="Mult With x" xfId="1624"/>
    <cellStyle name="Mult With x 2" xfId="1625"/>
    <cellStyle name="Multiple" xfId="1626"/>
    <cellStyle name="Multiple (no x)" xfId="1627"/>
    <cellStyle name="Multiple [0]" xfId="1628"/>
    <cellStyle name="Multiple [1]" xfId="1629"/>
    <cellStyle name="Multiple, 1 dec" xfId="1630"/>
    <cellStyle name="Multiple, 2 dec" xfId="1631"/>
    <cellStyle name="Multiple_050301 Camel operational model V1" xfId="1632"/>
    <cellStyle name="MW" xfId="1633"/>
    <cellStyle name="MWth" xfId="1634"/>
    <cellStyle name="Na" xfId="1635"/>
    <cellStyle name="Name" xfId="1636"/>
    <cellStyle name="Name for range" xfId="1637"/>
    <cellStyle name="nbr" xfId="1638"/>
    <cellStyle name="neg0.0" xfId="1639"/>
    <cellStyle name="no" xfId="1640"/>
    <cellStyle name="no 2" xfId="1641"/>
    <cellStyle name="no 2 2" xfId="1642"/>
    <cellStyle name="no 3" xfId="1643"/>
    <cellStyle name="No border" xfId="1644"/>
    <cellStyle name="no dec" xfId="1645"/>
    <cellStyle name="Non input" xfId="1646"/>
    <cellStyle name="Non_Input_Cell_Figures" xfId="1647"/>
    <cellStyle name="NonDataEntry" xfId="1648"/>
    <cellStyle name="Nor?al_bt" xfId="1649"/>
    <cellStyle name="Nor}al_Sheet1 (2)" xfId="1650"/>
    <cellStyle name="Normal - Style1" xfId="1651"/>
    <cellStyle name="Normal - sub-total" xfId="1652"/>
    <cellStyle name="Normal - sub-total 2" xfId="1653"/>
    <cellStyle name="Normal - sub-total 3" xfId="1654"/>
    <cellStyle name="Normal - sub-total 4" xfId="1655"/>
    <cellStyle name="Normal - title" xfId="1656"/>
    <cellStyle name="Normal - total" xfId="1657"/>
    <cellStyle name="Normal - total 2" xfId="1658"/>
    <cellStyle name="Normal - total 2 2" xfId="1659"/>
    <cellStyle name="Normal - total 3" xfId="1660"/>
    <cellStyle name="Normal #" xfId="1661"/>
    <cellStyle name="Normal [x]" xfId="1662"/>
    <cellStyle name="Normal 10" xfId="1663"/>
    <cellStyle name="Normal 11" xfId="1664"/>
    <cellStyle name="Normal 11 2" xfId="1665"/>
    <cellStyle name="Normal 2" xfId="1666"/>
    <cellStyle name="Normal 2 13" xfId="1667"/>
    <cellStyle name="Normal 2 13 2" xfId="1668"/>
    <cellStyle name="Normal 2 13 3" xfId="1669"/>
    <cellStyle name="Normal 23" xfId="1670"/>
    <cellStyle name="Normal 24" xfId="1671"/>
    <cellStyle name="Normal 25" xfId="1672"/>
    <cellStyle name="Normal 26" xfId="1673"/>
    <cellStyle name="Normal 26 2" xfId="1674"/>
    <cellStyle name="Normal 3" xfId="1675"/>
    <cellStyle name="Normal 3 2" xfId="1676"/>
    <cellStyle name="Normal 4" xfId="1677"/>
    <cellStyle name="Normal 5" xfId="1678"/>
    <cellStyle name="Normal 6" xfId="1679"/>
    <cellStyle name="Normal 7" xfId="1680"/>
    <cellStyle name="Normal 8" xfId="1681"/>
    <cellStyle name="Normal 9" xfId="1682"/>
    <cellStyle name="Normal bold" xfId="1683"/>
    <cellStyle name="Normal Italics" xfId="1684"/>
    <cellStyle name="Normal Link" xfId="1685"/>
    <cellStyle name="Normal new" xfId="1686"/>
    <cellStyle name="normal2" xfId="1687"/>
    <cellStyle name="NormalNumber%" xfId="1688"/>
    <cellStyle name="Normalny_statystyka, planning data_robert" xfId="1689"/>
    <cellStyle name="Nor㟭al_bt" xfId="1690"/>
    <cellStyle name="Notes" xfId="1691"/>
    <cellStyle name="Notes 2" xfId="1692"/>
    <cellStyle name="nPloded_Lines" xfId="1693"/>
    <cellStyle name="nplosion" xfId="1694"/>
    <cellStyle name="Nr 0 dec" xfId="1695"/>
    <cellStyle name="Nr 0 dec - Input" xfId="1696"/>
    <cellStyle name="Nr 0 dec - Subtotal" xfId="1697"/>
    <cellStyle name="Nr 0 dec - Subtotal 2" xfId="1698"/>
    <cellStyle name="Nr 0 dec - Subtotal 3" xfId="1699"/>
    <cellStyle name="Nr 0 dec - Subtotal 4" xfId="1700"/>
    <cellStyle name="Nr 0 dec_2+10 CEO Country review template v1" xfId="1701"/>
    <cellStyle name="Nr 1 dec" xfId="1702"/>
    <cellStyle name="Nr 1 dec - Input" xfId="1703"/>
    <cellStyle name="Nr, 0 dec" xfId="1704"/>
    <cellStyle name="Num0Un" xfId="1705"/>
    <cellStyle name="Num1" xfId="1706"/>
    <cellStyle name="Num2" xfId="1707"/>
    <cellStyle name="Num2Un" xfId="1708"/>
    <cellStyle name="Number" xfId="1709"/>
    <cellStyle name="Number (2dp)" xfId="1710"/>
    <cellStyle name="Number 0d" xfId="1711"/>
    <cellStyle name="Number 1 dec." xfId="1712"/>
    <cellStyle name="Number 1 dec. semi-bord" xfId="1713"/>
    <cellStyle name="Number 1 dec. semi-bord 2" xfId="1714"/>
    <cellStyle name="Number 1 dec._2+10 CEO Country review template v1" xfId="1715"/>
    <cellStyle name="Number 1d" xfId="1716"/>
    <cellStyle name="Number 2" xfId="1717"/>
    <cellStyle name="Number 2d" xfId="1718"/>
    <cellStyle name="Number 3" xfId="1719"/>
    <cellStyle name="Number 3d" xfId="1720"/>
    <cellStyle name="Number 4" xfId="1721"/>
    <cellStyle name="Number 5" xfId="1722"/>
    <cellStyle name="Number, 0 dec" xfId="1723"/>
    <cellStyle name="Number, 1 dec" xfId="1724"/>
    <cellStyle name="Number, 2 dec" xfId="1725"/>
    <cellStyle name="Number,1d" xfId="1726"/>
    <cellStyle name="Number_FAP Forecasting v1.03" xfId="1727"/>
    <cellStyle name="Numeric point input" xfId="1728"/>
    <cellStyle name="Numeric point input 2" xfId="1729"/>
    <cellStyle name="Numeric point input 2 2" xfId="1730"/>
    <cellStyle name="Numeric point input 3" xfId="1731"/>
    <cellStyle name="numero input" xfId="1732"/>
    <cellStyle name="numero normal" xfId="1733"/>
    <cellStyle name="OK" xfId="1734"/>
    <cellStyle name="OK 2" xfId="1735"/>
    <cellStyle name="OK 2 2" xfId="1736"/>
    <cellStyle name="OK 3" xfId="1737"/>
    <cellStyle name="Onedec" xfId="1738"/>
    <cellStyle name="Option" xfId="1739"/>
    <cellStyle name="Output (1dp#)" xfId="1740"/>
    <cellStyle name="Output Amounts" xfId="1741"/>
    <cellStyle name="Output Column Headings" xfId="1742"/>
    <cellStyle name="Output Line Items" xfId="1743"/>
    <cellStyle name="Output Line Items 2" xfId="1744"/>
    <cellStyle name="Output Line Items 2 2" xfId="1745"/>
    <cellStyle name="Output Line Items 2 2 2" xfId="1746"/>
    <cellStyle name="Output Line Items 3" xfId="1747"/>
    <cellStyle name="Output Line Items 3 2" xfId="1748"/>
    <cellStyle name="Output Report Heading" xfId="1749"/>
    <cellStyle name="Output Report Title" xfId="1750"/>
    <cellStyle name="Page Heading" xfId="1751"/>
    <cellStyle name="Page Number" xfId="1752"/>
    <cellStyle name="PALATINO" xfId="1753"/>
    <cellStyle name="pb_page_heading_LS" xfId="1754"/>
    <cellStyle name="Perc1" xfId="1755"/>
    <cellStyle name="Percent (0)" xfId="1756"/>
    <cellStyle name="Percent (0.0)" xfId="1757"/>
    <cellStyle name="Percent (0.00)" xfId="1758"/>
    <cellStyle name="Percent [0]" xfId="1759"/>
    <cellStyle name="Percent [2]" xfId="1760"/>
    <cellStyle name="Percent 0" xfId="1761"/>
    <cellStyle name="Percent 0,00" xfId="1762"/>
    <cellStyle name="Percent 0_0309 XI" xfId="1763"/>
    <cellStyle name="Percent 1 dec - Input" xfId="1764"/>
    <cellStyle name="Percent 1 dec_Data" xfId="1765"/>
    <cellStyle name="Percent 1d" xfId="1766"/>
    <cellStyle name="Percent 2" xfId="1767"/>
    <cellStyle name="Percent 2 2" xfId="1768"/>
    <cellStyle name="Percent 3" xfId="1769"/>
    <cellStyle name="Percent 4" xfId="1770"/>
    <cellStyle name="Percent 5" xfId="1771"/>
    <cellStyle name="Percent 6" xfId="1772"/>
    <cellStyle name="Percent 7" xfId="1773"/>
    <cellStyle name="Percent 8" xfId="1774"/>
    <cellStyle name="Percent Hard" xfId="1775"/>
    <cellStyle name="Percent, 0 dec" xfId="1776"/>
    <cellStyle name="Percent, 1 dec" xfId="1777"/>
    <cellStyle name="Percent, 2 dec" xfId="1778"/>
    <cellStyle name="Percent, bp" xfId="1779"/>
    <cellStyle name="Percent-0.0%" xfId="1780"/>
    <cellStyle name="Percentage" xfId="1781"/>
    <cellStyle name="Percentage (2dp)" xfId="1782"/>
    <cellStyle name="Percentage_FAP Forecasting v1.03" xfId="1783"/>
    <cellStyle name="PercentChange" xfId="1784"/>
    <cellStyle name="Percent-no dec" xfId="1785"/>
    <cellStyle name="phasing" xfId="1786"/>
    <cellStyle name="point variable" xfId="1787"/>
    <cellStyle name="Price" xfId="1788"/>
    <cellStyle name="PriceUn" xfId="1789"/>
    <cellStyle name="Procent_Chart Value license with wacc" xfId="1790"/>
    <cellStyle name="Profit figure" xfId="1791"/>
    <cellStyle name="Profit_Loss" xfId="1792"/>
    <cellStyle name="Prozent +line" xfId="1793"/>
    <cellStyle name="Prozent +line 2" xfId="1794"/>
    <cellStyle name="Prozent 0,0" xfId="1795"/>
    <cellStyle name="Prozent 0,00" xfId="1796"/>
    <cellStyle name="Prozent(+line)" xfId="1797"/>
    <cellStyle name="Prozent(+line) 2" xfId="1798"/>
    <cellStyle name="Prozent_01_delta03_V47_KORR_21.8." xfId="1799"/>
    <cellStyle name="PSChar" xfId="1800"/>
    <cellStyle name="PSDate" xfId="1801"/>
    <cellStyle name="PSDec" xfId="1802"/>
    <cellStyle name="PSHeading" xfId="1803"/>
    <cellStyle name="PSHeading 2" xfId="1804"/>
    <cellStyle name="PSInt" xfId="1805"/>
    <cellStyle name="PSSpacer" xfId="1806"/>
    <cellStyle name="Pub percent" xfId="1807"/>
    <cellStyle name="r" xfId="1808"/>
    <cellStyle name="RatioX" xfId="1809"/>
    <cellStyle name="Rechnungsnummer" xfId="1810"/>
    <cellStyle name="Ref Numbers" xfId="1811"/>
    <cellStyle name="Reference" xfId="1812"/>
    <cellStyle name="Reference (O%)" xfId="1813"/>
    <cellStyle name="Reference [00]" xfId="1814"/>
    <cellStyle name="Reference_0309 XI" xfId="1815"/>
    <cellStyle name="Results" xfId="1816"/>
    <cellStyle name="Results 2" xfId="1817"/>
    <cellStyle name="Results 2 2" xfId="1818"/>
    <cellStyle name="RevList" xfId="1819"/>
    <cellStyle name="Rmess" xfId="1820"/>
    <cellStyle name="Rnumber" xfId="1821"/>
    <cellStyle name="Rnumber 0d" xfId="1822"/>
    <cellStyle name="Rnumber_1907 Fixedline comps31" xfId="1823"/>
    <cellStyle name="Route1" xfId="1824"/>
    <cellStyle name="Row label" xfId="1825"/>
    <cellStyle name="Row label (indent)" xfId="1826"/>
    <cellStyle name="SAPBEXaggData" xfId="1827"/>
    <cellStyle name="SAPBEXaggData 2" xfId="1828"/>
    <cellStyle name="SAPBEXaggData 2 2" xfId="1829"/>
    <cellStyle name="SAPBEXaggData 3" xfId="1830"/>
    <cellStyle name="SAPBEXaggData 3 2" xfId="1831"/>
    <cellStyle name="SAPBEXaggData 4" xfId="1832"/>
    <cellStyle name="SAPBEXaggData 4 2" xfId="1833"/>
    <cellStyle name="SAPBEXaggData 5" xfId="1834"/>
    <cellStyle name="SAPBEXaggDataEmph" xfId="1835"/>
    <cellStyle name="SAPBEXaggDataEmph 2" xfId="1836"/>
    <cellStyle name="SAPBEXaggDataEmph 2 2" xfId="1837"/>
    <cellStyle name="SAPBEXaggDataEmph 3" xfId="1838"/>
    <cellStyle name="SAPBEXaggDataEmph 3 2" xfId="1839"/>
    <cellStyle name="SAPBEXaggDataEmph 4" xfId="1840"/>
    <cellStyle name="SAPBEXaggDataEmph 4 2" xfId="1841"/>
    <cellStyle name="SAPBEXaggDataEmph 5" xfId="1842"/>
    <cellStyle name="SAPBEXaggItem" xfId="1843"/>
    <cellStyle name="SAPBEXaggItem 2" xfId="1844"/>
    <cellStyle name="SAPBEXaggItem 2 2" xfId="1845"/>
    <cellStyle name="SAPBEXaggItem 3" xfId="1846"/>
    <cellStyle name="SAPBEXaggItem 3 2" xfId="1847"/>
    <cellStyle name="SAPBEXaggItem 4" xfId="1848"/>
    <cellStyle name="SAPBEXaggItem 4 2" xfId="1849"/>
    <cellStyle name="SAPBEXaggItem 5" xfId="1850"/>
    <cellStyle name="SAPBEXaggItemX" xfId="1851"/>
    <cellStyle name="SAPBEXaggItemX 2" xfId="1852"/>
    <cellStyle name="SAPBEXaggItemX 2 2" xfId="1853"/>
    <cellStyle name="SAPBEXaggItemX 3" xfId="1854"/>
    <cellStyle name="SAPBEXaggItemX 3 2" xfId="1855"/>
    <cellStyle name="SAPBEXaggItemX 4" xfId="1856"/>
    <cellStyle name="SAPBEXaggItemX 4 2" xfId="1857"/>
    <cellStyle name="SAPBEXaggItemX 5" xfId="1858"/>
    <cellStyle name="SAPBEXchaText" xfId="1859"/>
    <cellStyle name="SAPBEXexcBad7" xfId="1860"/>
    <cellStyle name="SAPBEXexcBad7 2" xfId="1861"/>
    <cellStyle name="SAPBEXexcBad7 2 2" xfId="1862"/>
    <cellStyle name="SAPBEXexcBad7 3" xfId="1863"/>
    <cellStyle name="SAPBEXexcBad7 3 2" xfId="1864"/>
    <cellStyle name="SAPBEXexcBad7 4" xfId="1865"/>
    <cellStyle name="SAPBEXexcBad7 4 2" xfId="1866"/>
    <cellStyle name="SAPBEXexcBad7 5" xfId="1867"/>
    <cellStyle name="SAPBEXexcBad8" xfId="1868"/>
    <cellStyle name="SAPBEXexcBad8 2" xfId="1869"/>
    <cellStyle name="SAPBEXexcBad8 2 2" xfId="1870"/>
    <cellStyle name="SAPBEXexcBad8 3" xfId="1871"/>
    <cellStyle name="SAPBEXexcBad8 3 2" xfId="1872"/>
    <cellStyle name="SAPBEXexcBad8 4" xfId="1873"/>
    <cellStyle name="SAPBEXexcBad8 4 2" xfId="1874"/>
    <cellStyle name="SAPBEXexcBad8 5" xfId="1875"/>
    <cellStyle name="SAPBEXexcBad9" xfId="1876"/>
    <cellStyle name="SAPBEXexcBad9 2" xfId="1877"/>
    <cellStyle name="SAPBEXexcBad9 2 2" xfId="1878"/>
    <cellStyle name="SAPBEXexcBad9 3" xfId="1879"/>
    <cellStyle name="SAPBEXexcBad9 3 2" xfId="1880"/>
    <cellStyle name="SAPBEXexcBad9 4" xfId="1881"/>
    <cellStyle name="SAPBEXexcBad9 4 2" xfId="1882"/>
    <cellStyle name="SAPBEXexcBad9 5" xfId="1883"/>
    <cellStyle name="SAPBEXexcCritical4" xfId="1884"/>
    <cellStyle name="SAPBEXexcCritical4 2" xfId="1885"/>
    <cellStyle name="SAPBEXexcCritical4 2 2" xfId="1886"/>
    <cellStyle name="SAPBEXexcCritical4 3" xfId="1887"/>
    <cellStyle name="SAPBEXexcCritical4 3 2" xfId="1888"/>
    <cellStyle name="SAPBEXexcCritical4 4" xfId="1889"/>
    <cellStyle name="SAPBEXexcCritical4 4 2" xfId="1890"/>
    <cellStyle name="SAPBEXexcCritical4 5" xfId="1891"/>
    <cellStyle name="SAPBEXexcCritical5" xfId="1892"/>
    <cellStyle name="SAPBEXexcCritical5 2" xfId="1893"/>
    <cellStyle name="SAPBEXexcCritical5 2 2" xfId="1894"/>
    <cellStyle name="SAPBEXexcCritical5 3" xfId="1895"/>
    <cellStyle name="SAPBEXexcCritical5 3 2" xfId="1896"/>
    <cellStyle name="SAPBEXexcCritical5 4" xfId="1897"/>
    <cellStyle name="SAPBEXexcCritical5 4 2" xfId="1898"/>
    <cellStyle name="SAPBEXexcCritical5 5" xfId="1899"/>
    <cellStyle name="SAPBEXexcCritical6" xfId="1900"/>
    <cellStyle name="SAPBEXexcCritical6 2" xfId="1901"/>
    <cellStyle name="SAPBEXexcCritical6 2 2" xfId="1902"/>
    <cellStyle name="SAPBEXexcCritical6 3" xfId="1903"/>
    <cellStyle name="SAPBEXexcCritical6 3 2" xfId="1904"/>
    <cellStyle name="SAPBEXexcCritical6 4" xfId="1905"/>
    <cellStyle name="SAPBEXexcCritical6 4 2" xfId="1906"/>
    <cellStyle name="SAPBEXexcCritical6 5" xfId="1907"/>
    <cellStyle name="SAPBEXexcGood1" xfId="1908"/>
    <cellStyle name="SAPBEXexcGood1 2" xfId="1909"/>
    <cellStyle name="SAPBEXexcGood1 2 2" xfId="1910"/>
    <cellStyle name="SAPBEXexcGood1 3" xfId="1911"/>
    <cellStyle name="SAPBEXexcGood1 3 2" xfId="1912"/>
    <cellStyle name="SAPBEXexcGood1 4" xfId="1913"/>
    <cellStyle name="SAPBEXexcGood1 4 2" xfId="1914"/>
    <cellStyle name="SAPBEXexcGood1 5" xfId="1915"/>
    <cellStyle name="SAPBEXexcGood2" xfId="1916"/>
    <cellStyle name="SAPBEXexcGood2 2" xfId="1917"/>
    <cellStyle name="SAPBEXexcGood2 2 2" xfId="1918"/>
    <cellStyle name="SAPBEXexcGood2 3" xfId="1919"/>
    <cellStyle name="SAPBEXexcGood2 3 2" xfId="1920"/>
    <cellStyle name="SAPBEXexcGood2 4" xfId="1921"/>
    <cellStyle name="SAPBEXexcGood2 4 2" xfId="1922"/>
    <cellStyle name="SAPBEXexcGood2 5" xfId="1923"/>
    <cellStyle name="SAPBEXexcGood3" xfId="1924"/>
    <cellStyle name="SAPBEXexcGood3 2" xfId="1925"/>
    <cellStyle name="SAPBEXexcGood3 2 2" xfId="1926"/>
    <cellStyle name="SAPBEXexcGood3 3" xfId="1927"/>
    <cellStyle name="SAPBEXexcGood3 3 2" xfId="1928"/>
    <cellStyle name="SAPBEXexcGood3 4" xfId="1929"/>
    <cellStyle name="SAPBEXexcGood3 4 2" xfId="1930"/>
    <cellStyle name="SAPBEXexcGood3 5" xfId="1931"/>
    <cellStyle name="SAPBEXfilterDrill" xfId="1932"/>
    <cellStyle name="SAPBEXfilterItem" xfId="1933"/>
    <cellStyle name="SAPBEXfilterText" xfId="1934"/>
    <cellStyle name="SAPBEXformats" xfId="1935"/>
    <cellStyle name="SAPBEXformats 2" xfId="1936"/>
    <cellStyle name="SAPBEXformats 2 2" xfId="1937"/>
    <cellStyle name="SAPBEXformats 3" xfId="1938"/>
    <cellStyle name="SAPBEXformats 3 2" xfId="1939"/>
    <cellStyle name="SAPBEXformats 4" xfId="1940"/>
    <cellStyle name="SAPBEXformats 4 2" xfId="1941"/>
    <cellStyle name="SAPBEXformats 5" xfId="1942"/>
    <cellStyle name="SAPBEXheaderItem" xfId="1943"/>
    <cellStyle name="SAPBEXheaderText" xfId="1944"/>
    <cellStyle name="SAPBEXHLevel0" xfId="1945"/>
    <cellStyle name="SAPBEXHLevel0 2" xfId="1946"/>
    <cellStyle name="SAPBEXHLevel0 2 2" xfId="1947"/>
    <cellStyle name="SAPBEXHLevel0 3" xfId="1948"/>
    <cellStyle name="SAPBEXHLevel0 3 2" xfId="1949"/>
    <cellStyle name="SAPBEXHLevel0 4" xfId="1950"/>
    <cellStyle name="SAPBEXHLevel0 4 2" xfId="1951"/>
    <cellStyle name="SAPBEXHLevel0 5" xfId="1952"/>
    <cellStyle name="SAPBEXHLevel1" xfId="1953"/>
    <cellStyle name="SAPBEXHLevel1 2" xfId="1954"/>
    <cellStyle name="SAPBEXHLevel1 2 2" xfId="1955"/>
    <cellStyle name="SAPBEXHLevel1 3" xfId="1956"/>
    <cellStyle name="SAPBEXHLevel1 3 2" xfId="1957"/>
    <cellStyle name="SAPBEXHLevel1 4" xfId="1958"/>
    <cellStyle name="SAPBEXHLevel1 4 2" xfId="1959"/>
    <cellStyle name="SAPBEXHLevel1 5" xfId="1960"/>
    <cellStyle name="SAPBEXHLevel2" xfId="1961"/>
    <cellStyle name="SAPBEXHLevel2 2" xfId="1962"/>
    <cellStyle name="SAPBEXHLevel2 2 2" xfId="1963"/>
    <cellStyle name="SAPBEXHLevel2 3" xfId="1964"/>
    <cellStyle name="SAPBEXHLevel2 3 2" xfId="1965"/>
    <cellStyle name="SAPBEXHLevel2 4" xfId="1966"/>
    <cellStyle name="SAPBEXHLevel2 4 2" xfId="1967"/>
    <cellStyle name="SAPBEXHLevel2 5" xfId="1968"/>
    <cellStyle name="SAPBEXHLevel3" xfId="1969"/>
    <cellStyle name="SAPBEXHLevel3 2" xfId="1970"/>
    <cellStyle name="SAPBEXHLevel3 2 2" xfId="1971"/>
    <cellStyle name="SAPBEXHLevel3 3" xfId="1972"/>
    <cellStyle name="SAPBEXHLevel3 3 2" xfId="1973"/>
    <cellStyle name="SAPBEXHLevel3 4" xfId="1974"/>
    <cellStyle name="SAPBEXHLevel3 4 2" xfId="1975"/>
    <cellStyle name="SAPBEXHLevel3 5" xfId="1976"/>
    <cellStyle name="SAPBEXresData" xfId="1977"/>
    <cellStyle name="SAPBEXresData 2" xfId="1978"/>
    <cellStyle name="SAPBEXresData 2 2" xfId="1979"/>
    <cellStyle name="SAPBEXresData 3" xfId="1980"/>
    <cellStyle name="SAPBEXresData 3 2" xfId="1981"/>
    <cellStyle name="SAPBEXresData 4" xfId="1982"/>
    <cellStyle name="SAPBEXresData 4 2" xfId="1983"/>
    <cellStyle name="SAPBEXresData 5" xfId="1984"/>
    <cellStyle name="SAPBEXresDataEmph" xfId="1985"/>
    <cellStyle name="SAPBEXresDataEmph 2" xfId="1986"/>
    <cellStyle name="SAPBEXresDataEmph 2 2" xfId="1987"/>
    <cellStyle name="SAPBEXresDataEmph 3" xfId="1988"/>
    <cellStyle name="SAPBEXresDataEmph 3 2" xfId="1989"/>
    <cellStyle name="SAPBEXresDataEmph 4" xfId="1990"/>
    <cellStyle name="SAPBEXresDataEmph 4 2" xfId="1991"/>
    <cellStyle name="SAPBEXresDataEmph 5" xfId="1992"/>
    <cellStyle name="SAPBEXresItem" xfId="1993"/>
    <cellStyle name="SAPBEXresItem 2" xfId="1994"/>
    <cellStyle name="SAPBEXresItem 2 2" xfId="1995"/>
    <cellStyle name="SAPBEXresItem 3" xfId="1996"/>
    <cellStyle name="SAPBEXresItem 3 2" xfId="1997"/>
    <cellStyle name="SAPBEXresItem 4" xfId="1998"/>
    <cellStyle name="SAPBEXresItem 4 2" xfId="1999"/>
    <cellStyle name="SAPBEXresItem 5" xfId="2000"/>
    <cellStyle name="SAPBEXresItemX" xfId="2001"/>
    <cellStyle name="SAPBEXresItemX 2" xfId="2002"/>
    <cellStyle name="SAPBEXresItemX 2 2" xfId="2003"/>
    <cellStyle name="SAPBEXresItemX 3" xfId="2004"/>
    <cellStyle name="SAPBEXresItemX 3 2" xfId="2005"/>
    <cellStyle name="SAPBEXresItemX 4" xfId="2006"/>
    <cellStyle name="SAPBEXresItemX 4 2" xfId="2007"/>
    <cellStyle name="SAPBEXresItemX 5" xfId="2008"/>
    <cellStyle name="SAPBEXstdData" xfId="2009"/>
    <cellStyle name="SAPBEXstdData 2" xfId="2010"/>
    <cellStyle name="SAPBEXstdData 2 2" xfId="2011"/>
    <cellStyle name="SAPBEXstdData 3" xfId="2012"/>
    <cellStyle name="SAPBEXstdData 3 2" xfId="2013"/>
    <cellStyle name="SAPBEXstdData 4" xfId="2014"/>
    <cellStyle name="SAPBEXstdData 4 2" xfId="2015"/>
    <cellStyle name="SAPBEXstdData 5" xfId="2016"/>
    <cellStyle name="SAPBEXstdDataEmph" xfId="2017"/>
    <cellStyle name="SAPBEXstdDataEmph 2" xfId="2018"/>
    <cellStyle name="SAPBEXstdDataEmph 2 2" xfId="2019"/>
    <cellStyle name="SAPBEXstdDataEmph 3" xfId="2020"/>
    <cellStyle name="SAPBEXstdDataEmph 3 2" xfId="2021"/>
    <cellStyle name="SAPBEXstdDataEmph 4" xfId="2022"/>
    <cellStyle name="SAPBEXstdDataEmph 4 2" xfId="2023"/>
    <cellStyle name="SAPBEXstdDataEmph 5" xfId="2024"/>
    <cellStyle name="SAPBEXstdItem" xfId="2025"/>
    <cellStyle name="SAPBEXstdItem 2" xfId="2026"/>
    <cellStyle name="SAPBEXstdItem 2 2" xfId="2027"/>
    <cellStyle name="SAPBEXstdItem 3" xfId="2028"/>
    <cellStyle name="SAPBEXstdItem 3 2" xfId="2029"/>
    <cellStyle name="SAPBEXstdItem 4" xfId="2030"/>
    <cellStyle name="SAPBEXstdItem 4 2" xfId="2031"/>
    <cellStyle name="SAPBEXstdItem 5" xfId="2032"/>
    <cellStyle name="SAPBEXtitle" xfId="2033"/>
    <cellStyle name="SAPBEXtitle 2" xfId="2034"/>
    <cellStyle name="SAPBEXtitle 2 2" xfId="2035"/>
    <cellStyle name="SAPBEXtitle 3" xfId="2036"/>
    <cellStyle name="SAPBEXtitle 3 2" xfId="2037"/>
    <cellStyle name="SAPBEXtitle 4" xfId="2038"/>
    <cellStyle name="SAPBEXtitle 4 2" xfId="2039"/>
    <cellStyle name="SAPBEXtitle 5" xfId="2040"/>
    <cellStyle name="SAPBEXundefined" xfId="2041"/>
    <cellStyle name="SAPBEXundefined 2" xfId="2042"/>
    <cellStyle name="SAPBEXundefined 2 2" xfId="2043"/>
    <cellStyle name="SAPBEXundefined 3" xfId="2044"/>
    <cellStyle name="SAPBEXundefined 3 2" xfId="2045"/>
    <cellStyle name="SAPBEXundefined 4" xfId="2046"/>
    <cellStyle name="SAPBEXundefined 4 2" xfId="2047"/>
    <cellStyle name="SAPBEXundefined 5" xfId="2048"/>
    <cellStyle name="SAPOutput" xfId="2049"/>
    <cellStyle name="schwarzgrau" xfId="2050"/>
    <cellStyle name="schwarzgrau 2" xfId="2051"/>
    <cellStyle name="ScripFactor" xfId="2052"/>
    <cellStyle name="Section Heading" xfId="2053"/>
    <cellStyle name="Section name" xfId="2054"/>
    <cellStyle name="Section Title no wrap" xfId="2055"/>
    <cellStyle name="Section Title wrap" xfId="2056"/>
    <cellStyle name="SectionHeading" xfId="2057"/>
    <cellStyle name="SectionHeading 2" xfId="2058"/>
    <cellStyle name="SectionHeading 2 2" xfId="2059"/>
    <cellStyle name="SectionHeading 3" xfId="2060"/>
    <cellStyle name="sh0 -SideHeading" xfId="2061"/>
    <cellStyle name="sh1 -SideHeading" xfId="2062"/>
    <cellStyle name="sh2 -SideHeading" xfId="2063"/>
    <cellStyle name="sh3 -SideHeading" xfId="2064"/>
    <cellStyle name="Shade" xfId="2065"/>
    <cellStyle name="Shaded" xfId="2066"/>
    <cellStyle name="sheet background" xfId="2067"/>
    <cellStyle name="sheet title" xfId="2068"/>
    <cellStyle name="sheet title 2" xfId="2069"/>
    <cellStyle name="sheet title 2 2" xfId="2070"/>
    <cellStyle name="sheet title 3" xfId="2071"/>
    <cellStyle name="sheet title 3 2" xfId="2072"/>
    <cellStyle name="sheet title 4" xfId="2073"/>
    <cellStyle name="Short Date" xfId="2074"/>
    <cellStyle name="Short Date 2" xfId="2075"/>
    <cellStyle name="sin nada" xfId="2076"/>
    <cellStyle name="Single Accounting" xfId="2077"/>
    <cellStyle name="SingleLineAcctgn" xfId="2078"/>
    <cellStyle name="SingleLinePercent" xfId="2079"/>
    <cellStyle name="Small number" xfId="2080"/>
    <cellStyle name="Small percentage" xfId="2081"/>
    <cellStyle name="SN" xfId="2082"/>
    <cellStyle name="Source Line" xfId="2083"/>
    <cellStyle name="SPOl" xfId="2084"/>
    <cellStyle name="Spreadsheet title" xfId="2085"/>
    <cellStyle name="st0 -SideText" xfId="2086"/>
    <cellStyle name="st1 -SideText" xfId="2087"/>
    <cellStyle name="st2 -SideText" xfId="2088"/>
    <cellStyle name="st3 -SideText" xfId="2089"/>
    <cellStyle name="st4 -SideText" xfId="2090"/>
    <cellStyle name="Standaard_ABBA version 1.4 dd 27-06-2000" xfId="2091"/>
    <cellStyle name="Standard" xfId="2092"/>
    <cellStyle name="Standard 2" xfId="2093"/>
    <cellStyle name="Standard1_OS" xfId="2094"/>
    <cellStyle name="Strikethrough" xfId="2095"/>
    <cellStyle name="Strikethrough 2" xfId="2096"/>
    <cellStyle name="Strikethrough 2 2" xfId="2097"/>
    <cellStyle name="Strikethrough 3" xfId="2098"/>
    <cellStyle name="String point input" xfId="2099"/>
    <cellStyle name="String point input 2" xfId="2100"/>
    <cellStyle name="String point input 2 2" xfId="2101"/>
    <cellStyle name="String point input 3" xfId="2102"/>
    <cellStyle name="Style 1" xfId="2103"/>
    <cellStyle name="Style 1 2" xfId="2104"/>
    <cellStyle name="Style 2" xfId="2105"/>
    <cellStyle name="Sub heading" xfId="2106"/>
    <cellStyle name="subhead" xfId="2107"/>
    <cellStyle name="SubHeading 1" xfId="2108"/>
    <cellStyle name="SubHeading1" xfId="2109"/>
    <cellStyle name="SubHeading2" xfId="2110"/>
    <cellStyle name="Subsection Heading" xfId="2111"/>
    <cellStyle name="Sub-section heading" xfId="2112"/>
    <cellStyle name="subtitle" xfId="2113"/>
    <cellStyle name="subtitle 2" xfId="2114"/>
    <cellStyle name="Sub-titulo" xfId="2115"/>
    <cellStyle name="Sub-titulo 2" xfId="2116"/>
    <cellStyle name="Subtotal" xfId="2117"/>
    <cellStyle name="Sub-total" xfId="2118"/>
    <cellStyle name="Sub-total 2" xfId="2119"/>
    <cellStyle name="Sub-total 2 2" xfId="2120"/>
    <cellStyle name="Sub-total 3" xfId="2121"/>
    <cellStyle name="Sub-total row" xfId="2122"/>
    <cellStyle name="Subtotal_Assumption update Sept 2005 v1" xfId="2123"/>
    <cellStyle name="Sub-total_DSL v2" xfId="2124"/>
    <cellStyle name="Summe" xfId="2125"/>
    <cellStyle name="Symbol" xfId="2126"/>
    <cellStyle name="System_Text" xfId="2127"/>
    <cellStyle name="t" xfId="2128"/>
    <cellStyle name="t_2+10 CEO Country review template v1" xfId="2129"/>
    <cellStyle name="t_2+10 CEO Country review template v1_DSL v2" xfId="2130"/>
    <cellStyle name="t_2+10 CEO Country review template v1_GR" xfId="2131"/>
    <cellStyle name="t_Arcor Appendix 1b (Detailed Budget)_hardtype" xfId="2132"/>
    <cellStyle name="t_Calculation v2" xfId="2133"/>
    <cellStyle name="t_Calculation v2_2+10 CEO Country review template v1" xfId="2134"/>
    <cellStyle name="t_Calculation v2_Change Log" xfId="2135"/>
    <cellStyle name="t_Calculation v2_GermanyHo" xfId="2136"/>
    <cellStyle name="t_Calculation v2_Turkey_GermanyHo" xfId="2137"/>
    <cellStyle name="t_DCF Template" xfId="2138"/>
    <cellStyle name="t_DCF Template_Arcor Appendix 1b (Detailed Budget)_hardtype" xfId="2139"/>
    <cellStyle name="t_DCF Template_Change Log" xfId="2140"/>
    <cellStyle name="t_DCF Template_Europe fixed line &amp; DSL - Alea" xfId="2141"/>
    <cellStyle name="t_DCF Template_GermanyHo" xfId="2142"/>
    <cellStyle name="t_DCF Template_HORIZONTAL 2008_9 OUTPUTS - 5YP Europe only" xfId="2143"/>
    <cellStyle name="t_DCF-2" xfId="2144"/>
    <cellStyle name="t_Elisa multiple5" xfId="2145"/>
    <cellStyle name="t_Europe fixed line &amp; DSL - Alea" xfId="2146"/>
    <cellStyle name="t_HORIZONTAL 2008_9 OUTPUTS - 5YP Europe only" xfId="2147"/>
    <cellStyle name="t_India_1" xfId="2148"/>
    <cellStyle name="t_Tower operational model v4.3" xfId="2149"/>
    <cellStyle name="TA_Calculated" xfId="2150"/>
    <cellStyle name="Table Col Head" xfId="2151"/>
    <cellStyle name="Table finish row" xfId="2152"/>
    <cellStyle name="Table Head" xfId="2153"/>
    <cellStyle name="Table Head Aligned" xfId="2154"/>
    <cellStyle name="Table Head Aligned 2" xfId="2155"/>
    <cellStyle name="Table Head Blue" xfId="2156"/>
    <cellStyle name="Table Head Green" xfId="2157"/>
    <cellStyle name="Table Head Green 2" xfId="2158"/>
    <cellStyle name="Table Head_050301 Camel operational model V1" xfId="2159"/>
    <cellStyle name="Table Heading" xfId="2160"/>
    <cellStyle name="Table shading" xfId="2161"/>
    <cellStyle name="Table Sub Head" xfId="2162"/>
    <cellStyle name="Table Title" xfId="2163"/>
    <cellStyle name="Table unfinish row" xfId="2164"/>
    <cellStyle name="Table Units" xfId="2165"/>
    <cellStyle name="Table Units 2" xfId="2166"/>
    <cellStyle name="Table unshading" xfId="2167"/>
    <cellStyle name="Table_Number" xfId="2168"/>
    <cellStyle name="TableBorder" xfId="2169"/>
    <cellStyle name="TableSubTitleItalic" xfId="2170"/>
    <cellStyle name="Tariff" xfId="2171"/>
    <cellStyle name="Tausender" xfId="2172"/>
    <cellStyle name="test" xfId="2173"/>
    <cellStyle name="test a style" xfId="2174"/>
    <cellStyle name="test a style 2" xfId="2175"/>
    <cellStyle name="Text" xfId="2176"/>
    <cellStyle name="Text Indent A" xfId="2177"/>
    <cellStyle name="Text_Fixed Acceleration Forecast EBU_Jun 09 (2)" xfId="2178"/>
    <cellStyle name="Thousand" xfId="2179"/>
    <cellStyle name="time variable" xfId="2180"/>
    <cellStyle name="Times 10" xfId="2181"/>
    <cellStyle name="Times 12" xfId="2182"/>
    <cellStyle name="Titel 1" xfId="2183"/>
    <cellStyle name="Titel 1 2" xfId="2184"/>
    <cellStyle name="Titel 1 3" xfId="2185"/>
    <cellStyle name="Titel 1 4" xfId="2186"/>
    <cellStyle name="Title Line" xfId="2187"/>
    <cellStyle name="title1" xfId="2188"/>
    <cellStyle name="title2" xfId="2189"/>
    <cellStyle name="TitleCenter" xfId="2190"/>
    <cellStyle name="TitlePage" xfId="2191"/>
    <cellStyle name="Titles" xfId="2192"/>
    <cellStyle name="Titolo 1 2" xfId="2193"/>
    <cellStyle name="Título 1" xfId="2194"/>
    <cellStyle name="Título 2" xfId="2195"/>
    <cellStyle name="Titulo fecha 2" xfId="2196"/>
    <cellStyle name="Titulo fecha 2 2" xfId="2197"/>
    <cellStyle name="Titulo fecha 2 2 2" xfId="2198"/>
    <cellStyle name="Titulo fecha 2 3" xfId="2199"/>
    <cellStyle name="Titulo fecha 2 3 2" xfId="2200"/>
    <cellStyle name="Titulo fecha 2 4" xfId="2201"/>
    <cellStyle name="Titulo fecha 2 4 2" xfId="2202"/>
    <cellStyle name="Titulo fecha 2 5" xfId="2203"/>
    <cellStyle name="Titulos Fecha" xfId="2204"/>
    <cellStyle name="Titulos Fecha 2" xfId="2205"/>
    <cellStyle name="Titulo-Seccion" xfId="2206"/>
    <cellStyle name="top border" xfId="2207"/>
    <cellStyle name="top border 2" xfId="2208"/>
    <cellStyle name="Top Row" xfId="2209"/>
    <cellStyle name="Top Row 2" xfId="2210"/>
    <cellStyle name="Top Row 3" xfId="2211"/>
    <cellStyle name="Top Row 4" xfId="2212"/>
    <cellStyle name="total label" xfId="2213"/>
    <cellStyle name="Total Row" xfId="2214"/>
    <cellStyle name="Total Row 2" xfId="2215"/>
    <cellStyle name="total variable" xfId="2216"/>
    <cellStyle name="total variable 2" xfId="2217"/>
    <cellStyle name="total variable 2 2" xfId="2218"/>
    <cellStyle name="total variable 3" xfId="2219"/>
    <cellStyle name="Totals" xfId="2220"/>
    <cellStyle name="True value/switch" xfId="2221"/>
    <cellStyle name="True value/switch 2" xfId="2222"/>
    <cellStyle name="True value/switch 2 2" xfId="2223"/>
    <cellStyle name="True value/switch 3" xfId="2224"/>
    <cellStyle name="ttn -TopTextNoWrap" xfId="2225"/>
    <cellStyle name="ttw -TopTextWrap" xfId="2226"/>
    <cellStyle name="Tusenskille_Redusert penetrasjonsmodell" xfId="2227"/>
    <cellStyle name="Überschrift 1" xfId="2228"/>
    <cellStyle name="Überschrift 2" xfId="2229"/>
    <cellStyle name="Überschrift 3" xfId="2230"/>
    <cellStyle name="Unhighlight" xfId="2231"/>
    <cellStyle name="Unit" xfId="2232"/>
    <cellStyle name="Unprot" xfId="2233"/>
    <cellStyle name="Unprot$" xfId="2234"/>
    <cellStyle name="Unprotect" xfId="2235"/>
    <cellStyle name="Unprotected" xfId="2236"/>
    <cellStyle name="Untotal row" xfId="2237"/>
    <cellStyle name="Valuta (0)" xfId="2238"/>
    <cellStyle name="Währung [0]_01_delta03_V47_KORR_21.8." xfId="2239"/>
    <cellStyle name="Währung_01_delta03_V47_KORR_21.8." xfId="2240"/>
    <cellStyle name="Warning" xfId="2241"/>
    <cellStyle name="weiß" xfId="2242"/>
    <cellStyle name="W臧rung_!!!GO" xfId="2243"/>
    <cellStyle name="x" xfId="2244"/>
    <cellStyle name="x 2" xfId="2245"/>
    <cellStyle name="x 2 2" xfId="2246"/>
    <cellStyle name="x 3" xfId="2247"/>
    <cellStyle name="xHeadCen" xfId="2248"/>
    <cellStyle name="xHeadCen 2" xfId="2249"/>
    <cellStyle name="xHeadCen 2 2" xfId="2250"/>
    <cellStyle name="xHeadCen 3" xfId="2251"/>
    <cellStyle name="xHeadCen 3 2" xfId="2252"/>
    <cellStyle name="xHeadCen 4" xfId="2253"/>
    <cellStyle name="xHeadCen 4 2" xfId="2254"/>
    <cellStyle name="xHeadCen 5" xfId="2255"/>
    <cellStyle name="xHeadDMY" xfId="2256"/>
    <cellStyle name="xHeadDMY 2" xfId="2257"/>
    <cellStyle name="xHeadDMY 2 2" xfId="2258"/>
    <cellStyle name="xHeadDMY 3" xfId="2259"/>
    <cellStyle name="xHeadDMY 3 2" xfId="2260"/>
    <cellStyle name="xHeadDMY 4" xfId="2261"/>
    <cellStyle name="xHeadDMY 4 2" xfId="2262"/>
    <cellStyle name="xHeadDMY 5" xfId="2263"/>
    <cellStyle name="xHeadGen" xfId="2264"/>
    <cellStyle name="xHeadGen 2" xfId="2265"/>
    <cellStyle name="xHeadGen 2 2" xfId="2266"/>
    <cellStyle name="xHeadGen 3" xfId="2267"/>
    <cellStyle name="xHeadGen 3 2" xfId="2268"/>
    <cellStyle name="xHeadGen 4" xfId="2269"/>
    <cellStyle name="xHeadGen 4 2" xfId="2270"/>
    <cellStyle name="xHeadGen 5" xfId="2271"/>
    <cellStyle name="xHeadMY" xfId="2272"/>
    <cellStyle name="xHeadMY 2" xfId="2273"/>
    <cellStyle name="xHeadMY 2 2" xfId="2274"/>
    <cellStyle name="xHeadMY 3" xfId="2275"/>
    <cellStyle name="xHeadMY 3 2" xfId="2276"/>
    <cellStyle name="xHeadMY 4" xfId="2277"/>
    <cellStyle name="xHeadMY 4 2" xfId="2278"/>
    <cellStyle name="xHeadMY 5" xfId="2279"/>
    <cellStyle name="xHeadRange" xfId="2280"/>
    <cellStyle name="xHeadRange 2" xfId="2281"/>
    <cellStyle name="xHeadRange 2 2" xfId="2282"/>
    <cellStyle name="xHeadRange 3" xfId="2283"/>
    <cellStyle name="xHeadRange 3 2" xfId="2284"/>
    <cellStyle name="xHeadRange 4" xfId="2285"/>
    <cellStyle name="xHeadRange 4 2" xfId="2286"/>
    <cellStyle name="xHeadRange 5" xfId="2287"/>
    <cellStyle name="xHeadSm" xfId="2288"/>
    <cellStyle name="xHeadSm 2" xfId="2289"/>
    <cellStyle name="xHeadSm 2 2" xfId="2290"/>
    <cellStyle name="xHeadSm 3" xfId="2291"/>
    <cellStyle name="xHeadSm 3 2" xfId="2292"/>
    <cellStyle name="xHeadSm 4" xfId="2293"/>
    <cellStyle name="xHeadSm 4 2" xfId="2294"/>
    <cellStyle name="xHeadSm 5" xfId="2295"/>
    <cellStyle name="xHeadVer" xfId="2296"/>
    <cellStyle name="xHeadVer 2" xfId="2297"/>
    <cellStyle name="xHeadVer 2 2" xfId="2298"/>
    <cellStyle name="xHeadVer 3" xfId="2299"/>
    <cellStyle name="xHeadVer 3 2" xfId="2300"/>
    <cellStyle name="xHeadVer 4" xfId="2301"/>
    <cellStyle name="xHeadVer 4 2" xfId="2302"/>
    <cellStyle name="xHeadVer 5" xfId="2303"/>
    <cellStyle name="xHeadY" xfId="2304"/>
    <cellStyle name="xHeadY 2" xfId="2305"/>
    <cellStyle name="xHeadY 2 2" xfId="2306"/>
    <cellStyle name="xHeadY 3" xfId="2307"/>
    <cellStyle name="xHeadY 3 2" xfId="2308"/>
    <cellStyle name="xHeadY 4" xfId="2309"/>
    <cellStyle name="xHeadY 4 2" xfId="2310"/>
    <cellStyle name="xHeadY 5" xfId="2311"/>
    <cellStyle name="xRangeName" xfId="2312"/>
    <cellStyle name="xstyle" xfId="2313"/>
    <cellStyle name="xTitle" xfId="2314"/>
    <cellStyle name="Year" xfId="2315"/>
    <cellStyle name="Year 2" xfId="2316"/>
    <cellStyle name="Year, Actual" xfId="2317"/>
    <cellStyle name="Year, Expected" xfId="2318"/>
    <cellStyle name="Year_050301 Camel operational model V1" xfId="2319"/>
    <cellStyle name="yeardate" xfId="2320"/>
    <cellStyle name="YearFormat" xfId="2321"/>
    <cellStyle name="YearFormat 2" xfId="2322"/>
    <cellStyle name="years" xfId="2323"/>
    <cellStyle name="yellow" xfId="2324"/>
    <cellStyle name="Yen" xfId="2325"/>
    <cellStyle name="yes" xfId="2326"/>
    <cellStyle name="yes 2" xfId="2327"/>
    <cellStyle name="yes 2 2" xfId="2328"/>
    <cellStyle name="yes 3" xfId="2329"/>
    <cellStyle name="Zahl" xfId="2330"/>
    <cellStyle name="Zahl1" xfId="2331"/>
    <cellStyle name="zInput2" xfId="2332"/>
    <cellStyle name="zLink" xfId="2333"/>
    <cellStyle name="Βασικό_cosmote us gaap 30.12.2000TEST1" xfId="2334"/>
    <cellStyle name="Обычный_Budget_2001" xfId="2335"/>
    <cellStyle name="Тысячи [0]_SWISS" xfId="2336"/>
    <cellStyle name="Тысячи_SWISS" xfId="2337"/>
    <cellStyle name="パーセント_QTBLNEW" xfId="2338"/>
    <cellStyle name="一般_3yr_13Oct" xfId="2339"/>
    <cellStyle name="千分位[0]_3yr_13Oct" xfId="2340"/>
    <cellStyle name="千分位_3yr_13Oct" xfId="2341"/>
    <cellStyle name="未定義" xfId="2342"/>
    <cellStyle name="桁区切り [0.00]_CAW17_Japan Financial Model_v9 Consolidated Asia Adjusted" xfId="2343"/>
    <cellStyle name="桁区切り_CAW17_Japan Financial Model_v9 Consolidated Asia Adjusted" xfId="2344"/>
    <cellStyle name="標準_2004_05AOP_1st cut_Business Markets Rev&amp;GM" xfId="2345"/>
    <cellStyle name="貨幣 [0]_3yr_13Oct" xfId="2346"/>
    <cellStyle name="貨幣_3yr_13Oct" xfId="2347"/>
    <cellStyle name="通貨 [0.00]_PL&amp;BS" xfId="2348"/>
    <cellStyle name="通貨_PL&amp;BS" xfId="2349"/>
    <cellStyle name="Normal 2 13 3 4" xfId="2350"/>
    <cellStyle name="Normal 25 2" xfId="2351"/>
    <cellStyle name="Normal 2 13 2 3" xfId="2352"/>
    <cellStyle name="Normal 24 2" xfId="2353"/>
    <cellStyle name="Comma 6" xfId="23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externalLink" Target="externalLinks/externalLink8.xml"/><Relationship Id="rId23" Type="http://schemas.openxmlformats.org/officeDocument/2006/relationships/externalLink" Target="externalLinks/externalLink7.xml"/><Relationship Id="rId22" Type="http://schemas.openxmlformats.org/officeDocument/2006/relationships/externalLink" Target="externalLinks/externalLink6.xml"/><Relationship Id="rId21" Type="http://schemas.openxmlformats.org/officeDocument/2006/relationships/externalLink" Target="externalLinks/externalLink5.xml"/><Relationship Id="rId20" Type="http://schemas.openxmlformats.org/officeDocument/2006/relationships/externalLink" Target="externalLinks/externalLink4.xml"/><Relationship Id="rId2" Type="http://schemas.openxmlformats.org/officeDocument/2006/relationships/worksheet" Target="worksheets/sheet2.xml"/><Relationship Id="rId19" Type="http://schemas.openxmlformats.org/officeDocument/2006/relationships/externalLink" Target="externalLinks/externalLink3.xml"/><Relationship Id="rId18" Type="http://schemas.openxmlformats.org/officeDocument/2006/relationships/externalLink" Target="externalLinks/externalLink2.xml"/><Relationship Id="rId17" Type="http://schemas.openxmlformats.org/officeDocument/2006/relationships/externalLink" Target="externalLinks/externalLink1.xml"/><Relationship Id="rId16" Type="http://schemas.openxmlformats.org/officeDocument/2006/relationships/customXml" Target="../customXml/item3.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8964</xdr:colOff>
      <xdr:row>2</xdr:row>
      <xdr:rowOff>134472</xdr:rowOff>
    </xdr:from>
    <xdr:to>
      <xdr:col>2</xdr:col>
      <xdr:colOff>6335873</xdr:colOff>
      <xdr:row>70</xdr:row>
      <xdr:rowOff>161365</xdr:rowOff>
    </xdr:to>
    <xdr:sp>
      <xdr:nvSpPr>
        <xdr:cNvPr id="2" name="TextBox 1"/>
        <xdr:cNvSpPr txBox="1"/>
      </xdr:nvSpPr>
      <xdr:spPr>
        <a:xfrm>
          <a:off x="8890" y="1254125"/>
          <a:ext cx="7602855" cy="13413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600" b="1" i="0" u="none" strike="noStrike" kern="0" cap="none" spc="0" normalizeH="0" baseline="0" noProof="0">
              <a:ln>
                <a:noFill/>
              </a:ln>
              <a:solidFill>
                <a:srgbClr val="FF0000"/>
              </a:solidFill>
              <a:effectLst/>
              <a:uLnTx/>
              <a:uFillTx/>
              <a:latin typeface="+mn-lt"/>
              <a:ea typeface="+mn-ea"/>
              <a:cs typeface="+mn-cs"/>
            </a:rPr>
            <a:t>Scenario A:</a:t>
          </a:r>
          <a:r>
            <a:rPr kumimoji="0" lang="en-GB" sz="1600" b="1" i="0" u="none" strike="noStrike" kern="0" cap="none" spc="0" normalizeH="0" baseline="0">
              <a:ln>
                <a:noFill/>
              </a:ln>
              <a:solidFill>
                <a:srgbClr val="FF0000"/>
              </a:solidFill>
              <a:effectLst/>
              <a:uLnTx/>
              <a:uFillTx/>
              <a:latin typeface="+mn-lt"/>
              <a:ea typeface="+mn-ea"/>
              <a:cs typeface="+mn-cs"/>
            </a:rPr>
            <a:t> (Synergy Blade)</a:t>
          </a:r>
          <a:endParaRPr kumimoji="0" lang="en-GB" sz="16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Cascade lake refresh processor</a:t>
          </a:r>
          <a:endParaRPr kumimoji="0" lang="en-GB" sz="14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NOTE: </a:t>
          </a:r>
          <a:r>
            <a:rPr kumimoji="0" lang="en-GB" sz="1400" b="0" i="0" u="none" strike="noStrike" kern="0" cap="none" spc="0" normalizeH="0" baseline="0" noProof="0">
              <a:ln>
                <a:noFill/>
              </a:ln>
              <a:solidFill>
                <a:sysClr val="windowText" lastClr="000000"/>
              </a:solidFill>
              <a:effectLst/>
              <a:uLnTx/>
              <a:uFillTx/>
              <a:latin typeface="+mn-lt"/>
              <a:ea typeface="+mn-ea"/>
              <a:cs typeface="+mn-cs"/>
            </a:rPr>
            <a:t>the scenario includes two different HW references for network termination (40 GB and 100 GB) with different blade limits. Vendor shall provide separate cBOMs for both network termination references unless there is no difference in the resulting cBOMs.</a:t>
          </a:r>
          <a:endParaRPr kumimoji="0" lang="en-GB"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a:solidFill>
                <a:schemeClr val="dk1"/>
              </a:solidFill>
              <a:effectLst/>
              <a:latin typeface="+mn-lt"/>
              <a:ea typeface="+mn-ea"/>
              <a:cs typeface="+mn-cs"/>
            </a:rPr>
            <a:t>Cascade lake refresh 6258R, 2.7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28 cores (56 total), per Host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40 GB termination</a:t>
          </a:r>
          <a:endParaRPr kumimoji="0" lang="en-GB" sz="1100" b="0" i="0" u="none" strike="sng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blade: </a:t>
          </a:r>
          <a:r>
            <a:rPr lang="en-GB" sz="1100" b="0" i="0" baseline="0">
              <a:solidFill>
                <a:schemeClr val="dk1"/>
              </a:solidFill>
              <a:effectLst/>
              <a:latin typeface="+mn-lt"/>
              <a:ea typeface="+mn-ea"/>
              <a:cs typeface="+mn-cs"/>
            </a:rPr>
            <a:t>2 NICs (with 2 ports at 50Gbps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8 Gbps blade limit (as above)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Data plane blade: 2 NICs (with 2 ports at 50Gbps per NIC) in 1+1 redundancy (at NIC level), 50% usage limit with Blocking architecture -&gt;  16 Gbps blade limit (as above)</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100 GB termination</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Signalling plane blade: 2 NICs (with 2 ports at 50Gbps per NIC) in 1+1 redundancy (at NIC level),  in 1+1 redundancy, 50% usage limit with Blocking architecture -&gt; 10 Gbps blade limit (as above)</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Data plane blade: 2 NICs (with 2 ports at 50Gbps per NIC) in 1+1 redundancy (at NIC level), 50% usage limit with Blocking architecture -&gt;  20 Gbps blade limit (as above)</a:t>
          </a:r>
          <a:endParaRPr kumimoji="0" lang="en-GB"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VNFs</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blade = </a:t>
          </a:r>
          <a:r>
            <a:rPr lang="en-GB" sz="1100" b="0" i="0" baseline="0">
              <a:solidFill>
                <a:schemeClr val="dk1"/>
              </a:solidFill>
              <a:effectLst/>
              <a:latin typeface="+mn-lt"/>
              <a:ea typeface="+mn-ea"/>
              <a:cs typeface="+mn-cs"/>
            </a:rPr>
            <a:t>44 vCPU (additional 20% CPU processing power is already considered for VMware overhead, with the current CPU model it translates to 12 vCPUs) </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lang="en-GB" sz="1100" b="0" i="0" baseline="0">
              <a:solidFill>
                <a:schemeClr val="dk1"/>
              </a:solidFill>
              <a:effectLst/>
              <a:latin typeface="+mn-lt"/>
              <a:ea typeface="+mn-ea"/>
              <a:cs typeface="+mn-cs"/>
            </a:rPr>
            <a:t>44 vCPU (additional 20% CPU processing power is already considered for VMware overhead, with the current CPU model it translates 12 vCPU)</a:t>
          </a: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a:t>
          </a: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40 GBPS termination</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- 8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- 16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100 GBPS termination</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Signalling plane blade- 10 Gbps</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a:ln>
                <a:noFill/>
              </a:ln>
              <a:solidFill>
                <a:sysClr val="windowText" lastClr="000000"/>
              </a:solidFill>
              <a:effectLst/>
              <a:uLnTx/>
              <a:uFillTx/>
              <a:latin typeface="+mn-lt"/>
              <a:ea typeface="+mn-ea"/>
              <a:cs typeface="+mn-cs"/>
            </a:rPr>
            <a:t>Data plane blade- 20 Gbps</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vBOM dimensioning rules</a:t>
          </a:r>
          <a:endParaRPr lang="en-GB" sz="1400" b="1">
            <a:solidFill>
              <a:sysClr val="windowText" lastClr="000000"/>
            </a:solidFill>
          </a:endParaRPr>
        </a:p>
        <a:p>
          <a:pPr marL="171450" indent="-171450" algn="just">
            <a:buFont typeface="Arial" panose="020B0604020202020204" pitchFamily="7" charset="0"/>
            <a:buChar char="•"/>
          </a:pPr>
          <a:r>
            <a:rPr lang="en-GB" sz="1100">
              <a:solidFill>
                <a:sysClr val="windowText" lastClr="000000"/>
              </a:solidFill>
            </a:rPr>
            <a:t>For 40 GB termination:</a:t>
          </a:r>
          <a:endParaRPr lang="en-GB" sz="1100">
            <a:solidFill>
              <a:sysClr val="windowText" lastClr="000000"/>
            </a:solidFill>
          </a:endParaRPr>
        </a:p>
        <a:p>
          <a:pPr marL="628650" lvl="1" indent="-171450" algn="just">
            <a:buFont typeface="Arial" panose="020B0604020202020204" pitchFamily="7" charset="0"/>
            <a:buChar char="•"/>
          </a:pPr>
          <a:r>
            <a:rPr lang="en-GB" sz="1100">
              <a:solidFill>
                <a:sysClr val="windowText" lastClr="000000"/>
              </a:solidFill>
            </a:rPr>
            <a:t>"Signalling plane VM"</a:t>
          </a:r>
          <a:endParaRPr lang="en-GB" sz="110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20 VCPU can be accepted</a:t>
          </a:r>
          <a:r>
            <a:rPr lang="en-GB" sz="1100">
              <a:solidFill>
                <a:schemeClr val="tx1"/>
              </a:solidFill>
              <a:effectLst/>
              <a:latin typeface="+mn-lt"/>
              <a:ea typeface="+mn-ea"/>
              <a:cs typeface="+mn-cs"/>
            </a:rPr>
            <a:t>.</a:t>
          </a:r>
          <a:endParaRPr lang="en-GB" sz="1100">
            <a:solidFill>
              <a:schemeClr val="tx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 shall have no more than 8 Gbps bandwidth (N/S + E/W) not considering/considering NUMA affinity.</a:t>
          </a:r>
          <a:endParaRPr lang="en-GB" sz="1100">
            <a:solidFill>
              <a:schemeClr val="tx1"/>
            </a:solidFill>
          </a:endParaRPr>
        </a:p>
        <a:p>
          <a:pPr marL="628650" lvl="1" indent="-171450" algn="just">
            <a:buFont typeface="Arial" panose="020B0604020202020204" pitchFamily="7" charset="0"/>
            <a:buChar char="•"/>
          </a:pPr>
          <a:r>
            <a:rPr lang="en-GB" sz="1100">
              <a:solidFill>
                <a:sysClr val="windowText" lastClr="000000"/>
              </a:solidFill>
            </a:rPr>
            <a:t>"Data</a:t>
          </a:r>
          <a:r>
            <a:rPr lang="en-GB" sz="1100" baseline="0">
              <a:solidFill>
                <a:sysClr val="windowText" lastClr="000000"/>
              </a:solidFill>
            </a:rPr>
            <a:t> plane VM"</a:t>
          </a:r>
          <a:endParaRPr lang="en-GB" sz="1100" baseline="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20 VCPU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endParaRPr lang="en-GB" sz="1100" b="0">
            <a:solidFill>
              <a:srgbClr val="FF0000"/>
            </a:solidFill>
            <a:effectLst/>
          </a:endParaRPr>
        </a:p>
        <a:p>
          <a:pPr marL="1085850" lvl="2" indent="-171450" algn="just">
            <a:buFont typeface="Arial" panose="020B0604020202020204" pitchFamily="7" charset="0"/>
            <a:buChar char="•"/>
          </a:pPr>
          <a:r>
            <a:rPr lang="en-GB" sz="1100">
              <a:solidFill>
                <a:schemeClr val="tx1"/>
              </a:solidFill>
              <a:effectLst/>
              <a:latin typeface="+mn-lt"/>
              <a:ea typeface="+mn-ea"/>
              <a:cs typeface="+mn-cs"/>
            </a:rPr>
            <a:t>VMs shall have no more than 16 Gbps bandwidth (N/S + E/W) not considering/considering NUMA affinity.</a:t>
          </a:r>
          <a:endParaRPr lang="en-GB" sz="1100">
            <a:solidFill>
              <a:schemeClr val="tx1"/>
            </a:solidFill>
            <a:effectLst/>
          </a:endParaRPr>
        </a:p>
        <a:p>
          <a:pPr marL="628650" lvl="1" indent="-171450" algn="just">
            <a:buFont typeface="Arial" panose="020B0604020202020204" pitchFamily="7" charset="0"/>
            <a:buChar char="•"/>
          </a:pPr>
          <a:r>
            <a:rPr lang="en-GB" sz="1100">
              <a:solidFill>
                <a:sysClr val="windowText" lastClr="000000"/>
              </a:solidFill>
            </a:rPr>
            <a:t>VMs shall be dimensioned for all applications and operating systems supporting the vendor solution. The VNF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endParaRPr lang="en-GB" sz="1100">
            <a:solidFill>
              <a:sysClr val="windowText" lastClr="000000"/>
            </a:solidFill>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ysClr val="windowText" lastClr="000000"/>
              </a:solidFill>
              <a:effectLst/>
            </a:rPr>
            <a:t>VMs are to be used at the % level of utilization of an active VMs processing resources that is indicated in the deployment models of each VNF for each OpCo (that is contained in the OpCo's FSD document), which is also the same level of utilization at which the capacity statements are provided for each VNF/OpCo.</a:t>
          </a:r>
          <a:endParaRPr lang="en-GB" sz="1100">
            <a:solidFill>
              <a:sysClr val="windowText" lastClr="000000"/>
            </a:solidFill>
            <a:effectLst/>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en-GB" sz="1100">
            <a:solidFill>
              <a:sysClr val="windowText" lastClr="000000"/>
            </a:solidFill>
            <a:latin typeface="+mn-lt"/>
            <a:ea typeface="+mn-ea"/>
            <a:cs typeface="+mn-cs"/>
          </a:endParaRPr>
        </a:p>
        <a:p>
          <a:pPr marL="171450" indent="-171450" algn="just">
            <a:buFont typeface="Arial" panose="020B0604020202020204" pitchFamily="7" charset="0"/>
            <a:buChar char="•"/>
          </a:pPr>
          <a:r>
            <a:rPr lang="en-GB" sz="1100">
              <a:solidFill>
                <a:sysClr val="windowText" lastClr="000000"/>
              </a:solidFill>
              <a:latin typeface="+mn-lt"/>
              <a:ea typeface="+mn-ea"/>
              <a:cs typeface="+mn-cs"/>
            </a:rPr>
            <a:t>For 100 GB termination:</a:t>
          </a:r>
          <a:endParaRPr lang="en-US" sz="1100">
            <a:solidFill>
              <a:sysClr val="windowText" lastClr="000000"/>
            </a:solidFill>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latin typeface="+mn-lt"/>
              <a:ea typeface="+mn-ea"/>
              <a:cs typeface="+mn-cs"/>
            </a:rPr>
            <a:t>"Signalling plane VM"</a:t>
          </a:r>
          <a:endParaRPr lang="en-US" sz="1100">
            <a:solidFill>
              <a:sysClr val="windowText" lastClr="000000"/>
            </a:solidFill>
            <a:latin typeface="+mn-lt"/>
            <a:ea typeface="+mn-ea"/>
            <a:cs typeface="+mn-cs"/>
          </a:endParaRPr>
        </a:p>
        <a:p>
          <a:pPr marL="1085850" lvl="2" indent="-171450" algn="just">
            <a:buFont typeface="Arial" panose="020B0604020202020204" pitchFamily="7" charset="0"/>
            <a:buChar char="•"/>
          </a:pPr>
          <a:r>
            <a:rPr lang="en-GB" sz="1100">
              <a:solidFill>
                <a:sysClr val="windowText" lastClr="000000"/>
              </a:solidFill>
              <a:latin typeface="+mn-lt"/>
              <a:ea typeface="+mn-ea"/>
              <a:cs typeface="+mn-cs"/>
            </a:rPr>
            <a:t>VM is not recommended to have no more than 10 vCPU.</a:t>
          </a:r>
          <a:r>
            <a:rPr lang="en-GB" sz="1100" baseline="0">
              <a:solidFill>
                <a:sysClr val="windowText" lastClr="000000"/>
              </a:solidFill>
              <a:latin typeface="+mn-lt"/>
              <a:ea typeface="+mn-ea"/>
              <a:cs typeface="+mn-cs"/>
            </a:rPr>
            <a:t> In exception cases and with justifcation VM size of 20 VCPU can be accepted</a:t>
          </a:r>
          <a:endParaRPr lang="en-US" sz="1100">
            <a:solidFill>
              <a:sysClr val="windowText" lastClr="000000"/>
            </a:solidFill>
            <a:latin typeface="+mn-lt"/>
            <a:ea typeface="+mn-ea"/>
            <a:cs typeface="+mn-cs"/>
          </a:endParaRPr>
        </a:p>
        <a:p>
          <a:pPr marL="1085850" lvl="2" indent="-171450" algn="just">
            <a:buFont typeface="Arial" panose="020B0604020202020204" pitchFamily="7" charset="0"/>
            <a:buChar char="•"/>
          </a:pPr>
          <a:r>
            <a:rPr lang="en-GB" sz="1100">
              <a:solidFill>
                <a:sysClr val="windowText" lastClr="000000"/>
              </a:solidFill>
              <a:latin typeface="+mn-lt"/>
              <a:ea typeface="+mn-ea"/>
              <a:cs typeface="+mn-cs"/>
            </a:rPr>
            <a:t>VM shall have no more than 10</a:t>
          </a:r>
          <a:r>
            <a:rPr lang="en-GB" sz="1100" baseline="0">
              <a:solidFill>
                <a:sysClr val="windowText" lastClr="000000"/>
              </a:solidFill>
              <a:latin typeface="+mn-lt"/>
              <a:ea typeface="+mn-ea"/>
              <a:cs typeface="+mn-cs"/>
            </a:rPr>
            <a:t> </a:t>
          </a:r>
          <a:r>
            <a:rPr lang="en-GB" sz="1100">
              <a:solidFill>
                <a:sysClr val="windowText" lastClr="000000"/>
              </a:solidFill>
              <a:latin typeface="+mn-lt"/>
              <a:ea typeface="+mn-ea"/>
              <a:cs typeface="+mn-cs"/>
            </a:rPr>
            <a:t>Gbps bandwidth (N/S + E/W) not considering NUMA affinity.</a:t>
          </a:r>
          <a:endParaRPr lang="en-US" sz="1100">
            <a:solidFill>
              <a:sysClr val="windowText" lastClr="000000"/>
            </a:solidFill>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latin typeface="+mn-lt"/>
              <a:ea typeface="+mn-ea"/>
              <a:cs typeface="+mn-cs"/>
            </a:rPr>
            <a:t>"Data plane VM"</a:t>
          </a:r>
          <a:endParaRPr lang="en-US" sz="1100">
            <a:solidFill>
              <a:sysClr val="windowText" lastClr="000000"/>
            </a:solidFill>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20 VCPU can be accepted</a:t>
          </a:r>
          <a:endParaRPr lang="en-US" sz="1100">
            <a:effectLst/>
          </a:endParaRPr>
        </a:p>
        <a:p>
          <a:pPr marL="1085850" lvl="2" indent="-171450" algn="just">
            <a:buFont typeface="Arial" panose="020B0604020202020204" pitchFamily="7" charset="0"/>
            <a:buChar char="•"/>
          </a:pPr>
          <a:r>
            <a:rPr lang="en-GB" sz="1100">
              <a:solidFill>
                <a:sysClr val="windowText" lastClr="000000"/>
              </a:solidFill>
              <a:latin typeface="+mn-lt"/>
              <a:ea typeface="+mn-ea"/>
              <a:cs typeface="+mn-cs"/>
            </a:rPr>
            <a:t>. Have to be stated as per template the number of lcores that will be use (lcore = 1, 2 or 4)</a:t>
          </a:r>
          <a:endParaRPr lang="en-US" sz="1100">
            <a:solidFill>
              <a:sysClr val="windowText" lastClr="000000"/>
            </a:solidFill>
            <a:latin typeface="+mn-lt"/>
            <a:ea typeface="+mn-ea"/>
            <a:cs typeface="+mn-cs"/>
          </a:endParaRPr>
        </a:p>
        <a:p>
          <a:pPr marL="1085850" lvl="2" indent="-171450" algn="just">
            <a:buFont typeface="Arial" panose="020B0604020202020204" pitchFamily="7" charset="0"/>
            <a:buChar char="•"/>
          </a:pPr>
          <a:r>
            <a:rPr lang="en-GB" sz="1100">
              <a:solidFill>
                <a:sysClr val="windowText" lastClr="000000"/>
              </a:solidFill>
              <a:latin typeface="+mn-lt"/>
              <a:ea typeface="+mn-ea"/>
              <a:cs typeface="+mn-cs"/>
            </a:rPr>
            <a:t>VMs shall have no more than 20 Gbps bandwidth (N/S + E/W) not considering NUMA affinity.</a:t>
          </a:r>
          <a:endParaRPr lang="en-US" sz="1100">
            <a:solidFill>
              <a:sysClr val="windowText" lastClr="000000"/>
            </a:solidFill>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latin typeface="+mn-lt"/>
              <a:ea typeface="+mn-ea"/>
              <a:cs typeface="+mn-cs"/>
            </a:rPr>
            <a:t>VMs shall be dimensioned for all applications and operating systems supporting the vendor solution. The CNF vendor shall dimension the vCPU column taking into account that there is already CPU processing power reserved for VMware overhead (20% per blade).</a:t>
          </a:r>
          <a:endParaRPr lang="en-US" sz="1100">
            <a:solidFill>
              <a:sysClr val="windowText" lastClr="000000"/>
            </a:solidFill>
            <a:latin typeface="+mn-lt"/>
            <a:ea typeface="+mn-ea"/>
            <a:cs typeface="+mn-cs"/>
          </a:endParaRPr>
        </a:p>
        <a:p>
          <a:pPr marL="628650" lvl="1" indent="-171450" algn="just" eaLnBrk="1" fontAlgn="auto" latinLnBrk="0" hangingPunct="1">
            <a:buFont typeface="Arial" panose="020B0604020202020204" pitchFamily="7" charset="0"/>
            <a:buChar char="•"/>
          </a:pPr>
          <a:r>
            <a:rPr lang="en-GB" sz="1100">
              <a:solidFill>
                <a:sysClr val="windowText" lastClr="000000"/>
              </a:solidFill>
              <a:latin typeface="+mn-lt"/>
              <a:ea typeface="+mn-ea"/>
              <a:cs typeface="+mn-cs"/>
            </a:rPr>
            <a:t>VMs are to be used at the % level of utilization of an active VMs processing resources that is indicated in the deployment models of each VNF for each OpCo (that is contained in the OpCo's FSD document), which is also the same level of utilization at which the capacity statements are provided for each VNF/OpCo</a:t>
          </a:r>
          <a:endParaRPr lang="en-GB" sz="1100">
            <a:solidFill>
              <a:sysClr val="windowText" lastClr="000000"/>
            </a:solidFill>
            <a:latin typeface="+mn-lt"/>
            <a:ea typeface="+mn-ea"/>
            <a:cs typeface="+mn-cs"/>
          </a:endParaRPr>
        </a:p>
        <a:p>
          <a:endParaRPr lang="en-GB" sz="1100" b="0" i="0" u="none" strike="noStrike" baseline="0">
            <a:solidFill>
              <a:sysClr val="windowText" lastClr="000000"/>
            </a:solidFill>
            <a:latin typeface="+mn-lt"/>
            <a:ea typeface="+mn-ea"/>
            <a:cs typeface="+mn-cs"/>
          </a:endParaRPr>
        </a:p>
      </xdr:txBody>
    </xdr:sp>
    <xdr:clientData/>
  </xdr:twoCellAnchor>
  <xdr:twoCellAnchor>
    <xdr:from>
      <xdr:col>2</xdr:col>
      <xdr:colOff>6427694</xdr:colOff>
      <xdr:row>2</xdr:row>
      <xdr:rowOff>152400</xdr:rowOff>
    </xdr:from>
    <xdr:to>
      <xdr:col>10</xdr:col>
      <xdr:colOff>564776</xdr:colOff>
      <xdr:row>73</xdr:row>
      <xdr:rowOff>89646</xdr:rowOff>
    </xdr:to>
    <xdr:sp>
      <xdr:nvSpPr>
        <xdr:cNvPr id="3" name="TextBox 2"/>
        <xdr:cNvSpPr txBox="1"/>
      </xdr:nvSpPr>
      <xdr:spPr>
        <a:xfrm>
          <a:off x="7703820" y="1272540"/>
          <a:ext cx="7275195" cy="13913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600" b="1" i="0" u="none" strike="noStrike" kern="0" cap="none" spc="0" normalizeH="0" baseline="0" noProof="0">
              <a:ln>
                <a:noFill/>
              </a:ln>
              <a:solidFill>
                <a:srgbClr val="FF0000"/>
              </a:solidFill>
              <a:effectLst/>
              <a:uLnTx/>
              <a:uFillTx/>
              <a:latin typeface="+mn-lt"/>
              <a:ea typeface="+mn-ea"/>
              <a:cs typeface="+mn-cs"/>
            </a:rPr>
            <a:t>Scenario B:</a:t>
          </a:r>
          <a:r>
            <a:rPr kumimoji="0" lang="en-GB" sz="1600" b="1" i="0" u="none" strike="noStrike" kern="0" cap="none" spc="0" normalizeH="0" baseline="0">
              <a:ln>
                <a:noFill/>
              </a:ln>
              <a:solidFill>
                <a:srgbClr val="FF0000"/>
              </a:solidFill>
              <a:effectLst/>
              <a:uLnTx/>
              <a:uFillTx/>
              <a:latin typeface="+mn-lt"/>
              <a:ea typeface="+mn-ea"/>
              <a:cs typeface="+mn-cs"/>
            </a:rPr>
            <a:t> (Rackmount server-CLR)</a:t>
          </a:r>
          <a:endParaRPr kumimoji="0" lang="en-GB" sz="16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Cascade lake refresh processor</a:t>
          </a:r>
          <a:endParaRPr kumimoji="0" lang="en-GB" sz="14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a:solidFill>
                <a:schemeClr val="dk1"/>
              </a:solidFill>
              <a:effectLst/>
              <a:latin typeface="+mn-lt"/>
              <a:ea typeface="+mn-ea"/>
              <a:cs typeface="+mn-cs"/>
            </a:rPr>
            <a:t>Cascade lake refresh 6258R, 2.7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28 cores (56 total), per Host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a:t>
          </a:r>
          <a:r>
            <a:rPr lang="en-GB" sz="1100" b="0" i="0" baseline="0">
              <a:solidFill>
                <a:schemeClr val="dk1"/>
              </a:solidFill>
              <a:effectLst/>
              <a:latin typeface="+mn-lt"/>
              <a:ea typeface="+mn-ea"/>
              <a:cs typeface="+mn-cs"/>
            </a:rPr>
            <a:t>2 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(as above)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Data plane blade: 2 NICs (with 2 ports at 25Gbps per NIC) in 1+1 redundancy (at NIC level), 50% usage limit with Blocking architecture -&gt;  30 Gbps blade limit (as above)</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VNFs</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 </a:t>
          </a:r>
          <a:r>
            <a:rPr lang="en-GB" sz="1100" b="0" i="0" baseline="0">
              <a:solidFill>
                <a:schemeClr val="dk1"/>
              </a:solidFill>
              <a:effectLst/>
              <a:latin typeface="+mn-lt"/>
              <a:ea typeface="+mn-ea"/>
              <a:cs typeface="+mn-cs"/>
            </a:rPr>
            <a:t>44 vCPU </a:t>
          </a:r>
          <a:r>
            <a:rPr kumimoji="0" lang="en-GB" sz="1100" b="0" i="0" u="none" strike="noStrike" kern="0" cap="none" spc="0" normalizeH="0" baseline="0" noProof="0">
              <a:ln>
                <a:noFill/>
              </a:ln>
              <a:solidFill>
                <a:schemeClr val="tx1"/>
              </a:solidFill>
              <a:effectLst/>
              <a:uLnTx/>
              <a:uFillTx/>
              <a:latin typeface="+mn-lt"/>
              <a:ea typeface="+mn-ea"/>
              <a:cs typeface="+mn-cs"/>
            </a:rPr>
            <a:t>(additional 20% CPU processing power is already considered for VMware overhead, with the current CPU model it translates to </a:t>
          </a:r>
          <a:r>
            <a:rPr lang="en-GB" sz="1100" b="0" i="0" baseline="0">
              <a:solidFill>
                <a:schemeClr val="dk1"/>
              </a:solidFill>
              <a:effectLst/>
              <a:latin typeface="+mn-lt"/>
              <a:ea typeface="+mn-ea"/>
              <a:cs typeface="+mn-cs"/>
            </a:rPr>
            <a:t>12 vCPU</a:t>
          </a:r>
          <a:r>
            <a:rPr kumimoji="0" lang="en-GB" sz="1100" b="0" i="0" u="none" strike="noStrike" kern="0" cap="none" spc="0" normalizeH="0" baseline="0" noProof="0">
              <a:ln>
                <a:noFill/>
              </a:ln>
              <a:solidFill>
                <a:schemeClr val="tx1"/>
              </a:solidFill>
              <a:effectLst/>
              <a:uLnTx/>
              <a:uFillTx/>
              <a:latin typeface="+mn-lt"/>
              <a:ea typeface="+mn-ea"/>
              <a:cs typeface="+mn-cs"/>
            </a:rPr>
            <a:t>) </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44 vCPU (additional 20% CPU processing power is already considered for VMware overhead, with the current CPU model it translates to 12 vCPU)</a:t>
          </a: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7"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vBOM dimensioning rules</a:t>
          </a:r>
          <a:endParaRPr lang="en-GB" sz="1400" b="1">
            <a:solidFill>
              <a:sysClr val="windowText" lastClr="000000"/>
            </a:solidFill>
          </a:endParaRPr>
        </a:p>
        <a:p>
          <a:pPr marL="628650" lvl="1" indent="-171450" algn="just">
            <a:buFont typeface="Arial" panose="020B0604020202020204" pitchFamily="7" charset="0"/>
            <a:buChar char="•"/>
          </a:pPr>
          <a:r>
            <a:rPr lang="en-GB" sz="1100">
              <a:solidFill>
                <a:sysClr val="windowText" lastClr="000000"/>
              </a:solidFill>
            </a:rPr>
            <a:t>"Signalling plane VM"</a:t>
          </a:r>
          <a:endParaRPr lang="en-GB" sz="110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22vCPU can be accepted</a:t>
          </a:r>
          <a:endParaRPr lang="en-GB" sz="110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shall have bandwidth requirements no more than defined in previous section for Signalling, (N/S + E/W) not considering/considering NUMA affinity</a:t>
          </a:r>
          <a:endParaRPr lang="en-GB" sz="1100">
            <a:solidFill>
              <a:schemeClr val="dk1"/>
            </a:solidFill>
            <a:effectLst/>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rPr>
            <a:t>"Data</a:t>
          </a:r>
          <a:r>
            <a:rPr lang="en-GB" sz="1100" baseline="0">
              <a:solidFill>
                <a:sysClr val="windowText" lastClr="000000"/>
              </a:solidFill>
            </a:rPr>
            <a:t> plane POD"</a:t>
          </a:r>
          <a:endParaRPr lang="en-GB" sz="1100" baseline="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 </a:t>
          </a:r>
          <a:r>
            <a:rPr lang="en-GB" sz="1100" baseline="0">
              <a:solidFill>
                <a:schemeClr val="dk1"/>
              </a:solidFill>
              <a:effectLst/>
              <a:latin typeface="+mn-lt"/>
              <a:ea typeface="+mn-ea"/>
              <a:cs typeface="+mn-cs"/>
            </a:rPr>
            <a:t>size of 22vCPU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endParaRPr lang="en-GB" sz="1100" b="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7" charset="0"/>
            <a:buChar char="•"/>
          </a:pPr>
          <a:r>
            <a:rPr lang="en-GB" sz="1100">
              <a:solidFill>
                <a:sysClr val="windowText" lastClr="000000"/>
              </a:solidFill>
            </a:rPr>
            <a:t>VMs shall be dimensioned for all applications and operating systems supporting the vendor solution. The VNF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endParaRPr lang="en-GB" sz="1100">
            <a:solidFill>
              <a:sysClr val="windowText" lastClr="000000"/>
            </a:solidFill>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ysClr val="windowText" lastClr="000000"/>
              </a:solidFill>
              <a:effectLst/>
            </a:rPr>
            <a:t>VMs are to be used at the % level of utilization of an active VMs processing resources that is indicated in the deployment models of each VNF for each OpCo (that is contained in the OpCo's FSD document), which is also the same level of utilization at which the capacity statements are provided for each VNF/OpCo.</a:t>
          </a:r>
          <a:endParaRPr lang="en-GB" sz="1100">
            <a:solidFill>
              <a:sysClr val="windowText" lastClr="000000"/>
            </a:solidFill>
            <a:effectLst/>
          </a:endParaRPr>
        </a:p>
        <a:p>
          <a:endParaRPr lang="en-GB" sz="1100" b="0" i="0" u="none" strike="noStrike" baseline="0">
            <a:solidFill>
              <a:sysClr val="windowText" lastClr="000000"/>
            </a:solidFill>
            <a:latin typeface="+mn-lt"/>
            <a:ea typeface="+mn-ea"/>
            <a:cs typeface="+mn-cs"/>
          </a:endParaRPr>
        </a:p>
      </xdr:txBody>
    </xdr:sp>
    <xdr:clientData/>
  </xdr:twoCellAnchor>
  <xdr:twoCellAnchor>
    <xdr:from>
      <xdr:col>11</xdr:col>
      <xdr:colOff>242046</xdr:colOff>
      <xdr:row>2</xdr:row>
      <xdr:rowOff>170329</xdr:rowOff>
    </xdr:from>
    <xdr:to>
      <xdr:col>20</xdr:col>
      <xdr:colOff>582705</xdr:colOff>
      <xdr:row>73</xdr:row>
      <xdr:rowOff>98611</xdr:rowOff>
    </xdr:to>
    <xdr:sp>
      <xdr:nvSpPr>
        <xdr:cNvPr id="4" name="TextBox 3"/>
        <xdr:cNvSpPr txBox="1"/>
      </xdr:nvSpPr>
      <xdr:spPr>
        <a:xfrm>
          <a:off x="15294610" y="1290320"/>
          <a:ext cx="6083935" cy="139045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600" b="1" i="0" u="none" strike="noStrike" kern="0" cap="none" spc="0" normalizeH="0" baseline="0" noProof="0">
              <a:ln>
                <a:noFill/>
              </a:ln>
              <a:solidFill>
                <a:srgbClr val="FF0000"/>
              </a:solidFill>
              <a:effectLst/>
              <a:uLnTx/>
              <a:uFillTx/>
              <a:latin typeface="+mn-lt"/>
              <a:ea typeface="+mn-ea"/>
              <a:cs typeface="+mn-cs"/>
            </a:rPr>
            <a:t>Scenario C:</a:t>
          </a:r>
          <a:r>
            <a:rPr kumimoji="0" lang="en-GB" sz="1600" b="1" i="0" u="none" strike="noStrike" kern="0" cap="none" spc="0" normalizeH="0" baseline="0">
              <a:ln>
                <a:noFill/>
              </a:ln>
              <a:solidFill>
                <a:srgbClr val="FF0000"/>
              </a:solidFill>
              <a:effectLst/>
              <a:uLnTx/>
              <a:uFillTx/>
              <a:latin typeface="+mn-lt"/>
              <a:ea typeface="+mn-ea"/>
              <a:cs typeface="+mn-cs"/>
            </a:rPr>
            <a:t> (Rackmount server-Sapphire Rapid)</a:t>
          </a:r>
          <a:endParaRPr kumimoji="0" lang="en-GB" sz="16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DELL RMS PowerEdgeR760- Sapphire Rapids</a:t>
          </a:r>
          <a:endParaRPr kumimoji="0" lang="en-GB" sz="14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b="0" i="0">
              <a:solidFill>
                <a:schemeClr val="dk1"/>
              </a:solidFill>
              <a:effectLst/>
              <a:latin typeface="+mn-lt"/>
              <a:ea typeface="+mn-ea"/>
              <a:cs typeface="+mn-cs"/>
            </a:rPr>
            <a:t>Sapphire</a:t>
          </a:r>
          <a:r>
            <a:rPr lang="en-US" sz="1100" b="0" i="0" baseline="0">
              <a:solidFill>
                <a:schemeClr val="dk1"/>
              </a:solidFill>
              <a:effectLst/>
              <a:latin typeface="+mn-lt"/>
              <a:ea typeface="+mn-ea"/>
              <a:cs typeface="+mn-cs"/>
            </a:rPr>
            <a:t> Rapid</a:t>
          </a:r>
          <a:r>
            <a:rPr lang="en-US" sz="1100">
              <a:solidFill>
                <a:schemeClr val="dk1"/>
              </a:solidFill>
              <a:effectLst/>
              <a:latin typeface="+mn-lt"/>
              <a:ea typeface="+mn-ea"/>
              <a:cs typeface="+mn-cs"/>
            </a:rPr>
            <a:t> 6438N, 2.0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32 cores (64 total), per Host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Intel Build 1: </a:t>
          </a:r>
          <a:r>
            <a:rPr lang="en-GB" sz="1100" b="0" i="0" baseline="0">
              <a:solidFill>
                <a:schemeClr val="dk1"/>
              </a:solidFill>
              <a:effectLst/>
              <a:latin typeface="+mn-lt"/>
              <a:ea typeface="+mn-ea"/>
              <a:cs typeface="+mn-cs"/>
            </a:rPr>
            <a:t>2 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(when used for Signalling plane)</a:t>
          </a:r>
          <a:r>
            <a:rPr lang="en-GB" sz="1100" b="0" i="0" baseline="0">
              <a:solidFill>
                <a:schemeClr val="dk1"/>
              </a:solidFill>
              <a:effectLst/>
              <a:latin typeface="+mn-lt"/>
              <a:ea typeface="+mn-ea"/>
              <a:cs typeface="+mn-cs"/>
            </a:rPr>
            <a:t>-&gt; 30 Gbps blade limit (when used for Data plane)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Intel Build 2(Data plane blade): 2 NICs (with 2 ports at 100Gbps per NIC) in 1+1 redundancy (at NIC level), 50% usage limit with Blocking architecture -&gt;  50 Gbps blade limit (with EDP)</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RMS limits available for the VNFs</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 52 vCPU (additional 20% CPU processing power is already considered for VMware overhead, with the current CPU model it translates to 12 vCPU) </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52 vCPU(additional 20% CPU processing power is already considered for VMware overhead, with the current CPU model it translates to 12 vCPU) </a:t>
          </a: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7"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7" charset="0"/>
            <a:buNone/>
            <a:defRPr/>
          </a:pPr>
          <a:r>
            <a:rPr lang="en-US" sz="1100" b="0" i="0" baseline="0">
              <a:solidFill>
                <a:schemeClr val="dk1"/>
              </a:solidFill>
              <a:effectLst/>
              <a:latin typeface="+mn-lt"/>
              <a:ea typeface="+mn-ea"/>
              <a:cs typeface="+mn-cs"/>
            </a:rPr>
            <a:t>*For even Higher Throughput with 100 gb NICs SRIOV needs to be considered</a:t>
          </a:r>
          <a:endParaRPr lang="en-US">
            <a:effectLst/>
          </a:endParaRPr>
        </a:p>
        <a:p>
          <a:pPr marL="0" lvl="0" indent="0" eaLnBrk="1" fontAlgn="auto" latinLnBrk="0" hangingPunct="1">
            <a:buFont typeface="Arial" panose="020B0604020202020204" pitchFamily="7" charset="0"/>
            <a:buNone/>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vBOM dimensioning rules</a:t>
          </a:r>
          <a:endParaRPr lang="en-GB" sz="1400" b="1">
            <a:solidFill>
              <a:sysClr val="windowText" lastClr="000000"/>
            </a:solidFill>
          </a:endParaRPr>
        </a:p>
        <a:p>
          <a:pPr marL="628650" lvl="1" indent="-171450" algn="just">
            <a:buFont typeface="Arial" panose="020B0604020202020204" pitchFamily="7" charset="0"/>
            <a:buChar char="•"/>
          </a:pPr>
          <a:r>
            <a:rPr lang="en-GB" sz="1100">
              <a:solidFill>
                <a:sysClr val="windowText" lastClr="000000"/>
              </a:solidFill>
            </a:rPr>
            <a:t>"Signalling plane VM"</a:t>
          </a:r>
          <a:endParaRPr lang="en-GB" sz="110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26 vCPU can be accepted</a:t>
          </a:r>
          <a:endParaRPr lang="en-GB" sz="110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shall have bandwidth requirements no more than defined in previous section for Signalling, (N/S + E/W) not considering/considering NUMA affinity</a:t>
          </a:r>
          <a:endParaRPr lang="en-GB" sz="1100">
            <a:solidFill>
              <a:schemeClr val="dk1"/>
            </a:solidFill>
            <a:effectLst/>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rPr>
            <a:t>"Data</a:t>
          </a:r>
          <a:r>
            <a:rPr lang="en-GB" sz="1100" baseline="0">
              <a:solidFill>
                <a:sysClr val="windowText" lastClr="000000"/>
              </a:solidFill>
            </a:rPr>
            <a:t> plane VM"</a:t>
          </a:r>
          <a:endParaRPr lang="en-GB" sz="1100" baseline="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a:t>
          </a:r>
          <a:r>
            <a:rPr lang="en-GB" sz="1100" baseline="0">
              <a:solidFill>
                <a:schemeClr val="dk1"/>
              </a:solidFill>
              <a:effectLst/>
              <a:latin typeface="+mn-lt"/>
              <a:ea typeface="+mn-ea"/>
              <a:cs typeface="+mn-cs"/>
            </a:rPr>
            <a:t> size of 26 vCPU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endParaRPr lang="en-GB" sz="1100" b="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 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7" charset="0"/>
            <a:buChar char="•"/>
          </a:pPr>
          <a:r>
            <a:rPr lang="en-GB" sz="1100">
              <a:solidFill>
                <a:sysClr val="windowText" lastClr="000000"/>
              </a:solidFill>
            </a:rPr>
            <a:t>VMs shall be dimensioned for all applications and operating systems supporting the vendor solution. The VNF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endParaRPr lang="en-GB" sz="1100">
            <a:solidFill>
              <a:sysClr val="windowText" lastClr="000000"/>
            </a:solidFill>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ysClr val="windowText" lastClr="000000"/>
              </a:solidFill>
              <a:effectLst/>
            </a:rPr>
            <a:t>VMs are to be used at the % level of utilization of an active VMs processing resources that is indicated in the deployment models of each VNF for each OpCo (that is contained in the OpCo's FSD document), which is also the same level of utilization at which the capacity statements are provided for each VNF/OpCo.</a:t>
          </a:r>
          <a:endParaRPr lang="en-GB" sz="1100">
            <a:solidFill>
              <a:sysClr val="windowText" lastClr="000000"/>
            </a:solidFill>
            <a:effectLst/>
          </a:endParaRPr>
        </a:p>
        <a:p>
          <a:endParaRPr lang="en-GB" sz="1100" b="0" i="0" u="none" strike="noStrike" baseline="0">
            <a:solidFill>
              <a:sysClr val="windowText" lastClr="000000"/>
            </a:solidFill>
            <a:latin typeface="+mn-lt"/>
            <a:ea typeface="+mn-ea"/>
            <a:cs typeface="+mn-cs"/>
          </a:endParaRPr>
        </a:p>
      </xdr:txBody>
    </xdr:sp>
    <xdr:clientData/>
  </xdr:twoCellAnchor>
  <xdr:twoCellAnchor>
    <xdr:from>
      <xdr:col>21</xdr:col>
      <xdr:colOff>197225</xdr:colOff>
      <xdr:row>3</xdr:row>
      <xdr:rowOff>0</xdr:rowOff>
    </xdr:from>
    <xdr:to>
      <xdr:col>31</xdr:col>
      <xdr:colOff>268942</xdr:colOff>
      <xdr:row>73</xdr:row>
      <xdr:rowOff>26894</xdr:rowOff>
    </xdr:to>
    <xdr:sp>
      <xdr:nvSpPr>
        <xdr:cNvPr id="5" name="TextBox 4"/>
        <xdr:cNvSpPr txBox="1"/>
      </xdr:nvSpPr>
      <xdr:spPr>
        <a:xfrm>
          <a:off x="21631275" y="1316990"/>
          <a:ext cx="6453505" cy="13806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600" b="1" i="0" u="none" strike="noStrike" kern="0" cap="none" spc="0" normalizeH="0" baseline="0" noProof="0">
              <a:ln>
                <a:noFill/>
              </a:ln>
              <a:solidFill>
                <a:srgbClr val="FF0000"/>
              </a:solidFill>
              <a:effectLst/>
              <a:uLnTx/>
              <a:uFillTx/>
              <a:latin typeface="+mn-lt"/>
              <a:ea typeface="+mn-ea"/>
              <a:cs typeface="+mn-cs"/>
            </a:rPr>
            <a:t>Scenario D:</a:t>
          </a:r>
          <a:r>
            <a:rPr kumimoji="0" lang="en-GB" sz="1600" b="1" i="0" u="none" strike="noStrike" kern="0" cap="none" spc="0" normalizeH="0" baseline="0">
              <a:ln>
                <a:noFill/>
              </a:ln>
              <a:solidFill>
                <a:srgbClr val="FF0000"/>
              </a:solidFill>
              <a:effectLst/>
              <a:uLnTx/>
              <a:uFillTx/>
              <a:latin typeface="+mn-lt"/>
              <a:ea typeface="+mn-ea"/>
              <a:cs typeface="+mn-cs"/>
            </a:rPr>
            <a:t> (Rackmount server-AMD)</a:t>
          </a:r>
          <a:endParaRPr kumimoji="0" lang="en-GB" sz="16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DELL RMS PowerEdgeR6615- AMD-Genoa</a:t>
          </a:r>
          <a:endParaRPr kumimoji="0" lang="en-GB" sz="1400" b="1" i="0" u="none" strike="noStrike" kern="0" cap="none" spc="0" normalizeH="0" baseline="0">
            <a:ln>
              <a:noFill/>
            </a:ln>
            <a:solidFill>
              <a:srgbClr val="FF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kumimoji="0" lang="pt-PT" sz="1100" b="0" i="0" u="none" strike="noStrike" kern="0" cap="none" spc="0" normalizeH="0" baseline="0" noProof="0">
              <a:ln>
                <a:noFill/>
              </a:ln>
              <a:solidFill>
                <a:schemeClr val="dk1"/>
              </a:solidFill>
              <a:effectLst/>
              <a:uLnTx/>
              <a:uFillTx/>
              <a:latin typeface="+mn-lt"/>
              <a:ea typeface="+mn-ea"/>
              <a:cs typeface="+mn-cs"/>
            </a:rPr>
            <a:t>AMD</a:t>
          </a:r>
          <a:r>
            <a:rPr lang="pt-PT" sz="1100" b="0" i="0">
              <a:solidFill>
                <a:schemeClr val="dk1"/>
              </a:solidFill>
              <a:effectLst/>
              <a:latin typeface="+mn-lt"/>
              <a:ea typeface="+mn-ea"/>
              <a:cs typeface="+mn-cs"/>
            </a:rPr>
            <a:t> </a:t>
          </a:r>
          <a:r>
            <a:rPr lang="en-US" sz="1100" b="0" i="0">
              <a:solidFill>
                <a:schemeClr val="dk1"/>
              </a:solidFill>
              <a:effectLst/>
              <a:latin typeface="+mn-lt"/>
              <a:ea typeface="+mn-ea"/>
              <a:cs typeface="+mn-cs"/>
            </a:rPr>
            <a:t>Genoa</a:t>
          </a:r>
          <a:r>
            <a:rPr lang="en-US" sz="1100">
              <a:solidFill>
                <a:schemeClr val="dk1"/>
              </a:solidFill>
              <a:effectLst/>
              <a:latin typeface="+mn-lt"/>
              <a:ea typeface="+mn-ea"/>
              <a:cs typeface="+mn-cs"/>
            </a:rPr>
            <a:t> 9534, 2.4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1 processor 64 cores , per Host  </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AMD Build 1(high memory): </a:t>
          </a:r>
          <a:r>
            <a:rPr kumimoji="0" lang="en-GB" sz="1100" b="0" i="0" u="none" strike="noStrike" kern="0" cap="none" spc="0" normalizeH="0" baseline="0" noProof="0">
              <a:ln>
                <a:noFill/>
              </a:ln>
              <a:solidFill>
                <a:schemeClr val="dk1"/>
              </a:solidFill>
              <a:effectLst/>
              <a:uLnTx/>
              <a:uFillTx/>
              <a:latin typeface="+mn-lt"/>
              <a:ea typeface="+mn-ea"/>
              <a:cs typeface="+mn-cs"/>
            </a:rPr>
            <a:t>2 </a:t>
          </a:r>
          <a:r>
            <a:rPr lang="en-GB" sz="1100" b="0" i="0" baseline="0">
              <a:solidFill>
                <a:schemeClr val="dk1"/>
              </a:solidFill>
              <a:effectLst/>
              <a:latin typeface="+mn-lt"/>
              <a:ea typeface="+mn-ea"/>
              <a:cs typeface="+mn-cs"/>
            </a:rPr>
            <a:t>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(when used for Signalling plane)</a:t>
          </a:r>
          <a:r>
            <a:rPr lang="en-GB" sz="1100" b="0" i="0" baseline="0">
              <a:solidFill>
                <a:schemeClr val="dk1"/>
              </a:solidFill>
              <a:effectLst/>
              <a:latin typeface="+mn-lt"/>
              <a:ea typeface="+mn-ea"/>
              <a:cs typeface="+mn-cs"/>
            </a:rPr>
            <a:t>-&gt; 30 Gbps blade limit (when used for Data plane)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AMD Build 2(High Memory): 1 NICs (with 2 ports at 100Gbps per NIC) in 1+1 redundancy (at NIC level), 50% usage limit with Blocking architecture -&gt;  50 Gbps blade limit (with EDP)</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AMD Build 3(Low memory): 2 NICs (with 2 ports at 25Gbps per NIC) in 1+1 redundancy (at NIC level),  in 1+1 redundancy, 50% usage limit with Blocking architecture -&gt; 15 Gbps blade limit (when used for Signalling plane)-&gt; 30 Gbps blade limit (when used for Data plane)</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b="0" i="0" baseline="0">
              <a:solidFill>
                <a:schemeClr val="dk1"/>
              </a:solidFill>
              <a:effectLst/>
              <a:latin typeface="+mn-lt"/>
              <a:ea typeface="+mn-ea"/>
              <a:cs typeface="+mn-cs"/>
            </a:rPr>
            <a:t>AMD Build 2(Low Memory): 1 NICs (with 2 ports at 100Gbps per NIC) in 1+1 redundancy (at NIC level), 50% usage limit with Blocking architecture -&gt;  50 Gbps blade limit (with EDP)</a:t>
          </a:r>
          <a:endParaRPr lang="en-GB" sz="1100" b="0" i="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7" charset="0"/>
            <a:buNone/>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RM limits available for the VNFs</a:t>
          </a: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 52 vCPU (additional 20% CPU processing power is already considered for VMware overhead, with the current CPU model it translates to 12 vCPU) </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52 vCPU (additional 20% CPU processing power is already considered for VMware overhead, with the current CPU model it translates to 12 vCPU) </a:t>
          </a: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7"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7"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7" charset="0"/>
            <a:buNone/>
            <a:defRPr/>
          </a:pPr>
          <a:r>
            <a:rPr lang="en-US" sz="1100" b="0" i="0" baseline="0">
              <a:solidFill>
                <a:schemeClr val="dk1"/>
              </a:solidFill>
              <a:effectLst/>
              <a:latin typeface="+mn-lt"/>
              <a:ea typeface="+mn-ea"/>
              <a:cs typeface="+mn-cs"/>
            </a:rPr>
            <a:t>*For even Higher Throughput with 100 GB NICs SRIOV needs to be considered</a:t>
          </a:r>
          <a:endParaRPr lang="en-US">
            <a:effectLst/>
          </a:endParaRPr>
        </a:p>
        <a:p>
          <a:pPr marL="0" lvl="0" indent="0" eaLnBrk="1" fontAlgn="auto" latinLnBrk="0" hangingPunct="1">
            <a:buFont typeface="Arial" panose="020B0604020202020204" pitchFamily="7" charset="0"/>
            <a:buNone/>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7"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vBOM dimensioning rules</a:t>
          </a:r>
          <a:endParaRPr lang="en-GB" sz="1400" b="1">
            <a:solidFill>
              <a:sysClr val="windowText" lastClr="000000"/>
            </a:solidFill>
          </a:endParaRPr>
        </a:p>
        <a:p>
          <a:pPr marL="628650" lvl="1" indent="-171450" algn="just">
            <a:buFont typeface="Arial" panose="020B0604020202020204" pitchFamily="7" charset="0"/>
            <a:buChar char="•"/>
          </a:pPr>
          <a:r>
            <a:rPr lang="en-GB" sz="1100">
              <a:solidFill>
                <a:sysClr val="windowText" lastClr="000000"/>
              </a:solidFill>
            </a:rPr>
            <a:t>"Signalling plane VM"</a:t>
          </a:r>
          <a:endParaRPr lang="en-GB" sz="110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is not recommended to have no more than 10 vCPU.</a:t>
          </a:r>
          <a:r>
            <a:rPr lang="en-GB" sz="1100" baseline="0">
              <a:solidFill>
                <a:schemeClr val="dk1"/>
              </a:solidFill>
              <a:effectLst/>
              <a:latin typeface="+mn-lt"/>
              <a:ea typeface="+mn-ea"/>
              <a:cs typeface="+mn-cs"/>
            </a:rPr>
            <a:t> In exception cases and with justifcation VM size of 26vCPU can be accepted</a:t>
          </a:r>
          <a:endParaRPr lang="en-GB" sz="110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 shall have bandwidth requirements no more than defined in previous section for Signalling, (N/S + E/W) not considering/considering NUMA affinity</a:t>
          </a:r>
          <a:endParaRPr lang="en-GB" sz="1100">
            <a:solidFill>
              <a:schemeClr val="dk1"/>
            </a:solidFill>
            <a:effectLst/>
            <a:latin typeface="+mn-lt"/>
            <a:ea typeface="+mn-ea"/>
            <a:cs typeface="+mn-cs"/>
          </a:endParaRPr>
        </a:p>
        <a:p>
          <a:pPr marL="628650" lvl="1" indent="-171450" algn="just">
            <a:buFont typeface="Arial" panose="020B0604020202020204" pitchFamily="7" charset="0"/>
            <a:buChar char="•"/>
          </a:pPr>
          <a:r>
            <a:rPr lang="en-GB" sz="1100">
              <a:solidFill>
                <a:sysClr val="windowText" lastClr="000000"/>
              </a:solidFill>
            </a:rPr>
            <a:t>"Data</a:t>
          </a:r>
          <a:r>
            <a:rPr lang="en-GB" sz="1100" baseline="0">
              <a:solidFill>
                <a:sysClr val="windowText" lastClr="000000"/>
              </a:solidFill>
            </a:rPr>
            <a:t> plane VM"</a:t>
          </a:r>
          <a:endParaRPr lang="en-GB" sz="1100" baseline="0">
            <a:solidFill>
              <a:sysClr val="windowText" lastClr="000000"/>
            </a:solidFill>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 </a:t>
          </a:r>
          <a:r>
            <a:rPr lang="en-GB" sz="1100" baseline="0">
              <a:solidFill>
                <a:schemeClr val="dk1"/>
              </a:solidFill>
              <a:effectLst/>
              <a:latin typeface="+mn-lt"/>
              <a:ea typeface="+mn-ea"/>
              <a:cs typeface="+mn-cs"/>
            </a:rPr>
            <a:t>size of 26vCPU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endParaRPr lang="en-GB" sz="1100" b="0" baseline="0">
            <a:solidFill>
              <a:schemeClr val="dk1"/>
            </a:solidFill>
            <a:effectLst/>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chemeClr val="dk1"/>
              </a:solidFill>
              <a:effectLst/>
              <a:latin typeface="+mn-lt"/>
              <a:ea typeface="+mn-ea"/>
              <a:cs typeface="+mn-cs"/>
            </a:rPr>
            <a:t>VMs 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7" charset="0"/>
            <a:buChar char="•"/>
          </a:pPr>
          <a:r>
            <a:rPr lang="en-GB" sz="1100">
              <a:solidFill>
                <a:sysClr val="windowText" lastClr="000000"/>
              </a:solidFill>
            </a:rPr>
            <a:t>VMs shall be dimensioned for all applications and operating systems supporting the vendor solution. The VNF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endParaRPr lang="en-GB" sz="1100">
            <a:solidFill>
              <a:sysClr val="windowText" lastClr="000000"/>
            </a:solidFill>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7" charset="0"/>
            <a:buChar char="•"/>
            <a:defRPr/>
          </a:pPr>
          <a:r>
            <a:rPr lang="en-GB" sz="1100">
              <a:solidFill>
                <a:sysClr val="windowText" lastClr="000000"/>
              </a:solidFill>
              <a:effectLst/>
            </a:rPr>
            <a:t>VM are to be used at the % level of utilization of an active POD's processing resources that is indicated in the deployment models of each</a:t>
          </a:r>
          <a:r>
            <a:rPr lang="en-GB" sz="1100" baseline="0">
              <a:solidFill>
                <a:sysClr val="windowText" lastClr="000000"/>
              </a:solidFill>
              <a:effectLst/>
            </a:rPr>
            <a:t> V</a:t>
          </a:r>
          <a:r>
            <a:rPr lang="en-GB" sz="1100">
              <a:solidFill>
                <a:sysClr val="windowText" lastClr="000000"/>
              </a:solidFill>
              <a:effectLst/>
            </a:rPr>
            <a:t>NF for each OpCo (that is contained in the OpCo's FSD document), which is also the same level of utilization at which the capacity statements are provided for each VNF/OpCo.</a:t>
          </a:r>
          <a:endParaRPr lang="en-GB" sz="1100">
            <a:solidFill>
              <a:sysClr val="windowText" lastClr="000000"/>
            </a:solidFill>
            <a:effectLst/>
          </a:endParaRPr>
        </a:p>
        <a:p>
          <a:endParaRPr lang="en-GB" sz="1100" b="0" i="0" u="none" strike="noStrike" baseline="0">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971550" cy="742950"/>
    <xdr:pic>
      <xdr:nvPicPr>
        <xdr:cNvPr id="2" name="Picture 1"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917575"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47625</xdr:colOff>
      <xdr:row>0</xdr:row>
      <xdr:rowOff>38100</xdr:rowOff>
    </xdr:from>
    <xdr:to>
      <xdr:col>16</xdr:col>
      <xdr:colOff>476252</xdr:colOff>
      <xdr:row>3</xdr:row>
      <xdr:rowOff>0</xdr:rowOff>
    </xdr:to>
    <xdr:sp>
      <xdr:nvSpPr>
        <xdr:cNvPr id="2" name="CasellaDiTesto 2"/>
        <xdr:cNvSpPr txBox="1"/>
      </xdr:nvSpPr>
      <xdr:spPr>
        <a:xfrm>
          <a:off x="7212330" y="38100"/>
          <a:ext cx="5534025" cy="727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47625</xdr:colOff>
      <xdr:row>69</xdr:row>
      <xdr:rowOff>38100</xdr:rowOff>
    </xdr:from>
    <xdr:to>
      <xdr:col>16</xdr:col>
      <xdr:colOff>476252</xdr:colOff>
      <xdr:row>73</xdr:row>
      <xdr:rowOff>117929</xdr:rowOff>
    </xdr:to>
    <xdr:sp>
      <xdr:nvSpPr>
        <xdr:cNvPr id="3" name="CasellaDiTesto 2"/>
        <xdr:cNvSpPr txBox="1"/>
      </xdr:nvSpPr>
      <xdr:spPr>
        <a:xfrm>
          <a:off x="7212330" y="13785850"/>
          <a:ext cx="553402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452437</xdr:colOff>
      <xdr:row>82</xdr:row>
      <xdr:rowOff>150812</xdr:rowOff>
    </xdr:from>
    <xdr:to>
      <xdr:col>17</xdr:col>
      <xdr:colOff>246064</xdr:colOff>
      <xdr:row>87</xdr:row>
      <xdr:rowOff>40141</xdr:rowOff>
    </xdr:to>
    <xdr:sp>
      <xdr:nvSpPr>
        <xdr:cNvPr id="4" name="CasellaDiTesto 2"/>
        <xdr:cNvSpPr txBox="1"/>
      </xdr:nvSpPr>
      <xdr:spPr>
        <a:xfrm>
          <a:off x="7616825" y="16543020"/>
          <a:ext cx="5537200" cy="1032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484188</xdr:colOff>
      <xdr:row>96</xdr:row>
      <xdr:rowOff>111126</xdr:rowOff>
    </xdr:from>
    <xdr:to>
      <xdr:col>17</xdr:col>
      <xdr:colOff>277815</xdr:colOff>
      <xdr:row>101</xdr:row>
      <xdr:rowOff>455</xdr:rowOff>
    </xdr:to>
    <xdr:sp>
      <xdr:nvSpPr>
        <xdr:cNvPr id="5" name="CasellaDiTesto 2"/>
        <xdr:cNvSpPr txBox="1"/>
      </xdr:nvSpPr>
      <xdr:spPr>
        <a:xfrm>
          <a:off x="7648575" y="19342100"/>
          <a:ext cx="5537200" cy="1031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563562</xdr:colOff>
      <xdr:row>110</xdr:row>
      <xdr:rowOff>182562</xdr:rowOff>
    </xdr:from>
    <xdr:to>
      <xdr:col>17</xdr:col>
      <xdr:colOff>357189</xdr:colOff>
      <xdr:row>115</xdr:row>
      <xdr:rowOff>63954</xdr:rowOff>
    </xdr:to>
    <xdr:sp>
      <xdr:nvSpPr>
        <xdr:cNvPr id="6" name="CasellaDiTesto 2"/>
        <xdr:cNvSpPr txBox="1"/>
      </xdr:nvSpPr>
      <xdr:spPr>
        <a:xfrm>
          <a:off x="7727950" y="22251670"/>
          <a:ext cx="5537200" cy="1033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9</xdr:col>
      <xdr:colOff>39688</xdr:colOff>
      <xdr:row>123</xdr:row>
      <xdr:rowOff>119063</xdr:rowOff>
    </xdr:from>
    <xdr:to>
      <xdr:col>17</xdr:col>
      <xdr:colOff>468315</xdr:colOff>
      <xdr:row>128</xdr:row>
      <xdr:rowOff>8392</xdr:rowOff>
    </xdr:to>
    <xdr:sp>
      <xdr:nvSpPr>
        <xdr:cNvPr id="7" name="CasellaDiTesto 2"/>
        <xdr:cNvSpPr txBox="1"/>
      </xdr:nvSpPr>
      <xdr:spPr>
        <a:xfrm>
          <a:off x="7842250" y="24842470"/>
          <a:ext cx="5534025" cy="1032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9</xdr:col>
      <xdr:colOff>87312</xdr:colOff>
      <xdr:row>138</xdr:row>
      <xdr:rowOff>95251</xdr:rowOff>
    </xdr:from>
    <xdr:to>
      <xdr:col>17</xdr:col>
      <xdr:colOff>515939</xdr:colOff>
      <xdr:row>142</xdr:row>
      <xdr:rowOff>167142</xdr:rowOff>
    </xdr:to>
    <xdr:sp>
      <xdr:nvSpPr>
        <xdr:cNvPr id="8" name="CasellaDiTesto 2"/>
        <xdr:cNvSpPr txBox="1"/>
      </xdr:nvSpPr>
      <xdr:spPr>
        <a:xfrm>
          <a:off x="7889875" y="27851100"/>
          <a:ext cx="5534025" cy="1030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9</xdr:col>
      <xdr:colOff>214313</xdr:colOff>
      <xdr:row>151</xdr:row>
      <xdr:rowOff>150813</xdr:rowOff>
    </xdr:from>
    <xdr:to>
      <xdr:col>18</xdr:col>
      <xdr:colOff>7940</xdr:colOff>
      <xdr:row>156</xdr:row>
      <xdr:rowOff>32204</xdr:rowOff>
    </xdr:to>
    <xdr:sp>
      <xdr:nvSpPr>
        <xdr:cNvPr id="9" name="CasellaDiTesto 2"/>
        <xdr:cNvSpPr txBox="1"/>
      </xdr:nvSpPr>
      <xdr:spPr>
        <a:xfrm>
          <a:off x="8016875" y="30560645"/>
          <a:ext cx="5537200" cy="1033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9</xdr:col>
      <xdr:colOff>198437</xdr:colOff>
      <xdr:row>164</xdr:row>
      <xdr:rowOff>174625</xdr:rowOff>
    </xdr:from>
    <xdr:to>
      <xdr:col>17</xdr:col>
      <xdr:colOff>627064</xdr:colOff>
      <xdr:row>169</xdr:row>
      <xdr:rowOff>71891</xdr:rowOff>
    </xdr:to>
    <xdr:sp>
      <xdr:nvSpPr>
        <xdr:cNvPr id="10" name="CasellaDiTesto 2"/>
        <xdr:cNvSpPr txBox="1"/>
      </xdr:nvSpPr>
      <xdr:spPr>
        <a:xfrm>
          <a:off x="8001000" y="33239075"/>
          <a:ext cx="5534025" cy="1030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47625</xdr:colOff>
      <xdr:row>182</xdr:row>
      <xdr:rowOff>38100</xdr:rowOff>
    </xdr:from>
    <xdr:to>
      <xdr:col>16</xdr:col>
      <xdr:colOff>476252</xdr:colOff>
      <xdr:row>186</xdr:row>
      <xdr:rowOff>117929</xdr:rowOff>
    </xdr:to>
    <xdr:sp>
      <xdr:nvSpPr>
        <xdr:cNvPr id="11" name="CasellaDiTesto 2"/>
        <xdr:cNvSpPr txBox="1"/>
      </xdr:nvSpPr>
      <xdr:spPr>
        <a:xfrm>
          <a:off x="7212330" y="36687125"/>
          <a:ext cx="553402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47625</xdr:colOff>
      <xdr:row>196</xdr:row>
      <xdr:rowOff>38100</xdr:rowOff>
    </xdr:from>
    <xdr:to>
      <xdr:col>16</xdr:col>
      <xdr:colOff>476252</xdr:colOff>
      <xdr:row>200</xdr:row>
      <xdr:rowOff>117929</xdr:rowOff>
    </xdr:to>
    <xdr:sp>
      <xdr:nvSpPr>
        <xdr:cNvPr id="12" name="CasellaDiTesto 2"/>
        <xdr:cNvSpPr txBox="1"/>
      </xdr:nvSpPr>
      <xdr:spPr>
        <a:xfrm>
          <a:off x="7212330" y="39525575"/>
          <a:ext cx="553402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twoCellAnchor>
    <xdr:from>
      <xdr:col>8</xdr:col>
      <xdr:colOff>47625</xdr:colOff>
      <xdr:row>211</xdr:row>
      <xdr:rowOff>38100</xdr:rowOff>
    </xdr:from>
    <xdr:to>
      <xdr:col>16</xdr:col>
      <xdr:colOff>476252</xdr:colOff>
      <xdr:row>215</xdr:row>
      <xdr:rowOff>117929</xdr:rowOff>
    </xdr:to>
    <xdr:sp>
      <xdr:nvSpPr>
        <xdr:cNvPr id="13" name="CasellaDiTesto 2"/>
        <xdr:cNvSpPr txBox="1"/>
      </xdr:nvSpPr>
      <xdr:spPr>
        <a:xfrm>
          <a:off x="7212330" y="42548175"/>
          <a:ext cx="553402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endParaRPr lang="it-IT" sz="1100"/>
        </a:p>
        <a:p>
          <a:endParaRPr lang="it-IT"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38100</xdr:colOff>
      <xdr:row>0</xdr:row>
      <xdr:rowOff>47625</xdr:rowOff>
    </xdr:from>
    <xdr:to>
      <xdr:col>17</xdr:col>
      <xdr:colOff>0</xdr:colOff>
      <xdr:row>4</xdr:row>
      <xdr:rowOff>104775</xdr:rowOff>
    </xdr:to>
    <xdr:sp>
      <xdr:nvSpPr>
        <xdr:cNvPr id="2" name="CasellaDiTesto 2"/>
        <xdr:cNvSpPr txBox="1"/>
      </xdr:nvSpPr>
      <xdr:spPr>
        <a:xfrm>
          <a:off x="7591425" y="47625"/>
          <a:ext cx="5705475"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64</xdr:row>
      <xdr:rowOff>0</xdr:rowOff>
    </xdr:from>
    <xdr:to>
      <xdr:col>16</xdr:col>
      <xdr:colOff>596900</xdr:colOff>
      <xdr:row>68</xdr:row>
      <xdr:rowOff>39687</xdr:rowOff>
    </xdr:to>
    <xdr:sp>
      <xdr:nvSpPr>
        <xdr:cNvPr id="3" name="CasellaDiTesto 2"/>
        <xdr:cNvSpPr txBox="1"/>
      </xdr:nvSpPr>
      <xdr:spPr>
        <a:xfrm>
          <a:off x="7553325" y="12817475"/>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78</xdr:row>
      <xdr:rowOff>0</xdr:rowOff>
    </xdr:from>
    <xdr:to>
      <xdr:col>16</xdr:col>
      <xdr:colOff>596900</xdr:colOff>
      <xdr:row>82</xdr:row>
      <xdr:rowOff>39687</xdr:rowOff>
    </xdr:to>
    <xdr:sp>
      <xdr:nvSpPr>
        <xdr:cNvPr id="4" name="CasellaDiTesto 2"/>
        <xdr:cNvSpPr txBox="1"/>
      </xdr:nvSpPr>
      <xdr:spPr>
        <a:xfrm>
          <a:off x="7553325" y="15655925"/>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92</xdr:row>
      <xdr:rowOff>0</xdr:rowOff>
    </xdr:from>
    <xdr:to>
      <xdr:col>16</xdr:col>
      <xdr:colOff>596900</xdr:colOff>
      <xdr:row>96</xdr:row>
      <xdr:rowOff>39687</xdr:rowOff>
    </xdr:to>
    <xdr:sp>
      <xdr:nvSpPr>
        <xdr:cNvPr id="5" name="CasellaDiTesto 2"/>
        <xdr:cNvSpPr txBox="1"/>
      </xdr:nvSpPr>
      <xdr:spPr>
        <a:xfrm>
          <a:off x="7553325" y="18494375"/>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106</xdr:row>
      <xdr:rowOff>0</xdr:rowOff>
    </xdr:from>
    <xdr:to>
      <xdr:col>16</xdr:col>
      <xdr:colOff>596900</xdr:colOff>
      <xdr:row>110</xdr:row>
      <xdr:rowOff>31749</xdr:rowOff>
    </xdr:to>
    <xdr:sp>
      <xdr:nvSpPr>
        <xdr:cNvPr id="6" name="CasellaDiTesto 2"/>
        <xdr:cNvSpPr txBox="1"/>
      </xdr:nvSpPr>
      <xdr:spPr>
        <a:xfrm>
          <a:off x="7553325" y="21332825"/>
          <a:ext cx="5702300" cy="989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119</xdr:row>
      <xdr:rowOff>0</xdr:rowOff>
    </xdr:from>
    <xdr:to>
      <xdr:col>16</xdr:col>
      <xdr:colOff>596900</xdr:colOff>
      <xdr:row>123</xdr:row>
      <xdr:rowOff>39687</xdr:rowOff>
    </xdr:to>
    <xdr:sp>
      <xdr:nvSpPr>
        <xdr:cNvPr id="7" name="CasellaDiTesto 2"/>
        <xdr:cNvSpPr txBox="1"/>
      </xdr:nvSpPr>
      <xdr:spPr>
        <a:xfrm>
          <a:off x="7553325" y="23987125"/>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134</xdr:row>
      <xdr:rowOff>0</xdr:rowOff>
    </xdr:from>
    <xdr:to>
      <xdr:col>16</xdr:col>
      <xdr:colOff>596900</xdr:colOff>
      <xdr:row>138</xdr:row>
      <xdr:rowOff>31750</xdr:rowOff>
    </xdr:to>
    <xdr:sp>
      <xdr:nvSpPr>
        <xdr:cNvPr id="8" name="CasellaDiTesto 2"/>
        <xdr:cNvSpPr txBox="1"/>
      </xdr:nvSpPr>
      <xdr:spPr>
        <a:xfrm>
          <a:off x="7553325" y="27019250"/>
          <a:ext cx="57023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147</xdr:row>
      <xdr:rowOff>0</xdr:rowOff>
    </xdr:from>
    <xdr:to>
      <xdr:col>16</xdr:col>
      <xdr:colOff>596900</xdr:colOff>
      <xdr:row>151</xdr:row>
      <xdr:rowOff>31750</xdr:rowOff>
    </xdr:to>
    <xdr:sp>
      <xdr:nvSpPr>
        <xdr:cNvPr id="9" name="CasellaDiTesto 2"/>
        <xdr:cNvSpPr txBox="1"/>
      </xdr:nvSpPr>
      <xdr:spPr>
        <a:xfrm>
          <a:off x="7553325" y="29673550"/>
          <a:ext cx="57023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160</xdr:row>
      <xdr:rowOff>0</xdr:rowOff>
    </xdr:from>
    <xdr:to>
      <xdr:col>16</xdr:col>
      <xdr:colOff>596900</xdr:colOff>
      <xdr:row>164</xdr:row>
      <xdr:rowOff>39687</xdr:rowOff>
    </xdr:to>
    <xdr:sp>
      <xdr:nvSpPr>
        <xdr:cNvPr id="10" name="CasellaDiTesto 2"/>
        <xdr:cNvSpPr txBox="1"/>
      </xdr:nvSpPr>
      <xdr:spPr>
        <a:xfrm>
          <a:off x="7553325" y="32327850"/>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177</xdr:row>
      <xdr:rowOff>0</xdr:rowOff>
    </xdr:from>
    <xdr:to>
      <xdr:col>16</xdr:col>
      <xdr:colOff>596900</xdr:colOff>
      <xdr:row>181</xdr:row>
      <xdr:rowOff>39687</xdr:rowOff>
    </xdr:to>
    <xdr:sp>
      <xdr:nvSpPr>
        <xdr:cNvPr id="11" name="CasellaDiTesto 2"/>
        <xdr:cNvSpPr txBox="1"/>
      </xdr:nvSpPr>
      <xdr:spPr>
        <a:xfrm>
          <a:off x="7553325" y="35718750"/>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191</xdr:row>
      <xdr:rowOff>0</xdr:rowOff>
    </xdr:from>
    <xdr:to>
      <xdr:col>16</xdr:col>
      <xdr:colOff>596900</xdr:colOff>
      <xdr:row>195</xdr:row>
      <xdr:rowOff>39687</xdr:rowOff>
    </xdr:to>
    <xdr:sp>
      <xdr:nvSpPr>
        <xdr:cNvPr id="12" name="CasellaDiTesto 2"/>
        <xdr:cNvSpPr txBox="1"/>
      </xdr:nvSpPr>
      <xdr:spPr>
        <a:xfrm>
          <a:off x="7553325" y="38557200"/>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0</xdr:colOff>
      <xdr:row>205</xdr:row>
      <xdr:rowOff>0</xdr:rowOff>
    </xdr:from>
    <xdr:to>
      <xdr:col>16</xdr:col>
      <xdr:colOff>596900</xdr:colOff>
      <xdr:row>209</xdr:row>
      <xdr:rowOff>39687</xdr:rowOff>
    </xdr:to>
    <xdr:sp>
      <xdr:nvSpPr>
        <xdr:cNvPr id="13" name="CasellaDiTesto 2"/>
        <xdr:cNvSpPr txBox="1"/>
      </xdr:nvSpPr>
      <xdr:spPr>
        <a:xfrm>
          <a:off x="7553325" y="41395650"/>
          <a:ext cx="5702300" cy="988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VM type, e.g. if N VMs of a certain type are needed to manage the offered traffic/subscribers and they support 1+1 HA, the vendor shall already count 2 x N in the BoM (and similarly for N+1 cases)</a:t>
          </a:r>
          <a:endParaRPr lang="en-GB" sz="1100">
            <a:solidFill>
              <a:schemeClr val="dk1"/>
            </a:solidFill>
            <a:effectLst/>
            <a:latin typeface="+mn-lt"/>
            <a:ea typeface="+mn-ea"/>
            <a:cs typeface="+mn-cs"/>
          </a:endParaRP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971550" cy="742950"/>
    <xdr:pic>
      <xdr:nvPicPr>
        <xdr:cNvPr id="2" name="Picture 1"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3" name="Picture 2"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4" name="Picture 3"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5" name="Picture 4"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6" name="Picture 5"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7" name="Picture 6" descr="powerPoint.png"/>
        <xdr:cNvPicPr>
          <a:picLocks noChangeAspect="1"/>
        </xdr:cNvPicPr>
      </xdr:nvPicPr>
      <xdr:blipFill>
        <a:blip r:embed="rId1" cstate="print">
          <a:extLst>
            <a:ext uri="{28A0092B-C50C-407E-A947-70E740481C1C}">
              <a14:useLocalDpi xmlns:a14="http://schemas.microsoft.com/office/drawing/2010/main" val="0"/>
            </a:ext>
          </a:extLst>
        </a:blip>
        <a:srcRect l="75664" t="48519" b="41192"/>
        <a:stretch>
          <a:fillRect/>
        </a:stretch>
      </xdr:blipFill>
      <xdr:spPr>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Users\klaus.schipke\AppData\Local\Microsoft\Windows\Temporary Internet Files\Content.Outlook\1226VI3S\DNS_Detailed_Project_Cost-03.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Users\keenep1.VF-ROOT\Desktop\DB_20151025 DATA CORE_CONSOLIDATED_V1 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guido.machtemes\AppData\Local\Microsoft\Windows\Temporary Internet Files\Content.Outlook\58LZAPMB\Detailed_Project_Cost_KAPA_BY15-16.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C:\Users\syedmoha\New_Practice\https:\vodafone.sharepoint.com\sites\Spring2-UKProgrammeMgmt\Shared Documents\Spring Nodes Design\001 cBoMs &amp; vBoMs\vBoMs\CCE Current Version\Configuration"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ile:///C:\Users\syedmoha\New_Practice\https:\vodafone.sharepoint.com\sites\Spring2-UKProgrammeMgmt\Shared Documents\Spring Nodes Design\001 cBoMs &amp; vBoMs\vBoMs\CCE Current Version\DiscountRate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file:///C:\Users\syedmoha\New_Practice\https:\ericsson-my.sharepoint.com\personal\sean_rowland_ericsson_com\Documents\Documents\ericsson\customers\Vodafone\S2R Deployment\BoM sharing\22. 300524\Configuration"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ile:///C:\Users\syedmoha\New_Practice\https:\ericsson-my.sharepoint.com\personal\sean_rowland_ericsson_com\Documents\Documents\ericsson\customers\Vodafone\S2R Deployment\BoM sharing\22. 300524\DiscountRate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syedmoha\Downloads\TEMS_XBOM_Export_Draf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figuration"/>
      <sheetName val="G1 Cost Details"/>
      <sheetName val="G1-Summary"/>
      <sheetName val="G2 Cost Details"/>
      <sheetName val="G2-Summary"/>
      <sheetName val="Consulting rationale"/>
      <sheetName val="PN-Antrag"/>
      <sheetName val="Parameter"/>
      <sheetName val="export"/>
      <sheetName val="PreDefinedValues"/>
      <sheetName val="DNS_Detailed_Project_Cost-03"/>
      <sheetName val="Margin Analysis YR1"/>
      <sheetName val="costing"/>
      <sheetName val="Margin Analysis YR2"/>
      <sheetName val="Margin Analysis YR3"/>
      <sheetName val="Margin Analysis YR4"/>
      <sheetName val="Margin Analysis YR5"/>
      <sheetName val="Picklist"/>
      <sheetName val="PacketCore_DropDownLis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B For Eng Use"/>
      <sheetName val="DB"/>
      <sheetName val="PIVOT TABLE_2"/>
      <sheetName val="PIVOT TABLE"/>
      <sheetName val="Project List"/>
      <sheetName val="Picklist"/>
      <sheetName val="Coding RUles"/>
      <sheetName val="Guidelines"/>
      <sheetName val="Legenda"/>
      <sheetName val="envelope"/>
      <sheetName val="calendar"/>
      <sheetName val="Organizatio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nfiguration"/>
      <sheetName val="G1 Cost Details"/>
      <sheetName val="G1-Summary"/>
      <sheetName val="G2 Cost Details"/>
      <sheetName val="G2-Summary"/>
      <sheetName val="Consulting rationale"/>
      <sheetName val="PN-Antrag"/>
      <sheetName val="Parameter"/>
      <sheetName val="export"/>
      <sheetName val="PreDefinedValues"/>
      <sheetName val="Detailed_Project_Cost_KAPA_BY15"/>
      <sheetName val="AMC Margin Setting v.2.0.0"/>
      <sheetName val="Picklist"/>
      <sheetName val="PacketCore_DropDownLis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nfiguration"/>
      <sheetName val="XP_CostInputSheet"/>
      <sheetName val="CostCalculationSheet_byS"/>
      <sheetName val="RevenueCalculationSheet"/>
      <sheetName val="CostInputSheet_byS"/>
      <sheetName val="RevenueInputSheet"/>
      <sheetName val="XP_RevenueInputSheet"/>
      <sheetName val="XP_CostInputSheet_byS"/>
      <sheetName val="G1 Cost Details"/>
      <sheetName val="G1-Summary"/>
      <sheetName val="G2 Cost Details"/>
      <sheetName val="G2-Summary"/>
      <sheetName val="Consulting rationale"/>
      <sheetName val="PN-Antrag"/>
      <sheetName val="Parameter"/>
      <sheetName val="export"/>
      <sheetName val="PreDefinedValues"/>
      <sheetName val="Pi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ountRates"/>
      <sheetName val="Configuration"/>
      <sheetName val="Daten"/>
      <sheetName val="PreDefinedValues"/>
      <sheetName val="Parameter"/>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figuration"/>
      <sheetName val="XP_CostInputSheet"/>
      <sheetName val="CostCalculationSheet_byS"/>
      <sheetName val="RevenueCalculationSheet"/>
      <sheetName val="CostInputSheet_byS"/>
      <sheetName val="RevenueInputSheet"/>
      <sheetName val="XP_RevenueInputSheet"/>
      <sheetName val="XP_CostInputSheet_byS"/>
      <sheetName val="G1 Cost Details"/>
      <sheetName val="G1-Summary"/>
      <sheetName val="G2 Cost Details"/>
      <sheetName val="G2-Summary"/>
      <sheetName val="Consulting rationale"/>
      <sheetName val="PN-Antrag"/>
      <sheetName val="Parameter"/>
      <sheetName val="export"/>
      <sheetName val="PreDefinedValues"/>
      <sheetName val="Pi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iscountRates"/>
      <sheetName val="Configuration"/>
      <sheetName val="Daten"/>
      <sheetName val="PreDefinedValues"/>
      <sheetName val="Parameter"/>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structions"/>
      <sheetName val="Version Control"/>
      <sheetName val="Infra Assumptions"/>
      <sheetName val="Revision Information"/>
      <sheetName val="VM settings"/>
      <sheetName val="VM settings (SAPC)"/>
      <sheetName val="Export"/>
      <sheetName val="External server for CCDM CA"/>
      <sheetName val="Capacity KPIs"/>
      <sheetName val="Capacity statements"/>
      <sheetName val="Minimum size VNF config"/>
      <sheetName val="Maximum size VNF config"/>
      <sheetName val="Data cluster vB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ocs.vmware.com/en/VMware-vCloud-NFV/2.0/vmware-tuning-vcloud-nfv-for-data-plane-intensive-workloads.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S33"/>
  <sheetViews>
    <sheetView zoomScale="90" zoomScaleNormal="90" topLeftCell="D1" workbookViewId="0">
      <selection activeCell="J4" sqref="J4"/>
    </sheetView>
  </sheetViews>
  <sheetFormatPr defaultColWidth="17.8545454545455" defaultRowHeight="15.5"/>
  <cols>
    <col min="1" max="1" width="17.8545454545455" style="200"/>
    <col min="2" max="2" width="49.5727272727273" style="200" customWidth="1"/>
    <col min="3" max="3" width="171.136363636364" style="200" customWidth="1"/>
    <col min="4" max="6" width="18.2818181818182" style="200" customWidth="1"/>
    <col min="7" max="8" width="22.7090909090909" style="200" customWidth="1"/>
    <col min="9" max="12" width="23" style="200" customWidth="1"/>
    <col min="13" max="15" width="23.5727272727273" style="201" customWidth="1"/>
    <col min="16" max="16" width="35.2818181818182" style="200" customWidth="1"/>
    <col min="17" max="17" width="16.7090909090909" style="200" customWidth="1"/>
    <col min="18" max="18" width="16.4272727272727" style="200" customWidth="1"/>
    <col min="19" max="23" width="17.8545454545455" style="200"/>
    <col min="24" max="24" width="26.2818181818182" style="200" customWidth="1"/>
    <col min="25" max="16384" width="17.8545454545455" style="200"/>
  </cols>
  <sheetData>
    <row r="1" s="197" customFormat="1" ht="58.5" customHeight="1" spans="1:71">
      <c r="A1" s="202" t="s">
        <v>0</v>
      </c>
      <c r="B1" s="202"/>
      <c r="C1" s="202"/>
      <c r="D1" s="203" t="s">
        <v>1</v>
      </c>
      <c r="E1" s="204"/>
      <c r="F1" s="204"/>
      <c r="G1" s="205"/>
      <c r="H1" s="206"/>
      <c r="I1" s="238"/>
      <c r="J1" s="238"/>
      <c r="K1" s="238"/>
      <c r="L1" s="238"/>
      <c r="M1" s="201"/>
      <c r="N1" s="201"/>
      <c r="O1" s="201"/>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row>
    <row r="2" ht="15.75" customHeight="1" spans="7:27">
      <c r="G2" s="207" t="s">
        <v>2</v>
      </c>
      <c r="H2" s="208"/>
      <c r="I2" s="208"/>
      <c r="J2" s="239"/>
      <c r="K2" s="240" t="s">
        <v>3</v>
      </c>
      <c r="L2" s="241"/>
      <c r="M2" s="241"/>
      <c r="N2" s="241"/>
      <c r="O2" s="241"/>
      <c r="P2" s="241"/>
      <c r="Q2" s="241"/>
      <c r="R2" s="241"/>
      <c r="S2" s="241"/>
      <c r="T2" s="241"/>
      <c r="U2" s="241"/>
      <c r="V2" s="241"/>
      <c r="W2" s="241"/>
      <c r="X2" s="241"/>
      <c r="Y2" s="241"/>
      <c r="Z2" s="241"/>
      <c r="AA2" s="241"/>
    </row>
    <row r="3" ht="70.75" spans="1:27">
      <c r="A3" s="209"/>
      <c r="B3" s="210" t="s">
        <v>4</v>
      </c>
      <c r="C3" s="211" t="s">
        <v>5</v>
      </c>
      <c r="D3" s="210" t="s">
        <v>6</v>
      </c>
      <c r="E3" s="210" t="s">
        <v>7</v>
      </c>
      <c r="F3" s="210" t="s">
        <v>8</v>
      </c>
      <c r="G3" s="210" t="s">
        <v>9</v>
      </c>
      <c r="H3" s="210" t="s">
        <v>10</v>
      </c>
      <c r="I3" s="210" t="s">
        <v>11</v>
      </c>
      <c r="J3" s="210" t="s">
        <v>12</v>
      </c>
      <c r="K3" s="210" t="s">
        <v>13</v>
      </c>
      <c r="L3" s="16" t="s">
        <v>14</v>
      </c>
      <c r="M3" s="242" t="s">
        <v>15</v>
      </c>
      <c r="N3" s="242" t="s">
        <v>16</v>
      </c>
      <c r="O3" s="243" t="s">
        <v>17</v>
      </c>
      <c r="P3" s="258" t="s">
        <v>18</v>
      </c>
      <c r="Q3" s="210" t="s">
        <v>19</v>
      </c>
      <c r="R3" s="210" t="s">
        <v>20</v>
      </c>
      <c r="S3" s="210" t="s">
        <v>21</v>
      </c>
      <c r="T3" s="210" t="s">
        <v>22</v>
      </c>
      <c r="U3" s="210" t="s">
        <v>23</v>
      </c>
      <c r="V3" s="210" t="s">
        <v>24</v>
      </c>
      <c r="W3" s="210" t="s">
        <v>25</v>
      </c>
      <c r="X3" s="210" t="s">
        <v>26</v>
      </c>
      <c r="Y3" s="255" t="s">
        <v>27</v>
      </c>
      <c r="Z3" s="210" t="s">
        <v>28</v>
      </c>
      <c r="AA3" s="210" t="s">
        <v>29</v>
      </c>
    </row>
    <row r="4" s="198" customFormat="1" ht="129" customHeight="1" spans="1:27">
      <c r="A4" s="212" t="s">
        <v>30</v>
      </c>
      <c r="B4" s="213" t="s">
        <v>31</v>
      </c>
      <c r="C4" s="214" t="s">
        <v>32</v>
      </c>
      <c r="D4" s="215" t="s">
        <v>33</v>
      </c>
      <c r="E4" s="215" t="s">
        <v>34</v>
      </c>
      <c r="F4" s="215" t="s">
        <v>35</v>
      </c>
      <c r="G4" s="216" t="s">
        <v>36</v>
      </c>
      <c r="H4" s="216" t="s">
        <v>37</v>
      </c>
      <c r="I4" s="215" t="s">
        <v>38</v>
      </c>
      <c r="J4" s="215" t="s">
        <v>39</v>
      </c>
      <c r="K4" s="215" t="s">
        <v>13</v>
      </c>
      <c r="L4" s="215" t="s">
        <v>40</v>
      </c>
      <c r="M4" s="215" t="s">
        <v>41</v>
      </c>
      <c r="N4" s="215" t="s">
        <v>42</v>
      </c>
      <c r="O4" s="215" t="s">
        <v>43</v>
      </c>
      <c r="P4" s="245" t="s">
        <v>44</v>
      </c>
      <c r="Q4" s="215" t="s">
        <v>45</v>
      </c>
      <c r="R4" s="215" t="s">
        <v>46</v>
      </c>
      <c r="S4" s="215" t="s">
        <v>47</v>
      </c>
      <c r="T4" s="215"/>
      <c r="U4" s="253"/>
      <c r="V4" s="215" t="s">
        <v>48</v>
      </c>
      <c r="W4" s="215" t="s">
        <v>49</v>
      </c>
      <c r="X4" s="215" t="s">
        <v>50</v>
      </c>
      <c r="Y4" s="256" t="s">
        <v>51</v>
      </c>
      <c r="Z4" s="215" t="s">
        <v>52</v>
      </c>
      <c r="AA4" s="215" t="s">
        <v>53</v>
      </c>
    </row>
    <row r="5" ht="140.75" spans="1:27">
      <c r="A5" s="217" t="s">
        <v>54</v>
      </c>
      <c r="B5" s="218" t="s">
        <v>55</v>
      </c>
      <c r="C5" s="219" t="s">
        <v>56</v>
      </c>
      <c r="D5" s="220" t="s">
        <v>56</v>
      </c>
      <c r="E5" s="220" t="s">
        <v>56</v>
      </c>
      <c r="F5" s="220" t="s">
        <v>57</v>
      </c>
      <c r="G5" s="221" t="s">
        <v>58</v>
      </c>
      <c r="H5" s="221" t="s">
        <v>59</v>
      </c>
      <c r="I5" s="221" t="s">
        <v>60</v>
      </c>
      <c r="J5" s="221" t="s">
        <v>61</v>
      </c>
      <c r="K5" s="221"/>
      <c r="L5" s="246"/>
      <c r="M5" s="201" t="s">
        <v>62</v>
      </c>
      <c r="N5" s="201" t="s">
        <v>62</v>
      </c>
      <c r="P5" s="247" t="s">
        <v>63</v>
      </c>
      <c r="Q5" s="220" t="s">
        <v>64</v>
      </c>
      <c r="R5" s="220" t="s">
        <v>64</v>
      </c>
      <c r="S5" s="220" t="s">
        <v>64</v>
      </c>
      <c r="T5" s="220" t="s">
        <v>64</v>
      </c>
      <c r="U5" s="220" t="s">
        <v>64</v>
      </c>
      <c r="V5" s="220" t="s">
        <v>65</v>
      </c>
      <c r="W5" s="220" t="s">
        <v>66</v>
      </c>
      <c r="X5" s="220" t="s">
        <v>66</v>
      </c>
      <c r="Y5" s="257" t="s">
        <v>67</v>
      </c>
      <c r="Z5" s="220" t="s">
        <v>68</v>
      </c>
      <c r="AA5" s="220" t="s">
        <v>57</v>
      </c>
    </row>
    <row r="6" s="199" customFormat="1" ht="14.75" spans="7:15">
      <c r="G6" s="222"/>
      <c r="H6" s="222"/>
      <c r="I6" s="222"/>
      <c r="J6" s="222"/>
      <c r="K6" s="222"/>
      <c r="L6" s="222"/>
      <c r="M6" s="222"/>
      <c r="N6" s="222"/>
      <c r="O6" s="222"/>
    </row>
    <row r="7" ht="15.25" spans="1:17">
      <c r="A7" s="223"/>
      <c r="B7" s="223"/>
      <c r="C7" s="223"/>
      <c r="D7" s="223"/>
      <c r="E7" s="223"/>
      <c r="F7" s="223"/>
      <c r="G7" s="224" t="s">
        <v>69</v>
      </c>
      <c r="H7" s="223"/>
      <c r="I7" s="223"/>
      <c r="J7" s="223"/>
      <c r="K7" s="223"/>
      <c r="L7" s="248"/>
      <c r="M7" s="228"/>
      <c r="N7" s="228"/>
      <c r="O7" s="228"/>
      <c r="P7" s="223"/>
      <c r="Q7" s="254"/>
    </row>
    <row r="8" ht="14.5" spans="1:16">
      <c r="A8" s="225" t="s">
        <v>70</v>
      </c>
      <c r="B8" s="226"/>
      <c r="C8" s="226"/>
      <c r="D8" s="226"/>
      <c r="E8" s="226"/>
      <c r="F8" s="226"/>
      <c r="G8" s="226"/>
      <c r="H8" s="226"/>
      <c r="I8" s="226"/>
      <c r="J8" s="226"/>
      <c r="K8" s="226"/>
      <c r="L8" s="226"/>
      <c r="M8" s="226"/>
      <c r="N8" s="226"/>
      <c r="O8" s="226"/>
      <c r="P8" s="249"/>
    </row>
    <row r="9" ht="14.5" spans="1:16">
      <c r="A9" s="227" t="s">
        <v>71</v>
      </c>
      <c r="B9" s="228" t="s">
        <v>72</v>
      </c>
      <c r="C9" s="228"/>
      <c r="D9" s="228"/>
      <c r="E9" s="228"/>
      <c r="F9" s="228"/>
      <c r="G9" s="228"/>
      <c r="H9" s="228"/>
      <c r="I9" s="228"/>
      <c r="J9" s="228"/>
      <c r="K9" s="228"/>
      <c r="L9" s="228"/>
      <c r="M9" s="228"/>
      <c r="N9" s="228"/>
      <c r="O9" s="228"/>
      <c r="P9" s="250"/>
    </row>
    <row r="10" ht="14.5" spans="1:16">
      <c r="A10" s="227" t="s">
        <v>73</v>
      </c>
      <c r="B10" s="228" t="s">
        <v>74</v>
      </c>
      <c r="C10" s="228"/>
      <c r="D10" s="228"/>
      <c r="E10" s="228"/>
      <c r="F10" s="228"/>
      <c r="G10" s="228"/>
      <c r="H10" s="228"/>
      <c r="I10" s="228"/>
      <c r="J10" s="228"/>
      <c r="K10" s="228"/>
      <c r="L10" s="228"/>
      <c r="M10" s="228"/>
      <c r="N10" s="228"/>
      <c r="O10" s="228"/>
      <c r="P10" s="250"/>
    </row>
    <row r="11" ht="15.25" spans="1:16">
      <c r="A11" s="229" t="s">
        <v>75</v>
      </c>
      <c r="B11" s="230" t="s">
        <v>76</v>
      </c>
      <c r="C11" s="231"/>
      <c r="D11" s="231"/>
      <c r="E11" s="231"/>
      <c r="F11" s="231"/>
      <c r="G11" s="231"/>
      <c r="H11" s="231"/>
      <c r="I11" s="231"/>
      <c r="J11" s="231"/>
      <c r="K11" s="231"/>
      <c r="L11" s="231"/>
      <c r="M11" s="231"/>
      <c r="N11" s="231"/>
      <c r="O11" s="231"/>
      <c r="P11" s="251"/>
    </row>
    <row r="12" ht="14.5" spans="1:16">
      <c r="A12" s="225" t="s">
        <v>77</v>
      </c>
      <c r="B12" s="226"/>
      <c r="C12" s="226"/>
      <c r="D12" s="226"/>
      <c r="E12" s="226"/>
      <c r="F12" s="226"/>
      <c r="G12" s="226"/>
      <c r="H12" s="226"/>
      <c r="I12" s="226"/>
      <c r="J12" s="226"/>
      <c r="K12" s="252"/>
      <c r="L12" s="228"/>
      <c r="M12" s="228"/>
      <c r="N12" s="228"/>
      <c r="O12" s="226"/>
      <c r="P12" s="249"/>
    </row>
    <row r="13" ht="14.5" spans="1:16">
      <c r="A13" s="227" t="s">
        <v>71</v>
      </c>
      <c r="B13" s="228" t="s">
        <v>78</v>
      </c>
      <c r="C13" s="228"/>
      <c r="D13" s="228"/>
      <c r="E13" s="228"/>
      <c r="F13" s="228"/>
      <c r="G13" s="228"/>
      <c r="H13" s="228"/>
      <c r="I13" s="228"/>
      <c r="J13" s="228"/>
      <c r="K13" s="228"/>
      <c r="L13" s="228"/>
      <c r="M13" s="228"/>
      <c r="N13" s="228"/>
      <c r="O13" s="228"/>
      <c r="P13" s="250"/>
    </row>
    <row r="14" ht="15.25" spans="1:16">
      <c r="A14" s="229" t="s">
        <v>73</v>
      </c>
      <c r="B14" s="231" t="s">
        <v>79</v>
      </c>
      <c r="C14" s="231"/>
      <c r="D14" s="231"/>
      <c r="E14" s="231"/>
      <c r="F14" s="231"/>
      <c r="G14" s="231"/>
      <c r="H14" s="231"/>
      <c r="I14" s="231"/>
      <c r="J14" s="231"/>
      <c r="K14" s="231"/>
      <c r="L14" s="231"/>
      <c r="M14" s="231"/>
      <c r="N14" s="231"/>
      <c r="O14" s="231"/>
      <c r="P14" s="251"/>
    </row>
    <row r="15" spans="12:15">
      <c r="L15" s="201"/>
      <c r="O15" s="200"/>
    </row>
    <row r="16" spans="1:15">
      <c r="A16" s="200" t="s">
        <v>80</v>
      </c>
      <c r="L16" s="201"/>
      <c r="O16" s="200"/>
    </row>
    <row r="17" spans="12:15">
      <c r="L17" s="201"/>
      <c r="O17" s="200"/>
    </row>
    <row r="18" spans="12:15">
      <c r="L18" s="201"/>
      <c r="O18" s="200"/>
    </row>
    <row r="19" ht="126" spans="1:15">
      <c r="A19" s="200" t="s">
        <v>81</v>
      </c>
      <c r="B19" s="232" t="s">
        <v>82</v>
      </c>
      <c r="L19" s="201"/>
      <c r="O19" s="200"/>
    </row>
    <row r="20" spans="1:15">
      <c r="A20" s="200" t="s">
        <v>83</v>
      </c>
      <c r="B20" s="200" t="s">
        <v>84</v>
      </c>
      <c r="L20" s="201"/>
      <c r="O20" s="200"/>
    </row>
    <row r="21" spans="1:15">
      <c r="A21" s="200" t="s">
        <v>85</v>
      </c>
      <c r="B21" s="233" t="s">
        <v>86</v>
      </c>
      <c r="L21" s="201"/>
      <c r="O21" s="200"/>
    </row>
    <row r="22" spans="1:15">
      <c r="A22" s="200" t="s">
        <v>87</v>
      </c>
      <c r="B22" s="200" t="s">
        <v>88</v>
      </c>
      <c r="G22" s="234" t="s">
        <v>89</v>
      </c>
      <c r="L22" s="201"/>
      <c r="O22" s="200"/>
    </row>
    <row r="23" spans="1:15">
      <c r="A23" s="200" t="s">
        <v>90</v>
      </c>
      <c r="B23" s="200" t="s">
        <v>91</v>
      </c>
      <c r="L23" s="201"/>
      <c r="O23" s="200"/>
    </row>
    <row r="24" spans="1:15">
      <c r="A24" s="200" t="s">
        <v>92</v>
      </c>
      <c r="B24" s="235" t="s">
        <v>93</v>
      </c>
      <c r="L24" s="201"/>
      <c r="O24" s="200"/>
    </row>
    <row r="25" spans="1:15">
      <c r="A25" s="200" t="s">
        <v>94</v>
      </c>
      <c r="B25" s="236" t="s">
        <v>95</v>
      </c>
      <c r="L25" s="201"/>
      <c r="O25" s="200"/>
    </row>
    <row r="26" spans="1:15">
      <c r="A26" s="200" t="s">
        <v>96</v>
      </c>
      <c r="B26" s="237" t="s">
        <v>97</v>
      </c>
      <c r="L26" s="201"/>
      <c r="O26" s="200"/>
    </row>
    <row r="27" spans="12:15">
      <c r="L27" s="201"/>
      <c r="O27" s="200"/>
    </row>
    <row r="28" spans="12:15">
      <c r="L28" s="201"/>
      <c r="O28" s="200"/>
    </row>
    <row r="29" spans="12:15">
      <c r="L29" s="201"/>
      <c r="O29" s="200"/>
    </row>
    <row r="30" spans="12:15">
      <c r="L30" s="201"/>
      <c r="O30" s="200"/>
    </row>
    <row r="31" spans="12:15">
      <c r="L31" s="201"/>
      <c r="O31" s="200"/>
    </row>
    <row r="32" spans="12:15">
      <c r="L32" s="201"/>
      <c r="O32" s="200"/>
    </row>
    <row r="33" spans="12:15">
      <c r="L33" s="201"/>
      <c r="O33" s="200"/>
    </row>
  </sheetData>
  <mergeCells count="3">
    <mergeCell ref="A1:C1"/>
    <mergeCell ref="D1:G1"/>
    <mergeCell ref="K2:AA2"/>
  </mergeCells>
  <hyperlinks>
    <hyperlink ref="G22" r:id="rId1" display="https://docs.vmware.com/en/VMware-vCloud-NFV/2.0/vmware-tuning-vcloud-nfv-for-data-plane-intensive-workloads.pdf"/>
  </hyperlinks>
  <pageMargins left="0.7" right="0.7" top="0.75" bottom="0.75" header="0.3" footer="0.3"/>
  <pageSetup paperSize="9" orientation="portrait"/>
  <headerFooter>
    <oddFooter>&amp;L&amp;1#&amp;"Calibri"&amp;7&amp;K000000C2 General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zoomScale="85" zoomScaleNormal="85" workbookViewId="0">
      <selection activeCell="B8" sqref="B8"/>
    </sheetView>
  </sheetViews>
  <sheetFormatPr defaultColWidth="9.13636363636364" defaultRowHeight="15.5" outlineLevelRow="2" outlineLevelCol="1"/>
  <cols>
    <col min="1" max="1" width="7.57272727272727" style="191" customWidth="1"/>
    <col min="2" max="2" width="79.4272727272727" style="191" customWidth="1"/>
    <col min="3" max="16384" width="9.13636363636364" style="191"/>
  </cols>
  <sheetData>
    <row r="1" spans="1:2">
      <c r="A1" s="194" t="s">
        <v>98</v>
      </c>
      <c r="B1" s="194" t="s">
        <v>99</v>
      </c>
    </row>
    <row r="2" ht="80.1" customHeight="1" spans="1:2">
      <c r="A2" s="195">
        <v>2.6</v>
      </c>
      <c r="B2" s="196" t="s">
        <v>100</v>
      </c>
    </row>
    <row r="3" spans="1:2">
      <c r="A3" s="195">
        <v>2.7</v>
      </c>
      <c r="B3" s="191" t="s">
        <v>101</v>
      </c>
    </row>
  </sheetData>
  <pageMargins left="0.7" right="0.7" top="0.75" bottom="0.75" header="0.3" footer="0.3"/>
  <pageSetup paperSize="9" orientation="portrait"/>
  <headerFooter>
    <oddFooter>&amp;L&amp;1#&amp;"Calibri"&amp;7&amp;K000000C2 General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zoomScale="85" zoomScaleNormal="85" workbookViewId="0">
      <selection activeCell="M30" sqref="M30"/>
    </sheetView>
  </sheetViews>
  <sheetFormatPr defaultColWidth="9.13636363636364" defaultRowHeight="15.5" outlineLevelRow="1" outlineLevelCol="2"/>
  <cols>
    <col min="1" max="2" width="9.13636363636364" style="191"/>
    <col min="3" max="3" width="124.136363636364" style="191" customWidth="1"/>
    <col min="4" max="16384" width="9.13636363636364" style="191"/>
  </cols>
  <sheetData>
    <row r="1" ht="15.6" customHeight="1" spans="1:3">
      <c r="A1" s="192" t="s">
        <v>102</v>
      </c>
      <c r="B1" s="192"/>
      <c r="C1" s="192"/>
    </row>
    <row r="2" ht="72.6" customHeight="1" spans="1:3">
      <c r="A2" s="193" t="s">
        <v>103</v>
      </c>
      <c r="B2" s="193"/>
      <c r="C2" s="193"/>
    </row>
  </sheetData>
  <mergeCells count="2">
    <mergeCell ref="A1:C1"/>
    <mergeCell ref="A2:C2"/>
  </mergeCells>
  <pageMargins left="0.7" right="0.7" top="0.75" bottom="0.75" header="0.3" footer="0.3"/>
  <pageSetup paperSize="9" orientation="portrait"/>
  <headerFooter>
    <oddFooter>&amp;L&amp;1#&amp;"Calibri"&amp;7&amp;K000000C2 General</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opLeftCell="A12" workbookViewId="0">
      <selection activeCell="C17" sqref="C17"/>
    </sheetView>
  </sheetViews>
  <sheetFormatPr defaultColWidth="8.70909090909091" defaultRowHeight="14.5" outlineLevelCol="3"/>
  <cols>
    <col min="2" max="2" width="10.7090909090909" customWidth="1"/>
    <col min="3" max="3" width="109.854545454545" customWidth="1"/>
    <col min="4" max="4" width="65.8545454545455" customWidth="1"/>
  </cols>
  <sheetData>
    <row r="1" spans="1:4">
      <c r="A1" s="184" t="s">
        <v>98</v>
      </c>
      <c r="B1" s="184" t="s">
        <v>104</v>
      </c>
      <c r="C1" s="184" t="s">
        <v>105</v>
      </c>
      <c r="D1" s="184" t="s">
        <v>106</v>
      </c>
    </row>
    <row r="2" spans="1:4">
      <c r="A2" s="185" t="s">
        <v>107</v>
      </c>
      <c r="B2" s="186">
        <v>44176</v>
      </c>
      <c r="C2" s="185" t="s">
        <v>108</v>
      </c>
      <c r="D2" s="185"/>
    </row>
    <row r="3" ht="29" spans="1:4">
      <c r="A3" s="187" t="s">
        <v>109</v>
      </c>
      <c r="B3" s="188">
        <v>44204</v>
      </c>
      <c r="C3" s="189" t="s">
        <v>110</v>
      </c>
      <c r="D3" s="185"/>
    </row>
    <row r="4" spans="1:4">
      <c r="A4" s="185" t="s">
        <v>111</v>
      </c>
      <c r="B4" s="186">
        <v>44256</v>
      </c>
      <c r="C4" s="185" t="s">
        <v>112</v>
      </c>
      <c r="D4" s="185"/>
    </row>
    <row r="5" spans="1:4">
      <c r="A5" s="185" t="s">
        <v>113</v>
      </c>
      <c r="B5" s="186">
        <v>44273</v>
      </c>
      <c r="C5" s="185" t="s">
        <v>114</v>
      </c>
      <c r="D5" s="185"/>
    </row>
    <row r="6" spans="1:4">
      <c r="A6" s="185" t="s">
        <v>115</v>
      </c>
      <c r="B6" s="186">
        <v>44280</v>
      </c>
      <c r="C6" s="185" t="s">
        <v>116</v>
      </c>
      <c r="D6" s="185"/>
    </row>
    <row r="7" ht="29" spans="1:4">
      <c r="A7" s="187" t="s">
        <v>117</v>
      </c>
      <c r="B7" s="188">
        <v>44314</v>
      </c>
      <c r="C7" s="189" t="s">
        <v>118</v>
      </c>
      <c r="D7" s="187"/>
    </row>
    <row r="8" ht="29" spans="1:4">
      <c r="A8" s="187" t="s">
        <v>119</v>
      </c>
      <c r="B8" s="188">
        <v>44330</v>
      </c>
      <c r="C8" s="189" t="s">
        <v>120</v>
      </c>
      <c r="D8" s="187"/>
    </row>
    <row r="9" ht="43.5" spans="1:4">
      <c r="A9" s="187" t="s">
        <v>121</v>
      </c>
      <c r="B9" s="188">
        <v>44790</v>
      </c>
      <c r="C9" s="189" t="s">
        <v>122</v>
      </c>
      <c r="D9" s="187"/>
    </row>
    <row r="10" spans="1:4">
      <c r="A10" s="187" t="s">
        <v>123</v>
      </c>
      <c r="B10" s="186">
        <v>44795</v>
      </c>
      <c r="C10" s="189" t="s">
        <v>124</v>
      </c>
      <c r="D10" s="187"/>
    </row>
    <row r="11" ht="72.5" spans="1:4">
      <c r="A11" s="187" t="s">
        <v>125</v>
      </c>
      <c r="B11" s="188">
        <v>44813</v>
      </c>
      <c r="C11" s="189" t="s">
        <v>126</v>
      </c>
      <c r="D11" s="185"/>
    </row>
    <row r="12" ht="79.5" customHeight="1" spans="1:4">
      <c r="A12" s="187" t="s">
        <v>127</v>
      </c>
      <c r="B12" s="188">
        <v>44981</v>
      </c>
      <c r="C12" s="190" t="s">
        <v>128</v>
      </c>
      <c r="D12" s="187" t="s">
        <v>129</v>
      </c>
    </row>
    <row r="13" ht="130.5" spans="1:4">
      <c r="A13" s="187" t="s">
        <v>130</v>
      </c>
      <c r="B13" s="188">
        <v>45175</v>
      </c>
      <c r="C13" s="190" t="s">
        <v>131</v>
      </c>
      <c r="D13" s="185"/>
    </row>
    <row r="14" ht="87" spans="1:4">
      <c r="A14" s="187" t="s">
        <v>132</v>
      </c>
      <c r="B14" s="188">
        <v>45251</v>
      </c>
      <c r="C14" s="189" t="s">
        <v>133</v>
      </c>
      <c r="D14" s="185"/>
    </row>
    <row r="15" spans="1:4">
      <c r="A15" s="185" t="s">
        <v>134</v>
      </c>
      <c r="B15" s="186">
        <v>45314</v>
      </c>
      <c r="C15" s="185" t="s">
        <v>135</v>
      </c>
      <c r="D15" s="185"/>
    </row>
    <row r="16" spans="1:4">
      <c r="A16" s="185" t="s">
        <v>136</v>
      </c>
      <c r="B16" s="186">
        <v>45397</v>
      </c>
      <c r="C16" s="185" t="s">
        <v>137</v>
      </c>
      <c r="D16" s="185"/>
    </row>
    <row r="17" ht="101.5" spans="1:4">
      <c r="A17" s="187" t="s">
        <v>138</v>
      </c>
      <c r="B17" s="188">
        <v>45685</v>
      </c>
      <c r="C17" s="189" t="s">
        <v>139</v>
      </c>
      <c r="D17" s="185"/>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B1:D95"/>
  <sheetViews>
    <sheetView zoomScale="80" zoomScaleNormal="80" topLeftCell="A74" workbookViewId="0">
      <selection activeCell="R12" sqref="R12"/>
    </sheetView>
  </sheetViews>
  <sheetFormatPr defaultColWidth="8.85454545454546" defaultRowHeight="14.5" outlineLevelCol="3"/>
  <cols>
    <col min="1" max="1" width="8.85454545454546" style="166"/>
    <col min="2" max="2" width="64.4272727272727" style="166" customWidth="1"/>
    <col min="3" max="4" width="41.4272727272727" style="166" customWidth="1"/>
    <col min="5" max="16384" width="8.85454545454546" style="166"/>
  </cols>
  <sheetData>
    <row r="1" ht="15.25"/>
    <row r="2" ht="24.25" spans="2:4">
      <c r="B2" s="167" t="s">
        <v>140</v>
      </c>
      <c r="C2" s="168"/>
      <c r="D2" s="169"/>
    </row>
    <row r="3" ht="19.25" spans="2:4">
      <c r="B3" s="170" t="s">
        <v>141</v>
      </c>
      <c r="C3" s="170" t="s">
        <v>142</v>
      </c>
      <c r="D3" s="170" t="s">
        <v>143</v>
      </c>
    </row>
    <row r="4" ht="24.25" spans="2:4">
      <c r="B4" s="171" t="s">
        <v>144</v>
      </c>
      <c r="C4" s="172" t="s">
        <v>145</v>
      </c>
      <c r="D4" s="173"/>
    </row>
    <row r="5" ht="24.25" spans="2:4">
      <c r="B5" s="171" t="s">
        <v>146</v>
      </c>
      <c r="C5" s="174" t="s">
        <v>147</v>
      </c>
      <c r="D5" s="173"/>
    </row>
    <row r="6" ht="50.75" spans="2:4">
      <c r="B6" s="171" t="s">
        <v>148</v>
      </c>
      <c r="C6" s="174" t="s">
        <v>149</v>
      </c>
      <c r="D6" s="175" t="s">
        <v>150</v>
      </c>
    </row>
    <row r="7" ht="16.25" spans="2:4">
      <c r="B7" s="171" t="s">
        <v>151</v>
      </c>
      <c r="C7" s="176" t="s">
        <v>152</v>
      </c>
      <c r="D7" s="171"/>
    </row>
    <row r="8" ht="24.25" spans="2:4">
      <c r="B8" s="171" t="s">
        <v>153</v>
      </c>
      <c r="C8" s="174" t="s">
        <v>154</v>
      </c>
      <c r="D8" s="177"/>
    </row>
    <row r="9" ht="24.25" spans="2:4">
      <c r="B9" s="171" t="s">
        <v>155</v>
      </c>
      <c r="C9" s="178" t="s">
        <v>156</v>
      </c>
      <c r="D9" s="173"/>
    </row>
    <row r="10" ht="24.25" spans="2:4">
      <c r="B10" s="171" t="s">
        <v>157</v>
      </c>
      <c r="C10" s="179">
        <v>1</v>
      </c>
      <c r="D10" s="173"/>
    </row>
    <row r="11" ht="175.75" spans="2:4">
      <c r="B11" s="171" t="s">
        <v>158</v>
      </c>
      <c r="C11" s="176" t="s">
        <v>159</v>
      </c>
      <c r="D11" s="174" t="s">
        <v>160</v>
      </c>
    </row>
    <row r="12" ht="24.25" spans="2:4">
      <c r="B12" s="171" t="s">
        <v>161</v>
      </c>
      <c r="C12" s="179" t="s">
        <v>162</v>
      </c>
      <c r="D12" s="173"/>
    </row>
    <row r="13" ht="24.25" spans="2:4">
      <c r="B13" s="171" t="s">
        <v>163</v>
      </c>
      <c r="C13" s="179">
        <v>1</v>
      </c>
      <c r="D13" s="177"/>
    </row>
    <row r="14" ht="163.25" spans="2:4">
      <c r="B14" s="171" t="s">
        <v>164</v>
      </c>
      <c r="C14" s="178" t="s">
        <v>159</v>
      </c>
      <c r="D14" s="174" t="s">
        <v>165</v>
      </c>
    </row>
    <row r="15" ht="50.75" spans="2:4">
      <c r="B15" s="171" t="s">
        <v>166</v>
      </c>
      <c r="C15" s="174" t="s">
        <v>162</v>
      </c>
      <c r="D15" s="174" t="s">
        <v>167</v>
      </c>
    </row>
    <row r="16" ht="16.25" spans="2:4">
      <c r="B16" s="171" t="s">
        <v>168</v>
      </c>
      <c r="C16" s="176" t="s">
        <v>152</v>
      </c>
      <c r="D16" s="180"/>
    </row>
    <row r="17" ht="24.25" spans="2:4">
      <c r="B17" s="171" t="s">
        <v>169</v>
      </c>
      <c r="C17" s="174" t="s">
        <v>170</v>
      </c>
      <c r="D17" s="177"/>
    </row>
    <row r="18" ht="25.75" spans="2:4">
      <c r="B18" s="171" t="s">
        <v>171</v>
      </c>
      <c r="C18" s="174" t="s">
        <v>172</v>
      </c>
      <c r="D18" s="174" t="s">
        <v>173</v>
      </c>
    </row>
    <row r="19" ht="25.75" spans="2:4">
      <c r="B19" s="171" t="s">
        <v>174</v>
      </c>
      <c r="C19" s="181" t="s">
        <v>172</v>
      </c>
      <c r="D19" s="174" t="s">
        <v>173</v>
      </c>
    </row>
    <row r="20" ht="15.25"/>
    <row r="21" ht="24.25" spans="2:4">
      <c r="B21" s="167" t="s">
        <v>175</v>
      </c>
      <c r="C21" s="168"/>
      <c r="D21" s="169"/>
    </row>
    <row r="22" ht="19.25" spans="2:4">
      <c r="B22" s="170" t="s">
        <v>141</v>
      </c>
      <c r="C22" s="170" t="s">
        <v>142</v>
      </c>
      <c r="D22" s="170" t="s">
        <v>143</v>
      </c>
    </row>
    <row r="23" ht="16.25" spans="2:4">
      <c r="B23" s="171" t="s">
        <v>144</v>
      </c>
      <c r="C23" s="171" t="s">
        <v>145</v>
      </c>
      <c r="D23" s="175"/>
    </row>
    <row r="24" ht="16.25" spans="2:4">
      <c r="B24" s="171" t="s">
        <v>146</v>
      </c>
      <c r="C24" s="171" t="s">
        <v>147</v>
      </c>
      <c r="D24" s="175"/>
    </row>
    <row r="25" ht="47.25" spans="2:4">
      <c r="B25" s="171" t="s">
        <v>148</v>
      </c>
      <c r="C25" s="171">
        <v>8</v>
      </c>
      <c r="D25" s="175" t="s">
        <v>150</v>
      </c>
    </row>
    <row r="26" ht="16.25" spans="2:4">
      <c r="B26" s="171" t="s">
        <v>151</v>
      </c>
      <c r="C26" s="171" t="s">
        <v>152</v>
      </c>
      <c r="D26" s="171"/>
    </row>
    <row r="27" ht="16.25" spans="2:4">
      <c r="B27" s="171" t="s">
        <v>153</v>
      </c>
      <c r="C27" s="171" t="s">
        <v>154</v>
      </c>
      <c r="D27" s="182"/>
    </row>
    <row r="28" ht="16.25" spans="2:4">
      <c r="B28" s="171" t="s">
        <v>155</v>
      </c>
      <c r="C28" s="183" t="s">
        <v>156</v>
      </c>
      <c r="D28" s="175"/>
    </row>
    <row r="29" ht="16.25" spans="2:4">
      <c r="B29" s="171" t="s">
        <v>157</v>
      </c>
      <c r="C29" s="171">
        <v>0.6</v>
      </c>
      <c r="D29" s="175"/>
    </row>
    <row r="30" ht="16.25" spans="2:4">
      <c r="B30" s="171" t="s">
        <v>158</v>
      </c>
      <c r="C30" s="171" t="s">
        <v>176</v>
      </c>
      <c r="D30" s="175"/>
    </row>
    <row r="31" ht="16.25" spans="2:4">
      <c r="B31" s="171" t="s">
        <v>161</v>
      </c>
      <c r="C31" s="183" t="s">
        <v>162</v>
      </c>
      <c r="D31" s="175"/>
    </row>
    <row r="32" ht="16.25" spans="2:4">
      <c r="B32" s="171" t="s">
        <v>163</v>
      </c>
      <c r="C32" s="171">
        <v>1</v>
      </c>
      <c r="D32" s="182"/>
    </row>
    <row r="33" ht="16.25" spans="2:4">
      <c r="B33" s="171" t="s">
        <v>164</v>
      </c>
      <c r="C33" s="171">
        <v>1</v>
      </c>
      <c r="D33" s="182"/>
    </row>
    <row r="34" ht="16.25" spans="2:4">
      <c r="B34" s="171" t="s">
        <v>166</v>
      </c>
      <c r="C34" s="171" t="s">
        <v>156</v>
      </c>
      <c r="D34" s="182"/>
    </row>
    <row r="35" ht="16.25" spans="2:4">
      <c r="B35" s="171" t="s">
        <v>168</v>
      </c>
      <c r="C35" s="171" t="s">
        <v>152</v>
      </c>
      <c r="D35" s="180"/>
    </row>
    <row r="36" ht="16.25" spans="2:4">
      <c r="B36" s="171" t="s">
        <v>169</v>
      </c>
      <c r="C36" s="171" t="s">
        <v>177</v>
      </c>
      <c r="D36" s="182"/>
    </row>
    <row r="37" ht="16.25" spans="2:4">
      <c r="B37" s="171" t="s">
        <v>171</v>
      </c>
      <c r="C37" s="171" t="s">
        <v>172</v>
      </c>
      <c r="D37" s="182"/>
    </row>
    <row r="38" ht="16.25" spans="2:4">
      <c r="B38" s="171" t="s">
        <v>174</v>
      </c>
      <c r="C38" s="171" t="s">
        <v>172</v>
      </c>
      <c r="D38" s="182"/>
    </row>
    <row r="39" ht="15.25"/>
    <row r="40" ht="24.25" spans="2:4">
      <c r="B40" s="167" t="s">
        <v>178</v>
      </c>
      <c r="C40" s="168"/>
      <c r="D40" s="169"/>
    </row>
    <row r="41" ht="19.25" spans="2:4">
      <c r="B41" s="170" t="s">
        <v>141</v>
      </c>
      <c r="C41" s="170" t="s">
        <v>142</v>
      </c>
      <c r="D41" s="170" t="s">
        <v>143</v>
      </c>
    </row>
    <row r="42" ht="16.25" spans="2:4">
      <c r="B42" s="171" t="s">
        <v>144</v>
      </c>
      <c r="C42" s="171" t="s">
        <v>145</v>
      </c>
      <c r="D42" s="175"/>
    </row>
    <row r="43" ht="16.25" spans="2:4">
      <c r="B43" s="171" t="s">
        <v>146</v>
      </c>
      <c r="C43" s="171" t="s">
        <v>147</v>
      </c>
      <c r="D43" s="175"/>
    </row>
    <row r="44" ht="47.25" spans="2:4">
      <c r="B44" s="171" t="s">
        <v>148</v>
      </c>
      <c r="C44" s="171">
        <v>8</v>
      </c>
      <c r="D44" s="175" t="s">
        <v>150</v>
      </c>
    </row>
    <row r="45" ht="16.25" spans="2:4">
      <c r="B45" s="171" t="s">
        <v>151</v>
      </c>
      <c r="C45" s="171" t="s">
        <v>152</v>
      </c>
      <c r="D45" s="171"/>
    </row>
    <row r="46" ht="16.25" spans="2:4">
      <c r="B46" s="171" t="s">
        <v>153</v>
      </c>
      <c r="C46" s="171" t="s">
        <v>154</v>
      </c>
      <c r="D46" s="182"/>
    </row>
    <row r="47" ht="16.25" spans="2:4">
      <c r="B47" s="171" t="s">
        <v>155</v>
      </c>
      <c r="C47" s="183" t="s">
        <v>156</v>
      </c>
      <c r="D47" s="175"/>
    </row>
    <row r="48" ht="16.25" spans="2:4">
      <c r="B48" s="171" t="s">
        <v>157</v>
      </c>
      <c r="C48" s="171">
        <v>1</v>
      </c>
      <c r="D48" s="175"/>
    </row>
    <row r="49" ht="16.25" spans="2:4">
      <c r="B49" s="171" t="s">
        <v>158</v>
      </c>
      <c r="C49" s="171" t="s">
        <v>159</v>
      </c>
      <c r="D49" s="175"/>
    </row>
    <row r="50" ht="16.25" spans="2:4">
      <c r="B50" s="171" t="s">
        <v>161</v>
      </c>
      <c r="C50" s="183" t="s">
        <v>162</v>
      </c>
      <c r="D50" s="175"/>
    </row>
    <row r="51" ht="16.25" spans="2:4">
      <c r="B51" s="171" t="s">
        <v>163</v>
      </c>
      <c r="C51" s="171">
        <v>1</v>
      </c>
      <c r="D51" s="182"/>
    </row>
    <row r="52" ht="16.25" spans="2:4">
      <c r="B52" s="171" t="s">
        <v>164</v>
      </c>
      <c r="C52" s="171" t="s">
        <v>159</v>
      </c>
      <c r="D52" s="182"/>
    </row>
    <row r="53" ht="16.25" spans="2:4">
      <c r="B53" s="171" t="s">
        <v>166</v>
      </c>
      <c r="C53" s="171" t="s">
        <v>156</v>
      </c>
      <c r="D53" s="182"/>
    </row>
    <row r="54" ht="16.25" spans="2:4">
      <c r="B54" s="171" t="s">
        <v>168</v>
      </c>
      <c r="C54" s="171" t="s">
        <v>152</v>
      </c>
      <c r="D54" s="180"/>
    </row>
    <row r="55" ht="16.25" spans="2:4">
      <c r="B55" s="171" t="s">
        <v>169</v>
      </c>
      <c r="C55" s="171" t="s">
        <v>177</v>
      </c>
      <c r="D55" s="182"/>
    </row>
    <row r="56" ht="16.25" spans="2:4">
      <c r="B56" s="171" t="s">
        <v>171</v>
      </c>
      <c r="C56" s="171" t="s">
        <v>172</v>
      </c>
      <c r="D56" s="182"/>
    </row>
    <row r="57" ht="16.25" spans="2:4">
      <c r="B57" s="171" t="s">
        <v>174</v>
      </c>
      <c r="C57" s="171" t="s">
        <v>172</v>
      </c>
      <c r="D57" s="182"/>
    </row>
    <row r="58" ht="15.25"/>
    <row r="59" ht="24.25" spans="2:4">
      <c r="B59" s="167" t="s">
        <v>179</v>
      </c>
      <c r="C59" s="168"/>
      <c r="D59" s="169"/>
    </row>
    <row r="60" ht="19.25" spans="2:4">
      <c r="B60" s="170" t="s">
        <v>141</v>
      </c>
      <c r="C60" s="170" t="s">
        <v>142</v>
      </c>
      <c r="D60" s="170" t="s">
        <v>143</v>
      </c>
    </row>
    <row r="61" ht="16.25" spans="2:4">
      <c r="B61" s="171" t="s">
        <v>144</v>
      </c>
      <c r="C61" s="171" t="s">
        <v>145</v>
      </c>
      <c r="D61" s="175"/>
    </row>
    <row r="62" ht="16.25" spans="2:4">
      <c r="B62" s="171" t="s">
        <v>146</v>
      </c>
      <c r="C62" s="171" t="s">
        <v>147</v>
      </c>
      <c r="D62" s="175"/>
    </row>
    <row r="63" ht="47.25" spans="2:4">
      <c r="B63" s="171" t="s">
        <v>148</v>
      </c>
      <c r="C63" s="171">
        <v>11</v>
      </c>
      <c r="D63" s="175"/>
    </row>
    <row r="64" ht="16.25" spans="2:4">
      <c r="B64" s="171" t="s">
        <v>151</v>
      </c>
      <c r="C64" s="171" t="s">
        <v>152</v>
      </c>
      <c r="D64" s="171"/>
    </row>
    <row r="65" ht="16.25" spans="2:4">
      <c r="B65" s="171" t="s">
        <v>153</v>
      </c>
      <c r="C65" s="171" t="s">
        <v>154</v>
      </c>
      <c r="D65" s="182"/>
    </row>
    <row r="66" ht="16.25" spans="2:4">
      <c r="B66" s="171" t="s">
        <v>155</v>
      </c>
      <c r="C66" s="183" t="s">
        <v>162</v>
      </c>
      <c r="D66" s="175"/>
    </row>
    <row r="67" ht="16.25" spans="2:4">
      <c r="B67" s="171" t="s">
        <v>157</v>
      </c>
      <c r="C67" s="171">
        <v>1</v>
      </c>
      <c r="D67" s="175"/>
    </row>
    <row r="68" ht="16.25" spans="2:4">
      <c r="B68" s="171" t="s">
        <v>158</v>
      </c>
      <c r="C68" s="171" t="s">
        <v>159</v>
      </c>
      <c r="D68" s="175"/>
    </row>
    <row r="69" ht="16.25" spans="2:4">
      <c r="B69" s="171" t="s">
        <v>161</v>
      </c>
      <c r="C69" s="183" t="s">
        <v>162</v>
      </c>
      <c r="D69" s="175"/>
    </row>
    <row r="70" ht="16.25" spans="2:4">
      <c r="B70" s="171" t="s">
        <v>163</v>
      </c>
      <c r="C70" s="171">
        <v>1</v>
      </c>
      <c r="D70" s="182"/>
    </row>
    <row r="71" ht="16.25" spans="2:4">
      <c r="B71" s="171" t="s">
        <v>164</v>
      </c>
      <c r="C71" s="171" t="s">
        <v>159</v>
      </c>
      <c r="D71" s="182"/>
    </row>
    <row r="72" ht="16.25" spans="2:4">
      <c r="B72" s="171" t="s">
        <v>166</v>
      </c>
      <c r="C72" s="171" t="s">
        <v>162</v>
      </c>
      <c r="D72" s="182"/>
    </row>
    <row r="73" ht="62.75" spans="2:4">
      <c r="B73" s="171" t="s">
        <v>168</v>
      </c>
      <c r="C73" s="171" t="s">
        <v>180</v>
      </c>
      <c r="D73" s="180" t="s">
        <v>181</v>
      </c>
    </row>
    <row r="74" ht="16.25" spans="2:4">
      <c r="B74" s="171" t="s">
        <v>169</v>
      </c>
      <c r="C74" s="171" t="s">
        <v>177</v>
      </c>
      <c r="D74" s="182"/>
    </row>
    <row r="75" ht="31.75" spans="2:4">
      <c r="B75" s="171" t="s">
        <v>171</v>
      </c>
      <c r="C75" s="171" t="s">
        <v>172</v>
      </c>
      <c r="D75" s="182" t="s">
        <v>173</v>
      </c>
    </row>
    <row r="76" ht="31.75" spans="2:4">
      <c r="B76" s="171" t="s">
        <v>174</v>
      </c>
      <c r="C76" s="171" t="s">
        <v>172</v>
      </c>
      <c r="D76" s="182" t="s">
        <v>173</v>
      </c>
    </row>
    <row r="77" ht="15.25"/>
    <row r="78" ht="24.25" spans="2:4">
      <c r="B78" s="167" t="s">
        <v>182</v>
      </c>
      <c r="C78" s="168"/>
      <c r="D78" s="169"/>
    </row>
    <row r="79" ht="19.25" spans="2:4">
      <c r="B79" s="170" t="s">
        <v>141</v>
      </c>
      <c r="C79" s="170" t="s">
        <v>142</v>
      </c>
      <c r="D79" s="170" t="s">
        <v>143</v>
      </c>
    </row>
    <row r="80" ht="16.25" spans="2:4">
      <c r="B80" s="171" t="s">
        <v>144</v>
      </c>
      <c r="C80" s="171" t="s">
        <v>145</v>
      </c>
      <c r="D80" s="175"/>
    </row>
    <row r="81" ht="16.25" spans="2:4">
      <c r="B81" s="171" t="s">
        <v>146</v>
      </c>
      <c r="C81" s="171" t="s">
        <v>147</v>
      </c>
      <c r="D81" s="175"/>
    </row>
    <row r="82" ht="47.25" spans="2:4">
      <c r="B82" s="171" t="s">
        <v>148</v>
      </c>
      <c r="C82" s="171">
        <v>8</v>
      </c>
      <c r="D82" s="175"/>
    </row>
    <row r="83" ht="16.25" spans="2:4">
      <c r="B83" s="171" t="s">
        <v>151</v>
      </c>
      <c r="C83" s="171" t="s">
        <v>152</v>
      </c>
      <c r="D83" s="171"/>
    </row>
    <row r="84" ht="16.25" spans="2:4">
      <c r="B84" s="171" t="s">
        <v>153</v>
      </c>
      <c r="C84" s="171" t="s">
        <v>154</v>
      </c>
      <c r="D84" s="182"/>
    </row>
    <row r="85" ht="16.25" spans="2:4">
      <c r="B85" s="171" t="s">
        <v>155</v>
      </c>
      <c r="C85" s="183" t="s">
        <v>162</v>
      </c>
      <c r="D85" s="175"/>
    </row>
    <row r="86" ht="16.25" spans="2:4">
      <c r="B86" s="171" t="s">
        <v>157</v>
      </c>
      <c r="C86" s="171">
        <v>1</v>
      </c>
      <c r="D86" s="175"/>
    </row>
    <row r="87" ht="16.25" spans="2:4">
      <c r="B87" s="171" t="s">
        <v>158</v>
      </c>
      <c r="C87" s="171" t="s">
        <v>159</v>
      </c>
      <c r="D87" s="175"/>
    </row>
    <row r="88" ht="16.25" spans="2:4">
      <c r="B88" s="171" t="s">
        <v>161</v>
      </c>
      <c r="C88" s="183" t="s">
        <v>162</v>
      </c>
      <c r="D88" s="175"/>
    </row>
    <row r="89" ht="16.25" spans="2:4">
      <c r="B89" s="171" t="s">
        <v>163</v>
      </c>
      <c r="C89" s="171">
        <v>1</v>
      </c>
      <c r="D89" s="182"/>
    </row>
    <row r="90" ht="16.25" spans="2:4">
      <c r="B90" s="171" t="s">
        <v>164</v>
      </c>
      <c r="C90" s="171" t="s">
        <v>159</v>
      </c>
      <c r="D90" s="182"/>
    </row>
    <row r="91" ht="16.25" spans="2:4">
      <c r="B91" s="171" t="s">
        <v>166</v>
      </c>
      <c r="C91" s="171" t="s">
        <v>162</v>
      </c>
      <c r="D91" s="182"/>
    </row>
    <row r="92" ht="62.75" spans="2:4">
      <c r="B92" s="171" t="s">
        <v>168</v>
      </c>
      <c r="C92" s="171" t="s">
        <v>183</v>
      </c>
      <c r="D92" s="180" t="s">
        <v>181</v>
      </c>
    </row>
    <row r="93" ht="16.25" spans="2:4">
      <c r="B93" s="171" t="s">
        <v>169</v>
      </c>
      <c r="C93" s="171" t="s">
        <v>177</v>
      </c>
      <c r="D93" s="182"/>
    </row>
    <row r="94" ht="31.75" spans="2:4">
      <c r="B94" s="171" t="s">
        <v>171</v>
      </c>
      <c r="C94" s="171" t="s">
        <v>172</v>
      </c>
      <c r="D94" s="182" t="s">
        <v>173</v>
      </c>
    </row>
    <row r="95" ht="31.75" spans="2:4">
      <c r="B95" s="171" t="s">
        <v>174</v>
      </c>
      <c r="C95" s="171" t="s">
        <v>172</v>
      </c>
      <c r="D95" s="182" t="s">
        <v>173</v>
      </c>
    </row>
  </sheetData>
  <mergeCells count="5">
    <mergeCell ref="B2:D2"/>
    <mergeCell ref="B21:D21"/>
    <mergeCell ref="B40:D40"/>
    <mergeCell ref="B59:D59"/>
    <mergeCell ref="B78:D78"/>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B1:I19"/>
  <sheetViews>
    <sheetView zoomScale="50" zoomScaleNormal="50" workbookViewId="0">
      <selection activeCell="R12" sqref="R12"/>
    </sheetView>
  </sheetViews>
  <sheetFormatPr defaultColWidth="8.85454545454546" defaultRowHeight="14.5"/>
  <cols>
    <col min="1" max="1" width="8.85454545454546" style="156"/>
    <col min="2" max="2" width="57.5727272727273" style="156" customWidth="1"/>
    <col min="3" max="4" width="41.4272727272727" style="156" customWidth="1"/>
    <col min="5" max="6" width="8.85454545454546" style="156"/>
    <col min="7" max="7" width="57.5727272727273" style="156" customWidth="1"/>
    <col min="8" max="9" width="41.4272727272727" style="156" customWidth="1"/>
    <col min="10" max="16384" width="8.85454545454546" style="156"/>
  </cols>
  <sheetData>
    <row r="1" ht="24.25" spans="2:9">
      <c r="B1" s="157" t="s">
        <v>184</v>
      </c>
      <c r="C1" s="158"/>
      <c r="D1" s="159"/>
      <c r="G1" s="157" t="s">
        <v>185</v>
      </c>
      <c r="H1" s="158"/>
      <c r="I1" s="159"/>
    </row>
    <row r="2" ht="24.25" spans="2:9">
      <c r="B2" s="157" t="s">
        <v>186</v>
      </c>
      <c r="C2" s="158"/>
      <c r="D2" s="159"/>
      <c r="G2" s="157" t="s">
        <v>186</v>
      </c>
      <c r="H2" s="158"/>
      <c r="I2" s="159"/>
    </row>
    <row r="3" ht="19.25" spans="2:9">
      <c r="B3" s="160" t="s">
        <v>141</v>
      </c>
      <c r="C3" s="160" t="s">
        <v>142</v>
      </c>
      <c r="D3" s="160" t="s">
        <v>143</v>
      </c>
      <c r="G3" s="160" t="s">
        <v>141</v>
      </c>
      <c r="H3" s="160" t="s">
        <v>142</v>
      </c>
      <c r="I3" s="160" t="s">
        <v>143</v>
      </c>
    </row>
    <row r="4" ht="217.75" spans="2:9">
      <c r="B4" s="161" t="s">
        <v>144</v>
      </c>
      <c r="C4" s="259" t="s">
        <v>187</v>
      </c>
      <c r="D4" s="162"/>
      <c r="G4" s="161" t="s">
        <v>144</v>
      </c>
      <c r="H4" s="259" t="s">
        <v>187</v>
      </c>
      <c r="I4" s="162"/>
    </row>
    <row r="5" ht="93.75" spans="2:9">
      <c r="B5" s="161" t="s">
        <v>146</v>
      </c>
      <c r="C5" s="161" t="s">
        <v>188</v>
      </c>
      <c r="D5" s="162"/>
      <c r="G5" s="161" t="s">
        <v>146</v>
      </c>
      <c r="H5" s="161" t="s">
        <v>188</v>
      </c>
      <c r="I5" s="162"/>
    </row>
    <row r="6" ht="31.75" spans="2:9">
      <c r="B6" s="161" t="s">
        <v>189</v>
      </c>
      <c r="C6" s="161">
        <v>8</v>
      </c>
      <c r="D6" s="162"/>
      <c r="G6" s="161" t="s">
        <v>189</v>
      </c>
      <c r="H6" s="161">
        <v>2</v>
      </c>
      <c r="I6" s="162"/>
    </row>
    <row r="7" ht="202.25" spans="2:9">
      <c r="B7" s="161" t="s">
        <v>151</v>
      </c>
      <c r="C7" s="161" t="s">
        <v>190</v>
      </c>
      <c r="D7" s="161"/>
      <c r="G7" s="161" t="s">
        <v>151</v>
      </c>
      <c r="H7" s="161" t="s">
        <v>190</v>
      </c>
      <c r="I7" s="161"/>
    </row>
    <row r="8" ht="24.25" spans="2:9">
      <c r="B8" s="161" t="s">
        <v>153</v>
      </c>
      <c r="C8" s="161" t="s">
        <v>191</v>
      </c>
      <c r="D8" s="163"/>
      <c r="G8" s="161" t="s">
        <v>153</v>
      </c>
      <c r="H8" s="161" t="s">
        <v>191</v>
      </c>
      <c r="I8" s="163"/>
    </row>
    <row r="9" ht="24.25" spans="2:9">
      <c r="B9" s="161" t="s">
        <v>155</v>
      </c>
      <c r="C9" s="164" t="s">
        <v>156</v>
      </c>
      <c r="D9" s="162"/>
      <c r="G9" s="161" t="s">
        <v>155</v>
      </c>
      <c r="H9" s="164" t="s">
        <v>156</v>
      </c>
      <c r="I9" s="162"/>
    </row>
    <row r="10" ht="47.25" spans="2:9">
      <c r="B10" s="161" t="s">
        <v>157</v>
      </c>
      <c r="C10" s="161"/>
      <c r="D10" s="161" t="s">
        <v>192</v>
      </c>
      <c r="G10" s="161" t="s">
        <v>157</v>
      </c>
      <c r="H10" s="161"/>
      <c r="I10" s="161" t="s">
        <v>193</v>
      </c>
    </row>
    <row r="11" ht="24.25" spans="2:9">
      <c r="B11" s="161" t="s">
        <v>158</v>
      </c>
      <c r="C11" s="161"/>
      <c r="D11" s="162"/>
      <c r="G11" s="161" t="s">
        <v>158</v>
      </c>
      <c r="H11" s="161"/>
      <c r="I11" s="162"/>
    </row>
    <row r="12" ht="24.25" spans="2:9">
      <c r="B12" s="161" t="s">
        <v>161</v>
      </c>
      <c r="C12" s="164" t="s">
        <v>156</v>
      </c>
      <c r="D12" s="162"/>
      <c r="G12" s="161" t="s">
        <v>161</v>
      </c>
      <c r="H12" s="164" t="s">
        <v>156</v>
      </c>
      <c r="I12" s="162"/>
    </row>
    <row r="13" ht="31.75" spans="2:9">
      <c r="B13" s="161" t="s">
        <v>163</v>
      </c>
      <c r="C13" s="161"/>
      <c r="D13" s="161" t="s">
        <v>194</v>
      </c>
      <c r="G13" s="161" t="s">
        <v>163</v>
      </c>
      <c r="H13" s="161"/>
      <c r="I13" s="161" t="s">
        <v>195</v>
      </c>
    </row>
    <row r="14" ht="24.25" spans="2:9">
      <c r="B14" s="161" t="s">
        <v>164</v>
      </c>
      <c r="C14" s="161"/>
      <c r="D14" s="163"/>
      <c r="G14" s="161" t="s">
        <v>164</v>
      </c>
      <c r="H14" s="161"/>
      <c r="I14" s="163"/>
    </row>
    <row r="15" ht="24.25" spans="2:9">
      <c r="B15" s="161" t="s">
        <v>166</v>
      </c>
      <c r="C15" s="161" t="s">
        <v>170</v>
      </c>
      <c r="D15" s="163"/>
      <c r="G15" s="161" t="s">
        <v>166</v>
      </c>
      <c r="H15" s="161" t="s">
        <v>170</v>
      </c>
      <c r="I15" s="163"/>
    </row>
    <row r="16" ht="16.25" spans="2:9">
      <c r="B16" s="161" t="s">
        <v>168</v>
      </c>
      <c r="C16" s="161" t="s">
        <v>170</v>
      </c>
      <c r="D16" s="165"/>
      <c r="G16" s="161" t="s">
        <v>168</v>
      </c>
      <c r="H16" s="161" t="s">
        <v>170</v>
      </c>
      <c r="I16" s="165"/>
    </row>
    <row r="17" ht="24.25" spans="2:9">
      <c r="B17" s="161" t="s">
        <v>169</v>
      </c>
      <c r="C17" s="161" t="s">
        <v>170</v>
      </c>
      <c r="D17" s="163"/>
      <c r="G17" s="161" t="s">
        <v>169</v>
      </c>
      <c r="H17" s="161" t="s">
        <v>170</v>
      </c>
      <c r="I17" s="163"/>
    </row>
    <row r="18" ht="47.25" spans="2:9">
      <c r="B18" s="161" t="s">
        <v>171</v>
      </c>
      <c r="C18" s="161" t="s">
        <v>196</v>
      </c>
      <c r="D18" s="163"/>
      <c r="G18" s="161" t="s">
        <v>171</v>
      </c>
      <c r="H18" s="161" t="s">
        <v>196</v>
      </c>
      <c r="I18" s="163"/>
    </row>
    <row r="19" ht="47.25" spans="2:9">
      <c r="B19" s="161" t="s">
        <v>174</v>
      </c>
      <c r="C19" s="161" t="s">
        <v>196</v>
      </c>
      <c r="D19" s="163"/>
      <c r="G19" s="161" t="s">
        <v>174</v>
      </c>
      <c r="H19" s="161" t="s">
        <v>196</v>
      </c>
      <c r="I19" s="163"/>
    </row>
  </sheetData>
  <mergeCells count="4">
    <mergeCell ref="B1:D1"/>
    <mergeCell ref="G1:I1"/>
    <mergeCell ref="B2:D2"/>
    <mergeCell ref="G2:I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Z4"/>
  <sheetViews>
    <sheetView zoomScale="85" zoomScaleNormal="85" workbookViewId="0">
      <selection activeCell="J1" sqref="J1"/>
    </sheetView>
  </sheetViews>
  <sheetFormatPr defaultColWidth="13.1363636363636" defaultRowHeight="14.5" outlineLevelRow="3"/>
  <cols>
    <col min="1" max="1" width="13.1363636363636" style="1"/>
    <col min="2" max="2" width="27.8545454545455" style="1" customWidth="1"/>
    <col min="3" max="3" width="10.5727272727273" style="1" customWidth="1"/>
    <col min="4" max="4" width="8" style="1" customWidth="1"/>
    <col min="5" max="5" width="6.13636363636364" style="1" customWidth="1"/>
    <col min="6" max="6" width="10.4272727272727" style="1" customWidth="1"/>
    <col min="7" max="7" width="20.7090909090909" style="1" customWidth="1"/>
    <col min="8" max="8" width="18" style="1" customWidth="1"/>
    <col min="9" max="9" width="8" style="1" customWidth="1"/>
    <col min="10" max="10" width="9.85454545454546" style="1" customWidth="1"/>
    <col min="11" max="11" width="8.57272727272727" style="1" customWidth="1"/>
    <col min="12" max="12" width="9.85454545454546" style="1" customWidth="1"/>
    <col min="13" max="13" width="9.57272727272727" style="1" customWidth="1"/>
    <col min="14" max="14" width="9" style="1" customWidth="1"/>
    <col min="15" max="15" width="10.1363636363636" style="1" customWidth="1"/>
    <col min="16" max="16" width="6" style="1" customWidth="1"/>
    <col min="17" max="17" width="8.42727272727273" style="1" customWidth="1"/>
    <col min="18" max="18" width="8.28181818181818" style="1" customWidth="1"/>
    <col min="19" max="19" width="8.57272727272727" style="1" customWidth="1"/>
    <col min="20" max="20" width="8.13636363636364" style="1" customWidth="1"/>
    <col min="21" max="21" width="11.8545454545455" style="1" customWidth="1"/>
    <col min="22" max="16384" width="13.1363636363636" style="1"/>
  </cols>
  <sheetData>
    <row r="1" ht="58.5" customHeight="1" spans="2:26">
      <c r="B1" s="2" t="s">
        <v>197</v>
      </c>
      <c r="C1" s="2"/>
      <c r="D1" s="2"/>
      <c r="E1" s="2"/>
      <c r="F1" s="2"/>
      <c r="G1" s="3"/>
      <c r="H1" s="3"/>
      <c r="I1" s="3"/>
      <c r="J1" s="4"/>
      <c r="K1" s="4"/>
      <c r="L1" s="4"/>
      <c r="M1" s="4"/>
      <c r="N1" s="4"/>
      <c r="O1" s="4"/>
      <c r="P1" s="4"/>
      <c r="Q1" s="4"/>
      <c r="R1" s="4"/>
      <c r="S1" s="4"/>
      <c r="T1" s="4"/>
      <c r="U1" s="4"/>
      <c r="V1" s="4"/>
      <c r="W1" s="4"/>
      <c r="X1" s="4"/>
      <c r="Y1" s="4"/>
      <c r="Z1" s="4"/>
    </row>
    <row r="2" ht="58.5" customHeight="1" spans="2:26">
      <c r="B2" s="150" t="s">
        <v>0</v>
      </c>
      <c r="C2" s="150"/>
      <c r="D2" s="150"/>
      <c r="E2" s="150"/>
      <c r="F2" s="151" t="s">
        <v>198</v>
      </c>
      <c r="G2" s="152"/>
      <c r="H2" s="3"/>
      <c r="I2" s="4"/>
      <c r="J2" s="4"/>
      <c r="K2" s="4"/>
      <c r="L2" s="4"/>
      <c r="M2" s="4"/>
      <c r="N2" s="4"/>
      <c r="O2" s="4"/>
      <c r="P2" s="4"/>
      <c r="Q2" s="4"/>
      <c r="R2" s="4"/>
      <c r="S2" s="4"/>
      <c r="T2" s="4"/>
      <c r="U2" s="4"/>
      <c r="V2" s="4"/>
      <c r="W2" s="4"/>
      <c r="X2" s="4"/>
      <c r="Y2" s="4"/>
      <c r="Z2" s="4"/>
    </row>
    <row r="3" ht="18.75" customHeight="1" spans="1:26">
      <c r="A3" s="153" t="s">
        <v>2</v>
      </c>
      <c r="B3" s="154"/>
      <c r="C3" s="154"/>
      <c r="D3" s="11"/>
      <c r="E3" s="11"/>
      <c r="F3" s="11"/>
      <c r="G3" s="11"/>
      <c r="H3" s="11"/>
      <c r="I3" s="12"/>
      <c r="J3" s="13" t="s">
        <v>199</v>
      </c>
      <c r="K3" s="14"/>
      <c r="L3" s="22"/>
      <c r="M3" s="22"/>
      <c r="N3" s="14"/>
      <c r="O3" s="14"/>
      <c r="P3" s="14"/>
      <c r="Q3" s="14"/>
      <c r="R3" s="14"/>
      <c r="S3" s="14"/>
      <c r="T3" s="14"/>
      <c r="U3" s="14"/>
      <c r="V3" s="14"/>
      <c r="W3" s="14"/>
      <c r="X3" s="14"/>
      <c r="Y3" s="14"/>
      <c r="Z3" s="25"/>
    </row>
    <row r="4" ht="86.25" customHeight="1" spans="1:26">
      <c r="A4" s="30" t="s">
        <v>4</v>
      </c>
      <c r="B4" s="155" t="s">
        <v>5</v>
      </c>
      <c r="C4" s="30" t="s">
        <v>6</v>
      </c>
      <c r="D4" s="16" t="s">
        <v>200</v>
      </c>
      <c r="E4" s="16" t="s">
        <v>8</v>
      </c>
      <c r="F4" s="16" t="s">
        <v>9</v>
      </c>
      <c r="G4" s="16" t="s">
        <v>10</v>
      </c>
      <c r="H4" s="16" t="s">
        <v>201</v>
      </c>
      <c r="I4" s="16" t="s">
        <v>12</v>
      </c>
      <c r="J4" s="16" t="s">
        <v>13</v>
      </c>
      <c r="K4" s="16" t="s">
        <v>14</v>
      </c>
      <c r="L4" s="16" t="s">
        <v>202</v>
      </c>
      <c r="M4" s="16" t="s">
        <v>203</v>
      </c>
      <c r="N4" s="16" t="s">
        <v>204</v>
      </c>
      <c r="O4" s="16" t="s">
        <v>18</v>
      </c>
      <c r="P4" s="16" t="s">
        <v>19</v>
      </c>
      <c r="Q4" s="16" t="s">
        <v>20</v>
      </c>
      <c r="R4" s="16" t="s">
        <v>21</v>
      </c>
      <c r="S4" s="16" t="s">
        <v>22</v>
      </c>
      <c r="T4" s="16" t="s">
        <v>23</v>
      </c>
      <c r="U4" s="16" t="s">
        <v>24</v>
      </c>
      <c r="V4" s="16" t="s">
        <v>25</v>
      </c>
      <c r="W4" s="16" t="s">
        <v>26</v>
      </c>
      <c r="X4" s="16" t="s">
        <v>27</v>
      </c>
      <c r="Y4" s="16" t="s">
        <v>28</v>
      </c>
      <c r="Z4" s="16" t="s">
        <v>29</v>
      </c>
    </row>
  </sheetData>
  <mergeCells count="5">
    <mergeCell ref="B1:F1"/>
    <mergeCell ref="B2:C2"/>
    <mergeCell ref="F2:G2"/>
    <mergeCell ref="A3:I3"/>
    <mergeCell ref="J3:Z3"/>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2:E12"/>
  <sheetViews>
    <sheetView workbookViewId="0">
      <selection activeCell="B20" sqref="B20"/>
    </sheetView>
  </sheetViews>
  <sheetFormatPr defaultColWidth="9" defaultRowHeight="14.5" outlineLevelCol="4"/>
  <cols>
    <col min="1" max="1" width="9.13636363636364" style="135"/>
    <col min="2" max="2" width="21.4272727272727" style="135" customWidth="1"/>
    <col min="3" max="3" width="19" style="135" customWidth="1"/>
    <col min="4" max="4" width="17" style="135" customWidth="1"/>
    <col min="5" max="5" width="15.5727272727273" style="135" customWidth="1"/>
    <col min="6" max="16384" width="9.13636363636364" style="135"/>
  </cols>
  <sheetData>
    <row r="2" spans="2:2">
      <c r="B2" s="136" t="s">
        <v>205</v>
      </c>
    </row>
    <row r="3" ht="15.25" spans="2:2">
      <c r="B3" s="137"/>
    </row>
    <row r="4" ht="15.25" spans="2:4">
      <c r="B4" s="138" t="s">
        <v>206</v>
      </c>
      <c r="C4" s="139" t="s">
        <v>207</v>
      </c>
      <c r="D4" s="140" t="s">
        <v>208</v>
      </c>
    </row>
    <row r="5" ht="15.25" spans="2:4">
      <c r="B5" s="141">
        <v>10</v>
      </c>
      <c r="C5" s="142" t="s">
        <v>209</v>
      </c>
      <c r="D5" s="143" t="s">
        <v>209</v>
      </c>
    </row>
    <row r="7" spans="2:2">
      <c r="B7" s="136" t="s">
        <v>210</v>
      </c>
    </row>
    <row r="8" ht="15.25" spans="2:2">
      <c r="B8" s="137"/>
    </row>
    <row r="9" ht="15.25" spans="2:5">
      <c r="B9" s="144"/>
      <c r="C9" s="139" t="s">
        <v>206</v>
      </c>
      <c r="D9" s="140" t="s">
        <v>207</v>
      </c>
      <c r="E9" s="140" t="s">
        <v>208</v>
      </c>
    </row>
    <row r="10" ht="15.25" spans="2:5">
      <c r="B10" s="145" t="s">
        <v>211</v>
      </c>
      <c r="C10" s="146">
        <v>10</v>
      </c>
      <c r="D10" s="147" t="s">
        <v>212</v>
      </c>
      <c r="E10" s="146" t="s">
        <v>213</v>
      </c>
    </row>
    <row r="11" ht="15.25" spans="2:5">
      <c r="B11" s="145" t="s">
        <v>214</v>
      </c>
      <c r="C11" s="148">
        <v>18</v>
      </c>
      <c r="D11" s="146" t="s">
        <v>215</v>
      </c>
      <c r="E11" s="148" t="s">
        <v>216</v>
      </c>
    </row>
    <row r="12" ht="15.25" spans="2:5">
      <c r="B12" s="145" t="s">
        <v>217</v>
      </c>
      <c r="C12" s="149">
        <v>18</v>
      </c>
      <c r="D12" s="149" t="s">
        <v>218</v>
      </c>
      <c r="E12" s="149" t="s">
        <v>219</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B23"/>
  <sheetViews>
    <sheetView zoomScale="110" zoomScaleNormal="110" workbookViewId="0">
      <selection activeCell="AE16" sqref="AE16"/>
    </sheetView>
  </sheetViews>
  <sheetFormatPr defaultColWidth="8.85454545454546" defaultRowHeight="14.5" outlineLevelCol="1"/>
  <cols>
    <col min="1" max="1" width="40.4272727272727" style="120" customWidth="1"/>
    <col min="2" max="2" width="89.5727272727273" style="120" customWidth="1"/>
    <col min="3" max="3" width="12.5727272727273" style="120" customWidth="1"/>
    <col min="4" max="16384" width="8.85454545454546" style="120"/>
  </cols>
  <sheetData>
    <row r="1" ht="25.35" customHeight="1" spans="1:1">
      <c r="A1" s="121" t="s">
        <v>220</v>
      </c>
    </row>
    <row r="2" ht="19.7" customHeight="1" spans="1:1">
      <c r="A2" s="120" t="s">
        <v>221</v>
      </c>
    </row>
    <row r="3" ht="19.7" customHeight="1" spans="1:1">
      <c r="A3" s="122" t="s">
        <v>222</v>
      </c>
    </row>
    <row r="4" ht="20.45" customHeight="1" spans="1:1">
      <c r="A4" s="122" t="s">
        <v>223</v>
      </c>
    </row>
    <row r="5" spans="1:1">
      <c r="A5" s="120" t="s">
        <v>224</v>
      </c>
    </row>
    <row r="6" spans="1:1">
      <c r="A6" s="120" t="s">
        <v>225</v>
      </c>
    </row>
    <row r="8" spans="1:2">
      <c r="A8" s="123" t="s">
        <v>226</v>
      </c>
      <c r="B8" s="123" t="s">
        <v>227</v>
      </c>
    </row>
    <row r="9" ht="169.7" customHeight="1" spans="1:2">
      <c r="A9" s="124" t="s">
        <v>228</v>
      </c>
      <c r="B9" s="125" t="s">
        <v>229</v>
      </c>
    </row>
    <row r="10" ht="43.5" spans="1:2">
      <c r="A10" s="124" t="s">
        <v>230</v>
      </c>
      <c r="B10" s="125" t="s">
        <v>231</v>
      </c>
    </row>
    <row r="11" ht="72.5" spans="1:2">
      <c r="A11" s="124" t="s">
        <v>232</v>
      </c>
      <c r="B11" s="125" t="s">
        <v>233</v>
      </c>
    </row>
    <row r="12" s="119" customFormat="1" ht="29" spans="1:2">
      <c r="A12" s="126" t="s">
        <v>234</v>
      </c>
      <c r="B12" s="127" t="s">
        <v>235</v>
      </c>
    </row>
    <row r="13" s="119" customFormat="1" ht="101.5" spans="1:2">
      <c r="A13" s="126" t="s">
        <v>236</v>
      </c>
      <c r="B13" s="127" t="s">
        <v>237</v>
      </c>
    </row>
    <row r="14" ht="43.5" spans="1:2">
      <c r="A14" s="124" t="s">
        <v>238</v>
      </c>
      <c r="B14" s="128" t="s">
        <v>239</v>
      </c>
    </row>
    <row r="15" s="119" customFormat="1" ht="29" spans="1:2">
      <c r="A15" s="129" t="s">
        <v>240</v>
      </c>
      <c r="B15" s="127" t="s">
        <v>241</v>
      </c>
    </row>
    <row r="16" s="119" customFormat="1" spans="1:2">
      <c r="A16" s="129" t="s">
        <v>242</v>
      </c>
      <c r="B16" s="130" t="s">
        <v>243</v>
      </c>
    </row>
    <row r="17" s="119" customFormat="1" spans="1:2">
      <c r="A17" s="129" t="s">
        <v>244</v>
      </c>
      <c r="B17" s="130" t="s">
        <v>245</v>
      </c>
    </row>
    <row r="18" s="119" customFormat="1" ht="43.5" spans="1:2">
      <c r="A18" s="126" t="s">
        <v>246</v>
      </c>
      <c r="B18" s="131" t="s">
        <v>247</v>
      </c>
    </row>
    <row r="19" ht="29" spans="1:2">
      <c r="A19" s="126" t="s">
        <v>248</v>
      </c>
      <c r="B19" s="131" t="s">
        <v>249</v>
      </c>
    </row>
    <row r="20" ht="29" spans="1:2">
      <c r="A20" s="124" t="s">
        <v>250</v>
      </c>
      <c r="B20" s="132" t="s">
        <v>251</v>
      </c>
    </row>
    <row r="21" ht="29" spans="1:2">
      <c r="A21" s="124" t="s">
        <v>252</v>
      </c>
      <c r="B21" s="133" t="s">
        <v>253</v>
      </c>
    </row>
    <row r="22" ht="29" spans="1:2">
      <c r="A22" s="123" t="s">
        <v>254</v>
      </c>
      <c r="B22" s="134" t="s">
        <v>255</v>
      </c>
    </row>
    <row r="23" ht="29" spans="1:2">
      <c r="A23" s="123" t="s">
        <v>182</v>
      </c>
      <c r="B23" s="134" t="s">
        <v>256</v>
      </c>
    </row>
  </sheetData>
  <pageMargins left="0.7" right="0.7" top="0.75" bottom="0.75" header="0.3" footer="0.3"/>
  <pageSetup paperSize="9" orientation="portrait"/>
  <headerFooter>
    <oddFooter>&amp;L&amp;1#&amp;"Calibri"&amp;7&amp;K000000C2 General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J37"/>
  <sheetViews>
    <sheetView zoomScale="70" zoomScaleNormal="70" workbookViewId="0">
      <selection activeCell="G36" sqref="G36"/>
    </sheetView>
  </sheetViews>
  <sheetFormatPr defaultColWidth="9.13636363636364" defaultRowHeight="14.5"/>
  <cols>
    <col min="1" max="1" width="24.8545454545455" style="33" customWidth="1"/>
    <col min="2" max="8" width="25.8545454545455" style="33" customWidth="1"/>
    <col min="9" max="16384" width="9.13636363636364" style="33"/>
  </cols>
  <sheetData>
    <row r="1" s="99" customFormat="1" spans="1:1">
      <c r="A1" s="99" t="s">
        <v>220</v>
      </c>
    </row>
    <row r="2" s="100" customFormat="1" spans="1:1">
      <c r="A2" s="100" t="s">
        <v>257</v>
      </c>
    </row>
    <row r="3" s="100" customFormat="1" ht="15.25"/>
    <row r="4" ht="29.1" customHeight="1" spans="1:8">
      <c r="A4" s="101" t="s">
        <v>258</v>
      </c>
      <c r="B4" s="102" t="s">
        <v>259</v>
      </c>
      <c r="C4" s="103" t="s">
        <v>260</v>
      </c>
      <c r="D4" s="102" t="s">
        <v>261</v>
      </c>
      <c r="E4" s="103" t="s">
        <v>262</v>
      </c>
      <c r="F4" s="102" t="s">
        <v>263</v>
      </c>
      <c r="G4" s="103" t="s">
        <v>264</v>
      </c>
      <c r="H4" s="102" t="s">
        <v>265</v>
      </c>
    </row>
    <row r="5" spans="1:8">
      <c r="A5" s="104" t="s">
        <v>266</v>
      </c>
      <c r="B5" s="105"/>
      <c r="C5" s="106"/>
      <c r="D5" s="107"/>
      <c r="E5" s="106"/>
      <c r="F5" s="107"/>
      <c r="G5" s="260" t="s">
        <v>267</v>
      </c>
      <c r="H5" s="108"/>
    </row>
    <row r="6" spans="1:8">
      <c r="A6" s="109" t="s">
        <v>268</v>
      </c>
      <c r="B6" s="105" t="s">
        <v>269</v>
      </c>
      <c r="C6" s="106"/>
      <c r="D6" s="107"/>
      <c r="E6" s="106"/>
      <c r="F6" s="107"/>
      <c r="G6" s="106"/>
      <c r="H6" s="108"/>
    </row>
    <row r="7" spans="1:10">
      <c r="A7" s="104" t="s">
        <v>270</v>
      </c>
      <c r="B7" s="105">
        <v>2360000</v>
      </c>
      <c r="C7" s="106"/>
      <c r="D7" s="105">
        <v>1181211.5345126</v>
      </c>
      <c r="E7" s="106">
        <v>44000</v>
      </c>
      <c r="F7" s="107"/>
      <c r="G7" s="106"/>
      <c r="H7" s="108"/>
      <c r="J7" s="33" t="s">
        <v>271</v>
      </c>
    </row>
    <row r="8" spans="1:8">
      <c r="A8" s="104" t="s">
        <v>272</v>
      </c>
      <c r="B8" s="105"/>
      <c r="C8" s="106"/>
      <c r="D8" s="107"/>
      <c r="E8" s="106"/>
      <c r="F8" s="107"/>
      <c r="G8" s="106">
        <v>546</v>
      </c>
      <c r="H8" s="108"/>
    </row>
    <row r="9" spans="1:8">
      <c r="A9" s="104" t="s">
        <v>273</v>
      </c>
      <c r="B9" s="105"/>
      <c r="C9" s="106"/>
      <c r="D9" s="107"/>
      <c r="E9" s="106"/>
      <c r="F9" s="107"/>
      <c r="G9" s="106">
        <v>199</v>
      </c>
      <c r="H9" s="108"/>
    </row>
    <row r="10" spans="1:8">
      <c r="A10" s="104" t="s">
        <v>274</v>
      </c>
      <c r="B10" s="105"/>
      <c r="C10" s="43">
        <v>182</v>
      </c>
      <c r="D10" s="107"/>
      <c r="E10" s="106"/>
      <c r="F10" s="107"/>
      <c r="G10" s="106"/>
      <c r="H10" s="108"/>
    </row>
    <row r="11" spans="1:8">
      <c r="A11" s="104" t="s">
        <v>275</v>
      </c>
      <c r="B11" s="105">
        <v>408000</v>
      </c>
      <c r="C11" s="43"/>
      <c r="D11" s="107"/>
      <c r="E11" s="106"/>
      <c r="F11" s="107"/>
      <c r="G11" s="106"/>
      <c r="H11" s="108"/>
    </row>
    <row r="12" spans="1:8">
      <c r="A12" s="104" t="s">
        <v>276</v>
      </c>
      <c r="B12" s="105">
        <v>362000</v>
      </c>
      <c r="C12" s="43"/>
      <c r="D12" s="107"/>
      <c r="E12" s="106"/>
      <c r="F12" s="107"/>
      <c r="G12" s="106"/>
      <c r="H12" s="108"/>
    </row>
    <row r="13" spans="1:8">
      <c r="A13" s="104" t="s">
        <v>277</v>
      </c>
      <c r="B13" s="105">
        <v>389000</v>
      </c>
      <c r="C13" s="43"/>
      <c r="D13" s="107"/>
      <c r="E13" s="106"/>
      <c r="F13" s="107"/>
      <c r="G13" s="106"/>
      <c r="H13" s="108"/>
    </row>
    <row r="14" spans="1:8">
      <c r="A14" s="104" t="s">
        <v>278</v>
      </c>
      <c r="B14" s="105"/>
      <c r="C14" s="43"/>
      <c r="D14" s="107"/>
      <c r="E14" s="110">
        <v>11467</v>
      </c>
      <c r="F14" s="107"/>
      <c r="G14" s="106"/>
      <c r="H14" s="108"/>
    </row>
    <row r="15" spans="1:8">
      <c r="A15" s="104" t="s">
        <v>279</v>
      </c>
      <c r="B15" s="110">
        <v>880000</v>
      </c>
      <c r="C15" s="43"/>
      <c r="D15" s="107"/>
      <c r="E15" s="110">
        <v>220</v>
      </c>
      <c r="F15" s="107"/>
      <c r="G15" s="106"/>
      <c r="H15" s="108"/>
    </row>
    <row r="16" spans="1:8">
      <c r="A16" s="104" t="s">
        <v>280</v>
      </c>
      <c r="B16" s="105">
        <v>1499189</v>
      </c>
      <c r="C16" s="43"/>
      <c r="D16" s="107"/>
      <c r="E16" s="106"/>
      <c r="F16" s="107"/>
      <c r="G16" s="106"/>
      <c r="H16" s="108"/>
    </row>
    <row r="17" spans="1:8">
      <c r="A17" s="104" t="s">
        <v>281</v>
      </c>
      <c r="B17" s="105"/>
      <c r="C17" s="43"/>
      <c r="D17" s="107"/>
      <c r="E17" s="106"/>
      <c r="F17" s="107"/>
      <c r="G17" s="106">
        <v>115</v>
      </c>
      <c r="H17" s="108"/>
    </row>
    <row r="18" spans="1:8">
      <c r="A18" s="104" t="s">
        <v>282</v>
      </c>
      <c r="B18" s="105"/>
      <c r="C18" s="43"/>
      <c r="D18" s="107"/>
      <c r="E18" s="106"/>
      <c r="F18" s="107"/>
      <c r="G18" s="106">
        <v>7200</v>
      </c>
      <c r="H18" s="108"/>
    </row>
    <row r="19" spans="1:8">
      <c r="A19" s="104" t="s">
        <v>283</v>
      </c>
      <c r="B19" s="105"/>
      <c r="C19" s="43"/>
      <c r="D19" s="107"/>
      <c r="E19" s="106" t="s">
        <v>284</v>
      </c>
      <c r="F19" s="107"/>
      <c r="G19" s="106"/>
      <c r="H19" s="108"/>
    </row>
    <row r="20" spans="1:8">
      <c r="A20" s="104" t="s">
        <v>285</v>
      </c>
      <c r="B20" s="105"/>
      <c r="C20" s="43"/>
      <c r="D20" s="107"/>
      <c r="E20" s="111">
        <v>11400</v>
      </c>
      <c r="F20" s="107"/>
      <c r="G20" s="106"/>
      <c r="H20" s="108"/>
    </row>
    <row r="21" spans="1:8">
      <c r="A21" s="104" t="s">
        <v>286</v>
      </c>
      <c r="B21" s="105"/>
      <c r="C21" s="43"/>
      <c r="D21" s="107"/>
      <c r="E21" s="106"/>
      <c r="F21" s="107"/>
      <c r="G21" s="106"/>
      <c r="H21" s="108"/>
    </row>
    <row r="22" spans="1:8">
      <c r="A22" s="104" t="s">
        <v>287</v>
      </c>
      <c r="B22" s="105"/>
      <c r="C22" s="43"/>
      <c r="D22" s="107"/>
      <c r="E22" s="106"/>
      <c r="F22" s="107"/>
      <c r="G22" s="112"/>
      <c r="H22" s="108"/>
    </row>
    <row r="23" spans="1:8">
      <c r="A23" s="104" t="s">
        <v>288</v>
      </c>
      <c r="B23" s="105"/>
      <c r="C23" s="43"/>
      <c r="D23" s="107"/>
      <c r="E23" s="106"/>
      <c r="F23" s="107"/>
      <c r="G23" s="112"/>
      <c r="H23" s="108"/>
    </row>
    <row r="25" spans="1:1">
      <c r="A25" s="113" t="s">
        <v>289</v>
      </c>
    </row>
    <row r="26" ht="15.25"/>
    <row r="27" ht="15.25" spans="1:4">
      <c r="A27" s="114"/>
      <c r="B27" s="115" t="s">
        <v>290</v>
      </c>
      <c r="C27" s="115" t="s">
        <v>291</v>
      </c>
      <c r="D27" s="116" t="s">
        <v>292</v>
      </c>
    </row>
    <row r="28" ht="15.25" spans="1:4">
      <c r="A28" s="117" t="s">
        <v>293</v>
      </c>
      <c r="B28" s="118">
        <v>0.8</v>
      </c>
      <c r="C28" s="118">
        <v>0.7</v>
      </c>
      <c r="D28" s="118">
        <f t="shared" ref="D28:D37" si="0">B28-C28</f>
        <v>0.1</v>
      </c>
    </row>
    <row r="29" ht="15.25" spans="1:4">
      <c r="A29" s="117" t="s">
        <v>294</v>
      </c>
      <c r="B29" s="118">
        <v>0.8</v>
      </c>
      <c r="C29" s="118">
        <v>0.7</v>
      </c>
      <c r="D29" s="118">
        <f t="shared" si="0"/>
        <v>0.1</v>
      </c>
    </row>
    <row r="30" ht="15.25" spans="1:4">
      <c r="A30" s="117" t="s">
        <v>295</v>
      </c>
      <c r="B30" s="118">
        <v>0.8</v>
      </c>
      <c r="C30" s="118">
        <v>0.7</v>
      </c>
      <c r="D30" s="118">
        <f t="shared" si="0"/>
        <v>0.1</v>
      </c>
    </row>
    <row r="31" ht="15.25" spans="1:4">
      <c r="A31" s="117" t="s">
        <v>178</v>
      </c>
      <c r="B31" s="118">
        <v>0.7</v>
      </c>
      <c r="C31" s="118">
        <v>0.6</v>
      </c>
      <c r="D31" s="118">
        <f t="shared" si="0"/>
        <v>0.1</v>
      </c>
    </row>
    <row r="32" ht="15.25" spans="1:4">
      <c r="A32" s="117" t="s">
        <v>179</v>
      </c>
      <c r="B32" s="118">
        <v>0.8</v>
      </c>
      <c r="C32" s="118">
        <v>0.7</v>
      </c>
      <c r="D32" s="118">
        <f t="shared" si="0"/>
        <v>0.1</v>
      </c>
    </row>
    <row r="33" ht="15.25" spans="1:4">
      <c r="A33" s="117" t="s">
        <v>182</v>
      </c>
      <c r="B33" s="118">
        <v>0.8</v>
      </c>
      <c r="C33" s="118">
        <v>0.7</v>
      </c>
      <c r="D33" s="118">
        <f t="shared" si="0"/>
        <v>0.1</v>
      </c>
    </row>
    <row r="34" ht="15.25" spans="1:4">
      <c r="A34" s="117" t="s">
        <v>296</v>
      </c>
      <c r="B34" s="118">
        <v>0.8</v>
      </c>
      <c r="C34" s="118">
        <v>0.7</v>
      </c>
      <c r="D34" s="118">
        <f t="shared" si="0"/>
        <v>0.1</v>
      </c>
    </row>
    <row r="35" ht="15.25" spans="1:4">
      <c r="A35" s="117" t="s">
        <v>297</v>
      </c>
      <c r="B35" s="118">
        <v>0.8</v>
      </c>
      <c r="C35" s="118">
        <v>0.7</v>
      </c>
      <c r="D35" s="118">
        <f t="shared" si="0"/>
        <v>0.1</v>
      </c>
    </row>
    <row r="36" ht="15.25" spans="1:4">
      <c r="A36" s="117" t="s">
        <v>298</v>
      </c>
      <c r="B36" s="118">
        <v>0.75</v>
      </c>
      <c r="C36" s="118">
        <v>0.6</v>
      </c>
      <c r="D36" s="118">
        <f t="shared" si="0"/>
        <v>0.15</v>
      </c>
    </row>
    <row r="37" ht="15.25" spans="1:4">
      <c r="A37" s="117" t="s">
        <v>299</v>
      </c>
      <c r="B37" s="118">
        <v>0.68</v>
      </c>
      <c r="C37" s="118">
        <v>0.57</v>
      </c>
      <c r="D37" s="118">
        <f t="shared" si="0"/>
        <v>0.11</v>
      </c>
    </row>
  </sheetData>
  <pageMargins left="0.7" right="0.7" top="0.75" bottom="0.75" header="0.3" footer="0.3"/>
  <pageSetup paperSize="9" orientation="portrait"/>
  <headerFooter>
    <oddFooter>&amp;L&amp;1#&amp;"Calibri"&amp;7&amp;K000000C2 General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J224"/>
  <sheetViews>
    <sheetView tabSelected="1" zoomScale="70" zoomScaleNormal="70" topLeftCell="A176" workbookViewId="0">
      <selection activeCell="S199" sqref="S199"/>
    </sheetView>
  </sheetViews>
  <sheetFormatPr defaultColWidth="9.13636363636364" defaultRowHeight="14.5"/>
  <cols>
    <col min="1" max="1" width="15" style="33" customWidth="1"/>
    <col min="2" max="7" width="14" style="33" customWidth="1"/>
    <col min="8" max="8" width="3.57272727272727" style="33" customWidth="1"/>
    <col min="9" max="16384" width="9.13636363636364" style="33"/>
  </cols>
  <sheetData>
    <row r="1" ht="15.25" spans="1:6">
      <c r="A1" s="34" t="s">
        <v>300</v>
      </c>
      <c r="B1" s="35"/>
      <c r="C1" s="35"/>
      <c r="D1" s="35"/>
      <c r="E1" s="36"/>
      <c r="F1" s="37"/>
    </row>
    <row r="2" ht="29.75" spans="1:6">
      <c r="A2" s="38" t="s">
        <v>258</v>
      </c>
      <c r="B2" s="39" t="s">
        <v>301</v>
      </c>
      <c r="C2" s="39" t="s">
        <v>17</v>
      </c>
      <c r="D2" s="39" t="s">
        <v>302</v>
      </c>
      <c r="E2" s="40" t="s">
        <v>303</v>
      </c>
      <c r="F2" s="41"/>
    </row>
    <row r="3" ht="15.25" spans="1:5">
      <c r="A3" s="48" t="s">
        <v>304</v>
      </c>
      <c r="B3" s="43">
        <v>2</v>
      </c>
      <c r="C3" s="43">
        <v>8</v>
      </c>
      <c r="D3" s="43">
        <v>32</v>
      </c>
      <c r="E3" s="44">
        <v>1</v>
      </c>
    </row>
    <row r="4" ht="15.25" spans="1:5">
      <c r="A4" s="53" t="s">
        <v>305</v>
      </c>
      <c r="B4" s="82"/>
      <c r="C4" s="82">
        <f>SUMPRODUCT(C3:C3,B3:B3)</f>
        <v>16</v>
      </c>
      <c r="D4" s="82"/>
      <c r="E4" s="83">
        <f>SUMPRODUCT(E3:E3,B3:B3)</f>
        <v>2</v>
      </c>
    </row>
    <row r="8" ht="15.25" spans="1:8">
      <c r="A8" s="69" t="s">
        <v>306</v>
      </c>
      <c r="B8" s="57"/>
      <c r="C8" s="57"/>
      <c r="D8" s="57"/>
      <c r="E8" s="57"/>
      <c r="F8" s="57"/>
      <c r="G8" s="57"/>
      <c r="H8" s="58"/>
    </row>
    <row r="9" spans="1:7">
      <c r="A9" s="60" t="s">
        <v>307</v>
      </c>
      <c r="B9" s="60"/>
      <c r="C9" s="60"/>
      <c r="D9" s="60"/>
      <c r="E9" s="60"/>
      <c r="F9" s="60"/>
      <c r="G9" s="60"/>
    </row>
    <row r="10" ht="15.25" spans="1:9">
      <c r="A10" s="43">
        <v>182</v>
      </c>
      <c r="B10" s="43"/>
      <c r="C10" s="43"/>
      <c r="D10" s="51"/>
      <c r="E10" s="51"/>
      <c r="F10" s="51"/>
      <c r="G10" s="51"/>
      <c r="I10" s="33" t="s">
        <v>308</v>
      </c>
    </row>
    <row r="11" spans="1:9">
      <c r="A11" s="96">
        <f>A10/$C$4</f>
        <v>11.375</v>
      </c>
      <c r="B11" s="96"/>
      <c r="C11" s="96"/>
      <c r="D11" s="63">
        <f>D10/$C$4</f>
        <v>0</v>
      </c>
      <c r="E11" s="63">
        <f>E10/$C$4</f>
        <v>0</v>
      </c>
      <c r="F11" s="63">
        <f>F10/$C$4</f>
        <v>0</v>
      </c>
      <c r="G11" s="63">
        <f>G10/$C$4</f>
        <v>0</v>
      </c>
      <c r="I11" s="33" t="s">
        <v>309</v>
      </c>
    </row>
    <row r="12" ht="15.25" spans="1:9">
      <c r="A12" s="97">
        <f>A10/$E$4</f>
        <v>91</v>
      </c>
      <c r="B12" s="97"/>
      <c r="C12" s="97"/>
      <c r="D12" s="65">
        <f>D10/$E$4</f>
        <v>0</v>
      </c>
      <c r="E12" s="65">
        <f>E10/$E$4</f>
        <v>0</v>
      </c>
      <c r="F12" s="65">
        <f>F10/$E$4</f>
        <v>0</v>
      </c>
      <c r="G12" s="65">
        <f>G10/$E$4</f>
        <v>0</v>
      </c>
      <c r="I12" s="33" t="s">
        <v>310</v>
      </c>
    </row>
    <row r="14" ht="15.25"/>
    <row r="15" ht="15.25" spans="1:6">
      <c r="A15" s="34" t="s">
        <v>311</v>
      </c>
      <c r="B15" s="35"/>
      <c r="C15" s="35"/>
      <c r="D15" s="35"/>
      <c r="E15" s="36"/>
      <c r="F15" s="37"/>
    </row>
    <row r="16" ht="29.75" spans="1:6">
      <c r="A16" s="38" t="s">
        <v>258</v>
      </c>
      <c r="B16" s="39" t="s">
        <v>301</v>
      </c>
      <c r="C16" s="39" t="s">
        <v>17</v>
      </c>
      <c r="D16" s="39" t="s">
        <v>302</v>
      </c>
      <c r="E16" s="40" t="s">
        <v>303</v>
      </c>
      <c r="F16" s="41"/>
    </row>
    <row r="17" spans="1:5">
      <c r="A17" s="66" t="s">
        <v>312</v>
      </c>
      <c r="B17" s="66">
        <v>2</v>
      </c>
      <c r="C17" s="66">
        <v>14</v>
      </c>
      <c r="D17" s="66">
        <v>10</v>
      </c>
      <c r="E17" s="67">
        <v>1542</v>
      </c>
    </row>
    <row r="18" spans="1:5">
      <c r="A18" s="68" t="s">
        <v>313</v>
      </c>
      <c r="B18" s="48">
        <v>3</v>
      </c>
      <c r="C18" s="48">
        <v>2</v>
      </c>
      <c r="D18" s="48">
        <v>32</v>
      </c>
      <c r="E18" s="49"/>
    </row>
    <row r="19" spans="1:5">
      <c r="A19" s="46" t="s">
        <v>314</v>
      </c>
      <c r="B19" s="46">
        <v>2</v>
      </c>
      <c r="C19" s="46">
        <v>6</v>
      </c>
      <c r="D19" s="46">
        <v>4</v>
      </c>
      <c r="E19" s="47"/>
    </row>
    <row r="20" spans="1:5">
      <c r="A20" s="68" t="s">
        <v>315</v>
      </c>
      <c r="B20" s="48">
        <v>4</v>
      </c>
      <c r="C20" s="48">
        <v>4</v>
      </c>
      <c r="D20" s="48">
        <v>10</v>
      </c>
      <c r="E20" s="49"/>
    </row>
    <row r="21" spans="1:5">
      <c r="A21" s="45"/>
      <c r="B21" s="46"/>
      <c r="C21" s="46"/>
      <c r="D21" s="46"/>
      <c r="E21" s="47"/>
    </row>
    <row r="22" ht="15.25" spans="1:5">
      <c r="A22" s="50"/>
      <c r="B22" s="51"/>
      <c r="C22" s="51"/>
      <c r="D22" s="51"/>
      <c r="E22" s="52"/>
    </row>
    <row r="23" ht="15.25" spans="1:5">
      <c r="A23" s="53" t="s">
        <v>305</v>
      </c>
      <c r="B23" s="54"/>
      <c r="C23" s="54">
        <f>SUMPRODUCT(C17:C22,B17:B22)</f>
        <v>62</v>
      </c>
      <c r="D23" s="54"/>
      <c r="E23" s="55">
        <f>SUMPRODUCT(E17:E22,B17:B22)</f>
        <v>3084</v>
      </c>
    </row>
    <row r="27" ht="15.25" spans="1:10">
      <c r="A27" s="69" t="s">
        <v>316</v>
      </c>
      <c r="B27" s="57"/>
      <c r="C27" s="57"/>
      <c r="D27" s="57"/>
      <c r="E27" s="57"/>
      <c r="F27" s="57"/>
      <c r="G27" s="57"/>
      <c r="H27" s="58"/>
      <c r="J27" s="33" t="s">
        <v>317</v>
      </c>
    </row>
    <row r="28" spans="1:10">
      <c r="A28" s="60" t="s">
        <v>318</v>
      </c>
      <c r="B28" s="60" t="s">
        <v>261</v>
      </c>
      <c r="C28" s="60" t="s">
        <v>319</v>
      </c>
      <c r="D28" s="60"/>
      <c r="E28" s="60"/>
      <c r="F28" s="60"/>
      <c r="G28" s="60"/>
      <c r="J28" s="33" t="s">
        <v>320</v>
      </c>
    </row>
    <row r="29" ht="15.25" spans="1:10">
      <c r="A29" s="70">
        <v>4720000</v>
      </c>
      <c r="B29" s="70">
        <v>2362423.0690252</v>
      </c>
      <c r="C29" s="70">
        <v>88000</v>
      </c>
      <c r="D29" s="51"/>
      <c r="E29" s="51"/>
      <c r="F29" s="51"/>
      <c r="G29" s="51"/>
      <c r="J29" s="33" t="s">
        <v>321</v>
      </c>
    </row>
    <row r="30" spans="1:7">
      <c r="A30" s="71">
        <f>A29/$C$23</f>
        <v>76129.0322580645</v>
      </c>
      <c r="B30" s="71">
        <f>B29/$C$23</f>
        <v>38103.5978875032</v>
      </c>
      <c r="C30" s="71">
        <f>C29/$C$23</f>
        <v>1419.35483870968</v>
      </c>
      <c r="D30" s="63">
        <f>D29/$C$23</f>
        <v>0</v>
      </c>
      <c r="E30" s="63">
        <f>E29/$C$23</f>
        <v>0</v>
      </c>
      <c r="F30" s="63">
        <f>F29/$C$23</f>
        <v>0</v>
      </c>
      <c r="G30" s="63">
        <f>G29/$C$23</f>
        <v>0</v>
      </c>
    </row>
    <row r="31" ht="15.25" spans="1:7">
      <c r="A31" s="72">
        <f>A29/$E$23</f>
        <v>1530.47989623865</v>
      </c>
      <c r="B31" s="72">
        <f>B29/$E$23</f>
        <v>766.025638464721</v>
      </c>
      <c r="C31" s="72">
        <f>C29/$E$23</f>
        <v>28.5343709468223</v>
      </c>
      <c r="D31" s="65">
        <f>D29/$E$23</f>
        <v>0</v>
      </c>
      <c r="E31" s="65">
        <f>E29/$E$23</f>
        <v>0</v>
      </c>
      <c r="F31" s="65">
        <f>F29/$E$23</f>
        <v>0</v>
      </c>
      <c r="G31" s="65">
        <f>G29/$E$23</f>
        <v>0</v>
      </c>
    </row>
    <row r="32" ht="15.25"/>
    <row r="33" ht="15.25" spans="1:6">
      <c r="A33" s="34" t="s">
        <v>322</v>
      </c>
      <c r="B33" s="35"/>
      <c r="C33" s="35"/>
      <c r="D33" s="35"/>
      <c r="E33" s="36"/>
      <c r="F33" s="37"/>
    </row>
    <row r="34" ht="29.75" spans="1:6">
      <c r="A34" s="38" t="s">
        <v>258</v>
      </c>
      <c r="B34" s="39" t="s">
        <v>301</v>
      </c>
      <c r="C34" s="39" t="s">
        <v>17</v>
      </c>
      <c r="D34" s="39" t="s">
        <v>302</v>
      </c>
      <c r="E34" s="40" t="s">
        <v>303</v>
      </c>
      <c r="F34" s="41"/>
    </row>
    <row r="35" spans="1:5">
      <c r="A35" s="45" t="s">
        <v>323</v>
      </c>
      <c r="B35" s="66">
        <v>2</v>
      </c>
      <c r="C35" s="66">
        <v>14</v>
      </c>
      <c r="D35" s="66">
        <v>40</v>
      </c>
      <c r="E35" s="67">
        <v>280</v>
      </c>
    </row>
    <row r="36" spans="1:5">
      <c r="A36" s="45" t="s">
        <v>324</v>
      </c>
      <c r="B36" s="48">
        <v>2</v>
      </c>
      <c r="C36" s="48">
        <v>14</v>
      </c>
      <c r="D36" s="48">
        <v>8</v>
      </c>
      <c r="E36" s="49">
        <v>0</v>
      </c>
    </row>
    <row r="37" spans="1:5">
      <c r="A37" s="45"/>
      <c r="B37" s="46"/>
      <c r="C37" s="46"/>
      <c r="D37" s="46"/>
      <c r="E37" s="47"/>
    </row>
    <row r="38" ht="15.25" spans="1:5">
      <c r="A38" s="42"/>
      <c r="B38" s="48"/>
      <c r="C38" s="48"/>
      <c r="D38" s="48"/>
      <c r="E38" s="49"/>
    </row>
    <row r="39" ht="15.25" spans="1:5">
      <c r="A39" s="53" t="s">
        <v>305</v>
      </c>
      <c r="B39" s="54"/>
      <c r="C39" s="54">
        <f>SUMPRODUCT(C35:C38,B35:B38)</f>
        <v>56</v>
      </c>
      <c r="D39" s="54"/>
      <c r="E39" s="55">
        <f>SUMPRODUCT(E35:E38,B35:B38)</f>
        <v>560</v>
      </c>
    </row>
    <row r="43" ht="15.25" spans="1:7">
      <c r="A43" s="69" t="s">
        <v>316</v>
      </c>
      <c r="B43" s="57"/>
      <c r="C43" s="57"/>
      <c r="D43" s="57"/>
      <c r="E43" s="57"/>
      <c r="F43" s="57"/>
      <c r="G43" s="57"/>
    </row>
    <row r="44" spans="1:7">
      <c r="A44" s="60" t="s">
        <v>325</v>
      </c>
      <c r="B44" s="60" t="s">
        <v>326</v>
      </c>
      <c r="C44" s="60" t="s">
        <v>327</v>
      </c>
      <c r="D44" s="60"/>
      <c r="E44" s="60"/>
      <c r="F44" s="60"/>
      <c r="G44" s="60"/>
    </row>
    <row r="45" ht="15.25" spans="1:7">
      <c r="A45" s="70">
        <v>0</v>
      </c>
      <c r="B45" s="51"/>
      <c r="C45" s="51"/>
      <c r="D45" s="51"/>
      <c r="E45" s="51"/>
      <c r="F45" s="51"/>
      <c r="G45" s="51"/>
    </row>
    <row r="46" spans="1:7">
      <c r="A46" s="71">
        <f>A45/$C$39</f>
        <v>0</v>
      </c>
      <c r="B46" s="71">
        <f>B45/$C$39</f>
        <v>0</v>
      </c>
      <c r="C46" s="71">
        <f>C45/$C$39</f>
        <v>0</v>
      </c>
      <c r="D46" s="71">
        <f>D45/$C$39</f>
        <v>0</v>
      </c>
      <c r="E46" s="71">
        <f>E45/$C$39</f>
        <v>0</v>
      </c>
      <c r="F46" s="71">
        <f>F45/$C$39</f>
        <v>0</v>
      </c>
      <c r="G46" s="71">
        <f>G45/$C$39</f>
        <v>0</v>
      </c>
    </row>
    <row r="47" ht="15.25" spans="1:7">
      <c r="A47" s="72">
        <f>A45/$E$39</f>
        <v>0</v>
      </c>
      <c r="B47" s="72">
        <f>B45/$E$39</f>
        <v>0</v>
      </c>
      <c r="C47" s="72">
        <f>C45/$E$39</f>
        <v>0</v>
      </c>
      <c r="D47" s="72">
        <f>D45/$E$39</f>
        <v>0</v>
      </c>
      <c r="E47" s="72">
        <f>E45/$E$39</f>
        <v>0</v>
      </c>
      <c r="F47" s="72">
        <f>F45/$E$39</f>
        <v>0</v>
      </c>
      <c r="G47" s="72">
        <f>G45/$E$39</f>
        <v>0</v>
      </c>
    </row>
    <row r="48" ht="15.25"/>
    <row r="49" ht="15.25" spans="1:6">
      <c r="A49" s="34" t="s">
        <v>322</v>
      </c>
      <c r="B49" s="35"/>
      <c r="C49" s="35"/>
      <c r="D49" s="35"/>
      <c r="E49" s="36"/>
      <c r="F49" s="37"/>
    </row>
    <row r="50" ht="29.75" spans="1:6">
      <c r="A50" s="38" t="s">
        <v>258</v>
      </c>
      <c r="B50" s="39" t="s">
        <v>301</v>
      </c>
      <c r="C50" s="39" t="s">
        <v>17</v>
      </c>
      <c r="D50" s="39" t="s">
        <v>302</v>
      </c>
      <c r="E50" s="40" t="s">
        <v>303</v>
      </c>
      <c r="F50" s="41"/>
    </row>
    <row r="51" spans="1:5">
      <c r="A51" s="45" t="s">
        <v>328</v>
      </c>
      <c r="B51" s="66">
        <v>2</v>
      </c>
      <c r="C51" s="66">
        <v>14</v>
      </c>
      <c r="D51" s="66">
        <v>40</v>
      </c>
      <c r="E51" s="67">
        <v>280</v>
      </c>
    </row>
    <row r="52" spans="1:5">
      <c r="A52" s="45" t="s">
        <v>329</v>
      </c>
      <c r="B52" s="48">
        <v>2</v>
      </c>
      <c r="C52" s="48">
        <v>14</v>
      </c>
      <c r="D52" s="48">
        <v>8</v>
      </c>
      <c r="E52" s="49">
        <v>0</v>
      </c>
    </row>
    <row r="53" spans="1:5">
      <c r="A53" s="45"/>
      <c r="B53" s="46"/>
      <c r="C53" s="46"/>
      <c r="D53" s="46"/>
      <c r="E53" s="47"/>
    </row>
    <row r="54" ht="15.25" spans="1:5">
      <c r="A54" s="42"/>
      <c r="B54" s="48"/>
      <c r="C54" s="48"/>
      <c r="D54" s="48"/>
      <c r="E54" s="49"/>
    </row>
    <row r="55" ht="15.25" spans="1:5">
      <c r="A55" s="53" t="s">
        <v>305</v>
      </c>
      <c r="B55" s="54"/>
      <c r="C55" s="54">
        <f>SUMPRODUCT(C51:C54,B51:B54)</f>
        <v>56</v>
      </c>
      <c r="D55" s="54"/>
      <c r="E55" s="55">
        <f>SUMPRODUCT(E51:E54,B51:B54)</f>
        <v>560</v>
      </c>
    </row>
    <row r="59" ht="15.25" spans="1:7">
      <c r="A59" s="69" t="s">
        <v>316</v>
      </c>
      <c r="B59" s="57"/>
      <c r="C59" s="57"/>
      <c r="D59" s="57"/>
      <c r="E59" s="57"/>
      <c r="F59" s="57"/>
      <c r="G59" s="57"/>
    </row>
    <row r="60" spans="1:7">
      <c r="A60" s="60" t="s">
        <v>330</v>
      </c>
      <c r="B60" s="60" t="s">
        <v>331</v>
      </c>
      <c r="C60" s="60" t="s">
        <v>327</v>
      </c>
      <c r="D60" s="60"/>
      <c r="E60" s="60"/>
      <c r="F60" s="60"/>
      <c r="G60" s="60"/>
    </row>
    <row r="61" ht="15.25" spans="1:7">
      <c r="A61" s="70">
        <v>80000</v>
      </c>
      <c r="B61" s="70">
        <v>70000</v>
      </c>
      <c r="C61" s="51"/>
      <c r="D61" s="51"/>
      <c r="E61" s="51"/>
      <c r="F61" s="51"/>
      <c r="G61" s="51"/>
    </row>
    <row r="62" spans="1:7">
      <c r="A62" s="71">
        <f>A61/$C$55</f>
        <v>1428.57142857143</v>
      </c>
      <c r="B62" s="71">
        <f>B61/$C$55</f>
        <v>1250</v>
      </c>
      <c r="C62" s="71">
        <f>C61/$C$55</f>
        <v>0</v>
      </c>
      <c r="D62" s="71">
        <f>D61/$C$55</f>
        <v>0</v>
      </c>
      <c r="E62" s="71">
        <f>E61/$C$55</f>
        <v>0</v>
      </c>
      <c r="F62" s="71">
        <f>F61/$C$55</f>
        <v>0</v>
      </c>
      <c r="G62" s="71">
        <f>G61/$C$55</f>
        <v>0</v>
      </c>
    </row>
    <row r="63" ht="15.25" spans="1:7">
      <c r="A63" s="72">
        <f>A61/$E$55</f>
        <v>142.857142857143</v>
      </c>
      <c r="B63" s="72">
        <f>B61/$E$55</f>
        <v>125</v>
      </c>
      <c r="C63" s="72">
        <f>C61/$E$55</f>
        <v>0</v>
      </c>
      <c r="D63" s="72">
        <f>D61/$E$55</f>
        <v>0</v>
      </c>
      <c r="E63" s="72">
        <f>E61/$E$55</f>
        <v>0</v>
      </c>
      <c r="F63" s="72">
        <f>F61/$E$55</f>
        <v>0</v>
      </c>
      <c r="G63" s="72">
        <f>G61/$E$55</f>
        <v>0</v>
      </c>
    </row>
    <row r="68" s="32" customFormat="1" spans="1:7">
      <c r="A68" s="73"/>
      <c r="B68" s="74"/>
      <c r="C68" s="74"/>
      <c r="D68" s="74"/>
      <c r="E68" s="74"/>
      <c r="F68" s="74"/>
      <c r="G68" s="74"/>
    </row>
    <row r="69" ht="15.25"/>
    <row r="70" ht="15.25" spans="1:7">
      <c r="A70" s="34" t="s">
        <v>322</v>
      </c>
      <c r="B70" s="35"/>
      <c r="C70" s="35"/>
      <c r="D70" s="35"/>
      <c r="E70" s="36"/>
      <c r="F70" s="37"/>
      <c r="G70" s="75"/>
    </row>
    <row r="71" ht="29.75" spans="1:7">
      <c r="A71" s="76" t="s">
        <v>258</v>
      </c>
      <c r="B71" s="39" t="s">
        <v>301</v>
      </c>
      <c r="C71" s="39" t="s">
        <v>17</v>
      </c>
      <c r="D71" s="39" t="s">
        <v>302</v>
      </c>
      <c r="E71" s="40" t="s">
        <v>303</v>
      </c>
      <c r="F71" s="41"/>
      <c r="G71" s="75"/>
    </row>
    <row r="72" spans="1:7">
      <c r="A72" s="77" t="s">
        <v>332</v>
      </c>
      <c r="B72" s="78">
        <v>2</v>
      </c>
      <c r="C72" s="78">
        <v>8</v>
      </c>
      <c r="D72" s="78">
        <v>20</v>
      </c>
      <c r="E72" s="79">
        <v>270</v>
      </c>
      <c r="F72" s="75"/>
      <c r="G72" s="75"/>
    </row>
    <row r="73" ht="15.25" spans="1:7">
      <c r="A73" s="80" t="s">
        <v>275</v>
      </c>
      <c r="B73" s="43">
        <v>2</v>
      </c>
      <c r="C73" s="43">
        <v>8</v>
      </c>
      <c r="D73" s="43">
        <v>54</v>
      </c>
      <c r="E73" s="44">
        <v>0.004</v>
      </c>
      <c r="F73" s="75"/>
      <c r="G73" s="75"/>
    </row>
    <row r="74" ht="15.25" spans="1:7">
      <c r="A74" s="81" t="s">
        <v>305</v>
      </c>
      <c r="B74" s="82"/>
      <c r="C74" s="82">
        <f>SUMPRODUCT(C73,B73)</f>
        <v>16</v>
      </c>
      <c r="D74" s="82"/>
      <c r="E74" s="83">
        <f>SUMPRODUCT(E72:E73,B72:B73)</f>
        <v>540.008</v>
      </c>
      <c r="F74" s="75"/>
      <c r="G74" s="75"/>
    </row>
    <row r="75" spans="1:7">
      <c r="A75" s="84"/>
      <c r="B75" s="75"/>
      <c r="C75" s="75"/>
      <c r="D75" s="75"/>
      <c r="E75" s="75"/>
      <c r="F75" s="75"/>
      <c r="G75" s="75"/>
    </row>
    <row r="76" ht="15.25" spans="1:8">
      <c r="A76" s="69" t="s">
        <v>316</v>
      </c>
      <c r="B76" s="57"/>
      <c r="C76" s="57"/>
      <c r="D76" s="57"/>
      <c r="E76" s="57"/>
      <c r="F76" s="57"/>
      <c r="G76" s="57"/>
      <c r="H76" s="58"/>
    </row>
    <row r="77" spans="1:7">
      <c r="A77" s="85" t="s">
        <v>333</v>
      </c>
      <c r="B77" s="60"/>
      <c r="C77" s="60"/>
      <c r="D77" s="60"/>
      <c r="E77" s="60"/>
      <c r="F77" s="60"/>
      <c r="G77" s="60"/>
    </row>
    <row r="78" ht="15.25" spans="1:9">
      <c r="A78" s="98">
        <v>408000</v>
      </c>
      <c r="B78" s="87"/>
      <c r="C78" s="87"/>
      <c r="D78" s="87"/>
      <c r="E78" s="87"/>
      <c r="F78" s="87"/>
      <c r="G78" s="87"/>
      <c r="I78" s="33" t="s">
        <v>308</v>
      </c>
    </row>
    <row r="79" spans="1:9">
      <c r="A79" s="88">
        <f>A78/$C74</f>
        <v>25500</v>
      </c>
      <c r="B79" s="89">
        <f>B78/$C74</f>
        <v>0</v>
      </c>
      <c r="C79" s="89">
        <f>C78/$C74</f>
        <v>0</v>
      </c>
      <c r="D79" s="89">
        <f>D78/$C74</f>
        <v>0</v>
      </c>
      <c r="E79" s="89">
        <f>E78/$C74</f>
        <v>0</v>
      </c>
      <c r="F79" s="89">
        <f>F78/$C74</f>
        <v>0</v>
      </c>
      <c r="G79" s="89">
        <f>G78/$C74</f>
        <v>0</v>
      </c>
      <c r="I79" s="33" t="s">
        <v>309</v>
      </c>
    </row>
    <row r="80" ht="15.25" spans="1:9">
      <c r="A80" s="90">
        <f>A78/$E74</f>
        <v>755.544362305744</v>
      </c>
      <c r="B80" s="91">
        <f>B78/$E74</f>
        <v>0</v>
      </c>
      <c r="C80" s="91">
        <f>C78/$E74</f>
        <v>0</v>
      </c>
      <c r="D80" s="91">
        <f>D78/$E74</f>
        <v>0</v>
      </c>
      <c r="E80" s="91">
        <f>E78/$E74</f>
        <v>0</v>
      </c>
      <c r="F80" s="91">
        <f>F78/$E74</f>
        <v>0</v>
      </c>
      <c r="G80" s="91">
        <f>G78/$E74</f>
        <v>0</v>
      </c>
      <c r="I80" s="33" t="s">
        <v>310</v>
      </c>
    </row>
    <row r="81" spans="1:7">
      <c r="A81" s="84"/>
      <c r="B81" s="75"/>
      <c r="C81" s="75"/>
      <c r="D81" s="75"/>
      <c r="E81" s="75"/>
      <c r="F81" s="75"/>
      <c r="G81" s="75"/>
    </row>
    <row r="82" s="32" customFormat="1" spans="1:7">
      <c r="A82" s="73"/>
      <c r="B82" s="74"/>
      <c r="C82" s="74"/>
      <c r="D82" s="74"/>
      <c r="E82" s="74"/>
      <c r="F82" s="74"/>
      <c r="G82" s="74"/>
    </row>
    <row r="83" ht="15.25" spans="1:7">
      <c r="A83" s="84"/>
      <c r="B83" s="75"/>
      <c r="C83" s="75"/>
      <c r="D83" s="75"/>
      <c r="E83" s="75"/>
      <c r="F83" s="75"/>
      <c r="G83" s="75"/>
    </row>
    <row r="84" ht="15.25" spans="1:7">
      <c r="A84" s="34" t="s">
        <v>322</v>
      </c>
      <c r="B84" s="35"/>
      <c r="C84" s="35"/>
      <c r="D84" s="35"/>
      <c r="E84" s="36"/>
      <c r="F84" s="37"/>
      <c r="G84" s="75"/>
    </row>
    <row r="85" ht="29.75" spans="1:7">
      <c r="A85" s="76" t="s">
        <v>258</v>
      </c>
      <c r="B85" s="39" t="s">
        <v>301</v>
      </c>
      <c r="C85" s="39" t="s">
        <v>17</v>
      </c>
      <c r="D85" s="39" t="s">
        <v>302</v>
      </c>
      <c r="E85" s="40" t="s">
        <v>303</v>
      </c>
      <c r="F85" s="41"/>
      <c r="G85" s="75"/>
    </row>
    <row r="86" spans="1:7">
      <c r="A86" s="77" t="s">
        <v>334</v>
      </c>
      <c r="B86" s="78">
        <v>2</v>
      </c>
      <c r="C86" s="78">
        <v>8</v>
      </c>
      <c r="D86" s="78">
        <v>54</v>
      </c>
      <c r="E86" s="79">
        <v>820</v>
      </c>
      <c r="F86" s="75"/>
      <c r="G86" s="75"/>
    </row>
    <row r="87" ht="15.25" spans="1:7">
      <c r="A87" s="80" t="s">
        <v>276</v>
      </c>
      <c r="B87" s="43">
        <v>2</v>
      </c>
      <c r="C87" s="43">
        <v>8</v>
      </c>
      <c r="D87" s="43">
        <v>54</v>
      </c>
      <c r="E87" s="44">
        <v>0.004</v>
      </c>
      <c r="F87" s="75"/>
      <c r="G87" s="75"/>
    </row>
    <row r="88" ht="15.25" spans="1:7">
      <c r="A88" s="81" t="s">
        <v>305</v>
      </c>
      <c r="B88" s="82"/>
      <c r="C88" s="82">
        <f>SUMPRODUCT(C87,B87)</f>
        <v>16</v>
      </c>
      <c r="D88" s="82"/>
      <c r="E88" s="83">
        <f>SUMPRODUCT(E86:E87,B86:B87)</f>
        <v>1640.008</v>
      </c>
      <c r="F88" s="75"/>
      <c r="G88" s="75"/>
    </row>
    <row r="89" spans="1:7">
      <c r="A89" s="84"/>
      <c r="B89" s="75"/>
      <c r="C89" s="75"/>
      <c r="D89" s="75"/>
      <c r="E89" s="75"/>
      <c r="F89" s="75"/>
      <c r="G89" s="75"/>
    </row>
    <row r="90" ht="15.25" spans="1:7">
      <c r="A90" s="69" t="s">
        <v>316</v>
      </c>
      <c r="B90" s="57"/>
      <c r="C90" s="57"/>
      <c r="D90" s="57"/>
      <c r="E90" s="57"/>
      <c r="F90" s="57"/>
      <c r="G90" s="57"/>
    </row>
    <row r="91" spans="1:7">
      <c r="A91" s="85" t="s">
        <v>333</v>
      </c>
      <c r="B91" s="60"/>
      <c r="C91" s="60"/>
      <c r="D91" s="60"/>
      <c r="E91" s="60"/>
      <c r="F91" s="60"/>
      <c r="G91" s="60"/>
    </row>
    <row r="92" ht="15.25" spans="1:9">
      <c r="A92" s="98">
        <v>362000</v>
      </c>
      <c r="B92" s="87"/>
      <c r="C92" s="87"/>
      <c r="D92" s="87"/>
      <c r="E92" s="87"/>
      <c r="F92" s="87"/>
      <c r="G92" s="87"/>
      <c r="I92" s="33" t="s">
        <v>308</v>
      </c>
    </row>
    <row r="93" spans="1:9">
      <c r="A93" s="88">
        <f>A92/$C88</f>
        <v>22625</v>
      </c>
      <c r="B93" s="89">
        <f>B92/$C88</f>
        <v>0</v>
      </c>
      <c r="C93" s="89">
        <f>C92/$C88</f>
        <v>0</v>
      </c>
      <c r="D93" s="89">
        <f>D92/$C88</f>
        <v>0</v>
      </c>
      <c r="E93" s="89">
        <f>E92/$C88</f>
        <v>0</v>
      </c>
      <c r="F93" s="89">
        <f>F92/$C88</f>
        <v>0</v>
      </c>
      <c r="G93" s="89">
        <f>G92/$C88</f>
        <v>0</v>
      </c>
      <c r="I93" s="33" t="s">
        <v>309</v>
      </c>
    </row>
    <row r="94" ht="15.25" spans="1:9">
      <c r="A94" s="90">
        <f>A92/$E88</f>
        <v>220.73063058229</v>
      </c>
      <c r="B94" s="91">
        <f>B92/$E88</f>
        <v>0</v>
      </c>
      <c r="C94" s="91">
        <f>C92/$E88</f>
        <v>0</v>
      </c>
      <c r="D94" s="91">
        <f>D92/$E88</f>
        <v>0</v>
      </c>
      <c r="E94" s="91">
        <f>E92/$E88</f>
        <v>0</v>
      </c>
      <c r="F94" s="91">
        <f>F92/$E88</f>
        <v>0</v>
      </c>
      <c r="G94" s="91">
        <f>G92/$E88</f>
        <v>0</v>
      </c>
      <c r="I94" s="33" t="s">
        <v>310</v>
      </c>
    </row>
    <row r="95" spans="1:7">
      <c r="A95" s="84"/>
      <c r="B95" s="75"/>
      <c r="C95" s="75"/>
      <c r="D95" s="75"/>
      <c r="E95" s="75"/>
      <c r="F95" s="75"/>
      <c r="G95" s="75"/>
    </row>
    <row r="96" s="32" customFormat="1" spans="1:7">
      <c r="A96" s="73"/>
      <c r="B96" s="74"/>
      <c r="C96" s="74"/>
      <c r="D96" s="74"/>
      <c r="E96" s="74"/>
      <c r="F96" s="74"/>
      <c r="G96" s="74"/>
    </row>
    <row r="97" ht="15.25" spans="1:7">
      <c r="A97" s="84"/>
      <c r="B97" s="75"/>
      <c r="C97" s="75"/>
      <c r="D97" s="75"/>
      <c r="E97" s="75"/>
      <c r="F97" s="75"/>
      <c r="G97" s="75"/>
    </row>
    <row r="98" ht="15.25" spans="1:7">
      <c r="A98" s="34" t="s">
        <v>322</v>
      </c>
      <c r="B98" s="35"/>
      <c r="C98" s="35"/>
      <c r="D98" s="35"/>
      <c r="E98" s="36"/>
      <c r="F98" s="37"/>
      <c r="G98" s="75"/>
    </row>
    <row r="99" ht="29.75" spans="1:7">
      <c r="A99" s="76" t="s">
        <v>258</v>
      </c>
      <c r="B99" s="39" t="s">
        <v>301</v>
      </c>
      <c r="C99" s="39" t="s">
        <v>17</v>
      </c>
      <c r="D99" s="39" t="s">
        <v>302</v>
      </c>
      <c r="E99" s="40" t="s">
        <v>303</v>
      </c>
      <c r="F99" s="41"/>
      <c r="G99" s="75"/>
    </row>
    <row r="100" spans="1:7">
      <c r="A100" s="77" t="s">
        <v>335</v>
      </c>
      <c r="B100" s="78">
        <v>2</v>
      </c>
      <c r="C100" s="78">
        <v>8</v>
      </c>
      <c r="D100" s="78">
        <v>16</v>
      </c>
      <c r="E100" s="79">
        <v>150</v>
      </c>
      <c r="F100" s="75"/>
      <c r="G100" s="75"/>
    </row>
    <row r="101" ht="15.25" spans="1:7">
      <c r="A101" s="80" t="s">
        <v>277</v>
      </c>
      <c r="B101" s="43">
        <v>2</v>
      </c>
      <c r="C101" s="43">
        <v>8</v>
      </c>
      <c r="D101" s="43">
        <v>48</v>
      </c>
      <c r="E101" s="44">
        <v>4</v>
      </c>
      <c r="F101" s="75"/>
      <c r="G101" s="75"/>
    </row>
    <row r="102" ht="15.25" spans="1:7">
      <c r="A102" s="81" t="s">
        <v>305</v>
      </c>
      <c r="B102" s="82"/>
      <c r="C102" s="82">
        <f>SUMPRODUCT(C101,B101)</f>
        <v>16</v>
      </c>
      <c r="D102" s="82"/>
      <c r="E102" s="83">
        <f>SUMPRODUCT(E100:E101,B100:B101)</f>
        <v>308</v>
      </c>
      <c r="F102" s="75"/>
      <c r="G102" s="75"/>
    </row>
    <row r="103" spans="1:7">
      <c r="A103" s="84"/>
      <c r="B103" s="75"/>
      <c r="C103" s="75"/>
      <c r="D103" s="75"/>
      <c r="E103" s="75"/>
      <c r="F103" s="75"/>
      <c r="G103" s="75"/>
    </row>
    <row r="104" ht="15.25" spans="1:7">
      <c r="A104" s="69" t="s">
        <v>316</v>
      </c>
      <c r="B104" s="57"/>
      <c r="C104" s="57"/>
      <c r="D104" s="57"/>
      <c r="E104" s="57"/>
      <c r="F104" s="57"/>
      <c r="G104" s="57"/>
    </row>
    <row r="105" spans="1:7">
      <c r="A105" s="85" t="s">
        <v>333</v>
      </c>
      <c r="B105" s="60" t="s">
        <v>336</v>
      </c>
      <c r="C105" s="60"/>
      <c r="D105" s="60"/>
      <c r="E105" s="60"/>
      <c r="F105" s="60"/>
      <c r="G105" s="60"/>
    </row>
    <row r="106" ht="15.25" spans="1:9">
      <c r="A106" s="98">
        <v>389000</v>
      </c>
      <c r="B106" s="87">
        <v>0</v>
      </c>
      <c r="C106" s="87"/>
      <c r="D106" s="87"/>
      <c r="E106" s="87"/>
      <c r="F106" s="87"/>
      <c r="G106" s="87"/>
      <c r="I106" s="33" t="s">
        <v>308</v>
      </c>
    </row>
    <row r="107" spans="1:9">
      <c r="A107" s="88">
        <f>A106/$C102</f>
        <v>24312.5</v>
      </c>
      <c r="B107" s="89">
        <f>B106/$C102</f>
        <v>0</v>
      </c>
      <c r="C107" s="89">
        <f>C106/$C102</f>
        <v>0</v>
      </c>
      <c r="D107" s="89">
        <f>D106/$C102</f>
        <v>0</v>
      </c>
      <c r="E107" s="89">
        <f>E106/$C102</f>
        <v>0</v>
      </c>
      <c r="F107" s="89">
        <f>F106/$C102</f>
        <v>0</v>
      </c>
      <c r="G107" s="89">
        <f>G106/$C102</f>
        <v>0</v>
      </c>
      <c r="I107" s="33" t="s">
        <v>309</v>
      </c>
    </row>
    <row r="108" ht="15.25" spans="1:9">
      <c r="A108" s="90">
        <f>A106/$E102</f>
        <v>1262.98701298701</v>
      </c>
      <c r="B108" s="91">
        <f>B106/$E102</f>
        <v>0</v>
      </c>
      <c r="C108" s="91">
        <f>C106/$E102</f>
        <v>0</v>
      </c>
      <c r="D108" s="91">
        <f>D106/$E102</f>
        <v>0</v>
      </c>
      <c r="E108" s="91">
        <f>E106/$E102</f>
        <v>0</v>
      </c>
      <c r="F108" s="91">
        <f>F106/$E102</f>
        <v>0</v>
      </c>
      <c r="G108" s="91">
        <f>G106/$E102</f>
        <v>0</v>
      </c>
      <c r="I108" s="33" t="s">
        <v>310</v>
      </c>
    </row>
    <row r="109" spans="1:7">
      <c r="A109" s="84"/>
      <c r="B109" s="75"/>
      <c r="C109" s="75"/>
      <c r="D109" s="75"/>
      <c r="E109" s="75"/>
      <c r="F109" s="75"/>
      <c r="G109" s="75"/>
    </row>
    <row r="110" s="32" customFormat="1" spans="1:7">
      <c r="A110" s="73"/>
      <c r="B110" s="74"/>
      <c r="C110" s="74"/>
      <c r="D110" s="74"/>
      <c r="E110" s="74"/>
      <c r="F110" s="74"/>
      <c r="G110" s="74"/>
    </row>
    <row r="111" ht="15.25" spans="1:7">
      <c r="A111" s="84"/>
      <c r="B111" s="75"/>
      <c r="C111" s="75"/>
      <c r="D111" s="75"/>
      <c r="E111" s="75"/>
      <c r="F111" s="75"/>
      <c r="G111" s="75"/>
    </row>
    <row r="112" ht="15.25" spans="1:7">
      <c r="A112" s="34" t="s">
        <v>322</v>
      </c>
      <c r="B112" s="35"/>
      <c r="C112" s="35"/>
      <c r="D112" s="35"/>
      <c r="E112" s="36"/>
      <c r="F112" s="37"/>
      <c r="G112" s="75"/>
    </row>
    <row r="113" ht="29.75" spans="1:7">
      <c r="A113" s="76" t="s">
        <v>258</v>
      </c>
      <c r="B113" s="39" t="s">
        <v>301</v>
      </c>
      <c r="C113" s="39" t="s">
        <v>17</v>
      </c>
      <c r="D113" s="39" t="s">
        <v>302</v>
      </c>
      <c r="E113" s="40" t="s">
        <v>303</v>
      </c>
      <c r="F113" s="41"/>
      <c r="G113" s="75"/>
    </row>
    <row r="114" ht="15.25" spans="1:7">
      <c r="A114" s="80" t="s">
        <v>278</v>
      </c>
      <c r="B114" s="43">
        <v>3</v>
      </c>
      <c r="C114" s="43">
        <v>13</v>
      </c>
      <c r="D114" s="43">
        <v>8</v>
      </c>
      <c r="E114" s="44">
        <v>6</v>
      </c>
      <c r="F114" s="75"/>
      <c r="G114" s="75"/>
    </row>
    <row r="115" ht="15.25" spans="1:7">
      <c r="A115" s="81" t="s">
        <v>305</v>
      </c>
      <c r="B115" s="82"/>
      <c r="C115" s="82">
        <f>SUMPRODUCT(C114:C114,B114:B114)</f>
        <v>39</v>
      </c>
      <c r="D115" s="82"/>
      <c r="E115" s="83">
        <f>SUMPRODUCT(E114:E114,B114:B114)</f>
        <v>18</v>
      </c>
      <c r="F115" s="75"/>
      <c r="G115" s="75"/>
    </row>
    <row r="116" spans="1:7">
      <c r="A116" s="84"/>
      <c r="B116" s="75"/>
      <c r="C116" s="75"/>
      <c r="D116" s="75"/>
      <c r="E116" s="75"/>
      <c r="F116" s="75"/>
      <c r="G116" s="75"/>
    </row>
    <row r="117" ht="15.25" spans="1:7">
      <c r="A117" s="69" t="s">
        <v>316</v>
      </c>
      <c r="B117" s="57"/>
      <c r="C117" s="57"/>
      <c r="D117" s="57"/>
      <c r="E117" s="57"/>
      <c r="F117" s="57"/>
      <c r="G117" s="57"/>
    </row>
    <row r="118" spans="1:7">
      <c r="A118" s="85" t="s">
        <v>333</v>
      </c>
      <c r="B118" s="60" t="s">
        <v>336</v>
      </c>
      <c r="C118" s="60"/>
      <c r="D118" s="60"/>
      <c r="E118" s="60"/>
      <c r="F118" s="60"/>
      <c r="G118" s="60"/>
    </row>
    <row r="119" ht="15.25" spans="1:9">
      <c r="A119" s="98">
        <v>0</v>
      </c>
      <c r="B119" s="87">
        <v>11467</v>
      </c>
      <c r="C119" s="87"/>
      <c r="D119" s="87"/>
      <c r="E119" s="87"/>
      <c r="F119" s="87"/>
      <c r="G119" s="87"/>
      <c r="I119" s="33" t="s">
        <v>308</v>
      </c>
    </row>
    <row r="120" spans="1:9">
      <c r="A120" s="88">
        <f>A119/$C115</f>
        <v>0</v>
      </c>
      <c r="B120" s="89">
        <f>B119/$C115</f>
        <v>294.025641025641</v>
      </c>
      <c r="C120" s="89">
        <f>C119/$C115</f>
        <v>0</v>
      </c>
      <c r="D120" s="89">
        <f>D119/$C115</f>
        <v>0</v>
      </c>
      <c r="E120" s="89">
        <f>E119/$C115</f>
        <v>0</v>
      </c>
      <c r="F120" s="89">
        <f>F119/$C115</f>
        <v>0</v>
      </c>
      <c r="G120" s="89">
        <f>G119/$C115</f>
        <v>0</v>
      </c>
      <c r="I120" s="33" t="s">
        <v>309</v>
      </c>
    </row>
    <row r="121" ht="15.25" spans="1:9">
      <c r="A121" s="90">
        <f>A119/$E115</f>
        <v>0</v>
      </c>
      <c r="B121" s="91">
        <f>B119/$E115</f>
        <v>637.055555555556</v>
      </c>
      <c r="C121" s="91">
        <f>C119/$E115</f>
        <v>0</v>
      </c>
      <c r="D121" s="91">
        <f>D119/$E115</f>
        <v>0</v>
      </c>
      <c r="E121" s="91">
        <f>E119/$E115</f>
        <v>0</v>
      </c>
      <c r="F121" s="91">
        <f>F119/$E115</f>
        <v>0</v>
      </c>
      <c r="G121" s="91">
        <f>G119/$E115</f>
        <v>0</v>
      </c>
      <c r="I121" s="33" t="s">
        <v>310</v>
      </c>
    </row>
    <row r="122" spans="1:7">
      <c r="A122" s="84"/>
      <c r="B122" s="75"/>
      <c r="C122" s="75"/>
      <c r="D122" s="75"/>
      <c r="E122" s="75"/>
      <c r="F122" s="75"/>
      <c r="G122" s="75"/>
    </row>
    <row r="123" s="32" customFormat="1" spans="1:7">
      <c r="A123" s="73"/>
      <c r="B123" s="74"/>
      <c r="C123" s="74"/>
      <c r="D123" s="74"/>
      <c r="E123" s="74"/>
      <c r="F123" s="74"/>
      <c r="G123" s="74"/>
    </row>
    <row r="124" ht="15.25" spans="1:7">
      <c r="A124" s="84"/>
      <c r="B124" s="75"/>
      <c r="C124" s="75"/>
      <c r="D124" s="75"/>
      <c r="E124" s="75"/>
      <c r="F124" s="75"/>
      <c r="G124" s="75"/>
    </row>
    <row r="125" ht="15.25" spans="1:7">
      <c r="A125" s="34" t="s">
        <v>322</v>
      </c>
      <c r="B125" s="35"/>
      <c r="C125" s="35"/>
      <c r="D125" s="35"/>
      <c r="E125" s="36"/>
      <c r="F125" s="37"/>
      <c r="G125" s="75"/>
    </row>
    <row r="126" ht="29.75" spans="1:7">
      <c r="A126" s="76" t="s">
        <v>258</v>
      </c>
      <c r="B126" s="39" t="s">
        <v>301</v>
      </c>
      <c r="C126" s="39" t="s">
        <v>17</v>
      </c>
      <c r="D126" s="39" t="s">
        <v>302</v>
      </c>
      <c r="E126" s="40" t="s">
        <v>303</v>
      </c>
      <c r="F126" s="41"/>
      <c r="G126" s="75"/>
    </row>
    <row r="127" spans="1:7">
      <c r="A127" s="77" t="s">
        <v>337</v>
      </c>
      <c r="B127" s="78">
        <v>2</v>
      </c>
      <c r="C127" s="78">
        <v>8</v>
      </c>
      <c r="D127" s="78">
        <v>16</v>
      </c>
      <c r="E127" s="79">
        <v>150</v>
      </c>
      <c r="F127" s="75"/>
      <c r="G127" s="75"/>
    </row>
    <row r="128" ht="15.25" spans="1:7">
      <c r="A128" s="80" t="s">
        <v>338</v>
      </c>
      <c r="B128" s="43">
        <v>3</v>
      </c>
      <c r="C128" s="43">
        <v>8</v>
      </c>
      <c r="D128" s="43">
        <v>16</v>
      </c>
      <c r="E128" s="44">
        <v>4</v>
      </c>
      <c r="F128" s="75"/>
      <c r="G128" s="75"/>
    </row>
    <row r="129" ht="15.25" spans="1:7">
      <c r="A129" s="77" t="s">
        <v>339</v>
      </c>
      <c r="B129" s="78">
        <v>2</v>
      </c>
      <c r="C129" s="78">
        <v>8</v>
      </c>
      <c r="D129" s="78">
        <v>42</v>
      </c>
      <c r="E129" s="79">
        <v>4</v>
      </c>
      <c r="F129" s="75"/>
      <c r="G129" s="75"/>
    </row>
    <row r="130" ht="15.25" spans="1:7">
      <c r="A130" s="81" t="s">
        <v>305</v>
      </c>
      <c r="B130" s="82"/>
      <c r="C130" s="82">
        <f>SUMPRODUCT(C128:C129,B128:B129)</f>
        <v>40</v>
      </c>
      <c r="D130" s="82"/>
      <c r="E130" s="83">
        <f>SUMPRODUCT(E127:E129,B127:B129)</f>
        <v>320</v>
      </c>
      <c r="F130" s="75"/>
      <c r="G130" s="75"/>
    </row>
    <row r="131" spans="1:7">
      <c r="A131" s="84"/>
      <c r="B131" s="75"/>
      <c r="C131" s="75"/>
      <c r="D131" s="75"/>
      <c r="E131" s="75"/>
      <c r="F131" s="75"/>
      <c r="G131" s="75"/>
    </row>
    <row r="132" ht="15.25" spans="1:7">
      <c r="A132" s="69" t="s">
        <v>316</v>
      </c>
      <c r="B132" s="57"/>
      <c r="C132" s="57"/>
      <c r="D132" s="57"/>
      <c r="E132" s="57"/>
      <c r="F132" s="57"/>
      <c r="G132" s="57"/>
    </row>
    <row r="133" spans="1:7">
      <c r="A133" s="85" t="s">
        <v>319</v>
      </c>
      <c r="B133" s="60"/>
      <c r="C133" s="60"/>
      <c r="D133" s="60"/>
      <c r="E133" s="60"/>
      <c r="F133" s="60"/>
      <c r="G133" s="60"/>
    </row>
    <row r="134" ht="15.25" spans="1:9">
      <c r="A134" s="86" t="s">
        <v>284</v>
      </c>
      <c r="B134" s="87"/>
      <c r="C134" s="87"/>
      <c r="D134" s="87"/>
      <c r="E134" s="87"/>
      <c r="F134" s="87"/>
      <c r="G134" s="87"/>
      <c r="I134" s="33" t="s">
        <v>308</v>
      </c>
    </row>
    <row r="135" spans="1:9">
      <c r="A135" s="88" t="e">
        <f>A134/$C130</f>
        <v>#VALUE!</v>
      </c>
      <c r="B135" s="89">
        <f>B134/$C130</f>
        <v>0</v>
      </c>
      <c r="C135" s="89">
        <f>C134/$C130</f>
        <v>0</v>
      </c>
      <c r="D135" s="89">
        <f>D134/$C130</f>
        <v>0</v>
      </c>
      <c r="E135" s="89">
        <f>E134/$C130</f>
        <v>0</v>
      </c>
      <c r="F135" s="89">
        <f>F134/$C130</f>
        <v>0</v>
      </c>
      <c r="G135" s="89">
        <f>G134/$C130</f>
        <v>0</v>
      </c>
      <c r="I135" s="33" t="s">
        <v>309</v>
      </c>
    </row>
    <row r="136" ht="15.25" spans="1:9">
      <c r="A136" s="90" t="e">
        <f>A134/$E130</f>
        <v>#VALUE!</v>
      </c>
      <c r="B136" s="91">
        <f>B134/$E130</f>
        <v>0</v>
      </c>
      <c r="C136" s="91">
        <f>C134/$E130</f>
        <v>0</v>
      </c>
      <c r="D136" s="91">
        <f>D134/$E130</f>
        <v>0</v>
      </c>
      <c r="E136" s="91">
        <f>E134/$E130</f>
        <v>0</v>
      </c>
      <c r="F136" s="91">
        <f>F134/$E130</f>
        <v>0</v>
      </c>
      <c r="G136" s="91">
        <f>G134/$E130</f>
        <v>0</v>
      </c>
      <c r="I136" s="33" t="s">
        <v>310</v>
      </c>
    </row>
    <row r="137" spans="1:7">
      <c r="A137" s="84"/>
      <c r="B137" s="75"/>
      <c r="C137" s="75"/>
      <c r="D137" s="75"/>
      <c r="E137" s="75"/>
      <c r="F137" s="75"/>
      <c r="G137" s="75"/>
    </row>
    <row r="138" s="32" customFormat="1" spans="1:7">
      <c r="A138" s="73"/>
      <c r="B138" s="74"/>
      <c r="C138" s="74"/>
      <c r="D138" s="74"/>
      <c r="E138" s="74"/>
      <c r="F138" s="74"/>
      <c r="G138" s="74"/>
    </row>
    <row r="139" ht="15.25" spans="1:7">
      <c r="A139" s="84"/>
      <c r="B139" s="75"/>
      <c r="C139" s="75"/>
      <c r="D139" s="75"/>
      <c r="E139" s="75"/>
      <c r="F139" s="75"/>
      <c r="G139" s="75"/>
    </row>
    <row r="140" ht="15.25" spans="1:7">
      <c r="A140" s="34" t="s">
        <v>322</v>
      </c>
      <c r="B140" s="35"/>
      <c r="C140" s="35"/>
      <c r="D140" s="35"/>
      <c r="E140" s="36"/>
      <c r="F140" s="37"/>
      <c r="G140" s="75"/>
    </row>
    <row r="141" ht="29.75" spans="1:7">
      <c r="A141" s="76" t="s">
        <v>258</v>
      </c>
      <c r="B141" s="39" t="s">
        <v>301</v>
      </c>
      <c r="C141" s="39" t="s">
        <v>17</v>
      </c>
      <c r="D141" s="39" t="s">
        <v>302</v>
      </c>
      <c r="E141" s="40" t="s">
        <v>303</v>
      </c>
      <c r="F141" s="41"/>
      <c r="G141" s="75"/>
    </row>
    <row r="142" ht="15.25" spans="1:7">
      <c r="A142" s="80" t="s">
        <v>340</v>
      </c>
      <c r="B142" s="43">
        <v>3</v>
      </c>
      <c r="C142" s="43">
        <v>13</v>
      </c>
      <c r="D142" s="43">
        <v>8</v>
      </c>
      <c r="E142" s="44">
        <v>6</v>
      </c>
      <c r="F142" s="75"/>
      <c r="G142" s="75"/>
    </row>
    <row r="143" ht="15.25" spans="1:7">
      <c r="A143" s="81" t="s">
        <v>305</v>
      </c>
      <c r="B143" s="82"/>
      <c r="C143" s="82">
        <f>SUMPRODUCT(C142:C142,B142:B142)</f>
        <v>39</v>
      </c>
      <c r="D143" s="82"/>
      <c r="E143" s="83">
        <f>SUMPRODUCT(E142:E142,B142:B142)</f>
        <v>18</v>
      </c>
      <c r="F143" s="75"/>
      <c r="G143" s="75"/>
    </row>
    <row r="144" spans="1:7">
      <c r="A144" s="84"/>
      <c r="B144" s="75"/>
      <c r="C144" s="75"/>
      <c r="D144" s="75"/>
      <c r="E144" s="75"/>
      <c r="F144" s="75"/>
      <c r="G144" s="75"/>
    </row>
    <row r="145" ht="15.25" spans="1:7">
      <c r="A145" s="69" t="s">
        <v>316</v>
      </c>
      <c r="B145" s="57"/>
      <c r="C145" s="57"/>
      <c r="D145" s="57"/>
      <c r="E145" s="57"/>
      <c r="F145" s="57"/>
      <c r="G145" s="57"/>
    </row>
    <row r="146" spans="1:7">
      <c r="A146" s="85" t="s">
        <v>319</v>
      </c>
      <c r="B146" s="60"/>
      <c r="C146" s="60"/>
      <c r="D146" s="60"/>
      <c r="E146" s="60"/>
      <c r="F146" s="60"/>
      <c r="G146" s="60"/>
    </row>
    <row r="147" ht="15.25" spans="1:9">
      <c r="A147" s="86">
        <v>11400</v>
      </c>
      <c r="B147" s="87"/>
      <c r="C147" s="87"/>
      <c r="D147" s="87"/>
      <c r="E147" s="87"/>
      <c r="F147" s="87"/>
      <c r="G147" s="87"/>
      <c r="I147" s="33" t="s">
        <v>308</v>
      </c>
    </row>
    <row r="148" spans="1:9">
      <c r="A148" s="88">
        <f>A147/$C143</f>
        <v>292.307692307692</v>
      </c>
      <c r="B148" s="89">
        <f>B147/$C143</f>
        <v>0</v>
      </c>
      <c r="C148" s="89">
        <f>C147/$C143</f>
        <v>0</v>
      </c>
      <c r="D148" s="89">
        <f>D147/$C143</f>
        <v>0</v>
      </c>
      <c r="E148" s="89">
        <f>E147/$C143</f>
        <v>0</v>
      </c>
      <c r="F148" s="89">
        <f>F147/$C143</f>
        <v>0</v>
      </c>
      <c r="G148" s="89">
        <f>G147/$C143</f>
        <v>0</v>
      </c>
      <c r="I148" s="33" t="s">
        <v>309</v>
      </c>
    </row>
    <row r="149" ht="15.25" spans="1:9">
      <c r="A149" s="90">
        <f>A147/$E143</f>
        <v>633.333333333333</v>
      </c>
      <c r="B149" s="91">
        <f>B147/$E143</f>
        <v>0</v>
      </c>
      <c r="C149" s="91">
        <f>C147/$E143</f>
        <v>0</v>
      </c>
      <c r="D149" s="91">
        <f>D147/$E143</f>
        <v>0</v>
      </c>
      <c r="E149" s="91">
        <f>E147/$E143</f>
        <v>0</v>
      </c>
      <c r="F149" s="91">
        <f>F147/$E143</f>
        <v>0</v>
      </c>
      <c r="G149" s="91">
        <f>G147/$E143</f>
        <v>0</v>
      </c>
      <c r="I149" s="33" t="s">
        <v>310</v>
      </c>
    </row>
    <row r="150" spans="1:7">
      <c r="A150" s="84"/>
      <c r="B150" s="75"/>
      <c r="C150" s="75"/>
      <c r="D150" s="75"/>
      <c r="E150" s="75"/>
      <c r="F150" s="75"/>
      <c r="G150" s="75"/>
    </row>
    <row r="151" s="32" customFormat="1" spans="1:7">
      <c r="A151" s="73"/>
      <c r="B151" s="74"/>
      <c r="C151" s="74"/>
      <c r="D151" s="74"/>
      <c r="E151" s="74"/>
      <c r="F151" s="74"/>
      <c r="G151" s="74"/>
    </row>
    <row r="152" ht="15.25" spans="1:7">
      <c r="A152" s="84"/>
      <c r="B152" s="75"/>
      <c r="C152" s="75"/>
      <c r="D152" s="75"/>
      <c r="E152" s="75"/>
      <c r="F152" s="75"/>
      <c r="G152" s="75"/>
    </row>
    <row r="153" ht="15.25" spans="1:7">
      <c r="A153" s="34" t="s">
        <v>322</v>
      </c>
      <c r="B153" s="35"/>
      <c r="C153" s="35"/>
      <c r="D153" s="35"/>
      <c r="E153" s="36"/>
      <c r="F153" s="37"/>
      <c r="G153" s="75"/>
    </row>
    <row r="154" ht="29.75" spans="1:7">
      <c r="A154" s="76" t="s">
        <v>258</v>
      </c>
      <c r="B154" s="39" t="s">
        <v>301</v>
      </c>
      <c r="C154" s="39" t="s">
        <v>17</v>
      </c>
      <c r="D154" s="39" t="s">
        <v>302</v>
      </c>
      <c r="E154" s="40" t="s">
        <v>303</v>
      </c>
      <c r="F154" s="41"/>
      <c r="G154" s="75"/>
    </row>
    <row r="155" ht="15.25" spans="1:7">
      <c r="A155" s="80" t="s">
        <v>279</v>
      </c>
      <c r="B155" s="43">
        <v>2</v>
      </c>
      <c r="C155" s="43">
        <v>8</v>
      </c>
      <c r="D155" s="43">
        <v>6</v>
      </c>
      <c r="E155" s="44">
        <v>8</v>
      </c>
      <c r="F155" s="75"/>
      <c r="G155" s="75"/>
    </row>
    <row r="156" ht="15.25" spans="1:7">
      <c r="A156" s="81" t="s">
        <v>305</v>
      </c>
      <c r="B156" s="82"/>
      <c r="C156" s="82">
        <f>SUMPRODUCT(C155:C155,B155:B155)</f>
        <v>16</v>
      </c>
      <c r="D156" s="82"/>
      <c r="E156" s="83">
        <f>SUMPRODUCT(E155:E155,B155:B155)</f>
        <v>16</v>
      </c>
      <c r="F156" s="75"/>
      <c r="G156" s="75"/>
    </row>
    <row r="157" spans="1:7">
      <c r="A157" s="84"/>
      <c r="B157" s="75"/>
      <c r="C157" s="75"/>
      <c r="D157" s="75"/>
      <c r="E157" s="75"/>
      <c r="F157" s="75"/>
      <c r="G157" s="75"/>
    </row>
    <row r="158" ht="15.25" spans="1:7">
      <c r="A158" s="69" t="s">
        <v>316</v>
      </c>
      <c r="B158" s="57"/>
      <c r="C158" s="57"/>
      <c r="D158" s="57"/>
      <c r="E158" s="57"/>
      <c r="F158" s="57"/>
      <c r="G158" s="57"/>
    </row>
    <row r="159" spans="1:7">
      <c r="A159" s="85" t="s">
        <v>341</v>
      </c>
      <c r="B159" s="60" t="s">
        <v>336</v>
      </c>
      <c r="C159" s="60"/>
      <c r="D159" s="60"/>
      <c r="E159" s="60"/>
      <c r="F159" s="60"/>
      <c r="G159" s="60"/>
    </row>
    <row r="160" ht="15.25" spans="1:9">
      <c r="A160" s="98">
        <v>880000</v>
      </c>
      <c r="B160" s="87">
        <v>220</v>
      </c>
      <c r="C160" s="87"/>
      <c r="D160" s="87"/>
      <c r="E160" s="87"/>
      <c r="F160" s="87"/>
      <c r="G160" s="87"/>
      <c r="I160" s="33" t="s">
        <v>308</v>
      </c>
    </row>
    <row r="161" spans="1:9">
      <c r="A161" s="88">
        <f>A160/$C156</f>
        <v>55000</v>
      </c>
      <c r="B161" s="89">
        <f>B160/$C156</f>
        <v>13.75</v>
      </c>
      <c r="C161" s="89">
        <f>C160/$C156</f>
        <v>0</v>
      </c>
      <c r="D161" s="89">
        <f>D160/$C156</f>
        <v>0</v>
      </c>
      <c r="E161" s="89">
        <f>E160/$C156</f>
        <v>0</v>
      </c>
      <c r="F161" s="89">
        <f>F160/$C156</f>
        <v>0</v>
      </c>
      <c r="G161" s="89">
        <f>G160/$C156</f>
        <v>0</v>
      </c>
      <c r="I161" s="33" t="s">
        <v>309</v>
      </c>
    </row>
    <row r="162" ht="15.25" spans="1:9">
      <c r="A162" s="90">
        <f>A160/$E156</f>
        <v>55000</v>
      </c>
      <c r="B162" s="91">
        <f>B160/$E156</f>
        <v>13.75</v>
      </c>
      <c r="C162" s="91">
        <f>C160/$E156</f>
        <v>0</v>
      </c>
      <c r="D162" s="91">
        <f>D160/$E156</f>
        <v>0</v>
      </c>
      <c r="E162" s="91">
        <f>E160/$E156</f>
        <v>0</v>
      </c>
      <c r="F162" s="91">
        <f>F160/$E156</f>
        <v>0</v>
      </c>
      <c r="G162" s="91">
        <f>G160/$E156</f>
        <v>0</v>
      </c>
      <c r="I162" s="33" t="s">
        <v>310</v>
      </c>
    </row>
    <row r="163" spans="1:7">
      <c r="A163" s="84"/>
      <c r="B163" s="75"/>
      <c r="C163" s="75"/>
      <c r="D163" s="75"/>
      <c r="E163" s="75"/>
      <c r="F163" s="75"/>
      <c r="G163" s="75"/>
    </row>
    <row r="164" s="32" customFormat="1" spans="1:7">
      <c r="A164" s="73"/>
      <c r="B164" s="74"/>
      <c r="C164" s="74"/>
      <c r="D164" s="74"/>
      <c r="E164" s="74"/>
      <c r="F164" s="74"/>
      <c r="G164" s="74"/>
    </row>
    <row r="165" ht="15.25" spans="1:7">
      <c r="A165" s="84"/>
      <c r="B165" s="75"/>
      <c r="C165" s="75"/>
      <c r="D165" s="75"/>
      <c r="E165" s="75"/>
      <c r="F165" s="75"/>
      <c r="G165" s="75"/>
    </row>
    <row r="166" ht="15.25" spans="1:7">
      <c r="A166" s="34" t="s">
        <v>322</v>
      </c>
      <c r="B166" s="35"/>
      <c r="C166" s="35"/>
      <c r="D166" s="35"/>
      <c r="E166" s="36"/>
      <c r="F166" s="37"/>
      <c r="G166" s="75"/>
    </row>
    <row r="167" ht="29.75" spans="1:7">
      <c r="A167" s="76" t="s">
        <v>258</v>
      </c>
      <c r="B167" s="39" t="s">
        <v>301</v>
      </c>
      <c r="C167" s="39" t="s">
        <v>17</v>
      </c>
      <c r="D167" s="39" t="s">
        <v>302</v>
      </c>
      <c r="E167" s="40" t="s">
        <v>303</v>
      </c>
      <c r="F167" s="41"/>
      <c r="G167" s="75"/>
    </row>
    <row r="168" spans="1:7">
      <c r="A168" s="77" t="s">
        <v>342</v>
      </c>
      <c r="B168" s="78">
        <v>1</v>
      </c>
      <c r="C168" s="78">
        <v>2</v>
      </c>
      <c r="D168" s="78">
        <v>8</v>
      </c>
      <c r="E168" s="79">
        <v>110</v>
      </c>
      <c r="F168" s="75"/>
      <c r="G168" s="75"/>
    </row>
    <row r="169" spans="1:7">
      <c r="A169" s="80" t="s">
        <v>343</v>
      </c>
      <c r="B169" s="43">
        <v>1</v>
      </c>
      <c r="C169" s="43">
        <v>2</v>
      </c>
      <c r="D169" s="43">
        <v>8</v>
      </c>
      <c r="E169" s="44">
        <v>30</v>
      </c>
      <c r="F169" s="75"/>
      <c r="G169" s="75"/>
    </row>
    <row r="170" spans="1:7">
      <c r="A170" s="92" t="s">
        <v>344</v>
      </c>
      <c r="B170" s="93">
        <v>2</v>
      </c>
      <c r="C170" s="93">
        <v>2</v>
      </c>
      <c r="D170" s="93">
        <v>12</v>
      </c>
      <c r="E170" s="94">
        <v>30</v>
      </c>
      <c r="F170" s="75"/>
      <c r="G170" s="75"/>
    </row>
    <row r="171" spans="1:7">
      <c r="A171" s="80" t="s">
        <v>345</v>
      </c>
      <c r="B171" s="43">
        <v>2</v>
      </c>
      <c r="C171" s="43">
        <v>2</v>
      </c>
      <c r="D171" s="43">
        <v>16</v>
      </c>
      <c r="E171" s="44">
        <v>30</v>
      </c>
      <c r="F171" s="75"/>
      <c r="G171" s="75"/>
    </row>
    <row r="172" ht="15.25" spans="1:7">
      <c r="A172" s="92" t="s">
        <v>346</v>
      </c>
      <c r="B172" s="93">
        <v>2</v>
      </c>
      <c r="C172" s="93">
        <v>2</v>
      </c>
      <c r="D172" s="93">
        <v>8</v>
      </c>
      <c r="E172" s="94">
        <v>30</v>
      </c>
      <c r="F172" s="75"/>
      <c r="G172" s="75"/>
    </row>
    <row r="173" ht="15.25" spans="1:7">
      <c r="A173" s="81" t="s">
        <v>305</v>
      </c>
      <c r="B173" s="82"/>
      <c r="C173" s="82">
        <f>SUMPRODUCT(C168:C172,B168:B172)</f>
        <v>16</v>
      </c>
      <c r="D173" s="82"/>
      <c r="E173" s="83">
        <f>SUMPRODUCT(E168:E172,B168:B172)</f>
        <v>320</v>
      </c>
      <c r="F173" s="75"/>
      <c r="G173" s="75"/>
    </row>
    <row r="174" spans="1:7">
      <c r="A174" s="84"/>
      <c r="B174" s="75"/>
      <c r="C174" s="75"/>
      <c r="D174" s="75"/>
      <c r="E174" s="75"/>
      <c r="F174" s="75"/>
      <c r="G174" s="75"/>
    </row>
    <row r="175" ht="15.25" spans="1:7">
      <c r="A175" s="69" t="s">
        <v>316</v>
      </c>
      <c r="B175" s="57"/>
      <c r="C175" s="57"/>
      <c r="D175" s="57"/>
      <c r="E175" s="57"/>
      <c r="F175" s="57"/>
      <c r="G175" s="57"/>
    </row>
    <row r="176" spans="1:7">
      <c r="A176" s="85" t="s">
        <v>333</v>
      </c>
      <c r="B176" s="60" t="s">
        <v>264</v>
      </c>
      <c r="C176" s="60"/>
      <c r="D176" s="60"/>
      <c r="E176" s="60"/>
      <c r="F176" s="60"/>
      <c r="G176" s="60"/>
    </row>
    <row r="177" ht="15.25" spans="1:9">
      <c r="A177" s="98">
        <v>1499189</v>
      </c>
      <c r="B177" s="87">
        <v>115</v>
      </c>
      <c r="C177" s="87"/>
      <c r="D177" s="87"/>
      <c r="E177" s="87"/>
      <c r="F177" s="87"/>
      <c r="G177" s="87"/>
      <c r="I177" s="33" t="s">
        <v>308</v>
      </c>
    </row>
    <row r="178" spans="1:9">
      <c r="A178" s="88">
        <f>A177/$C173</f>
        <v>93699.3125</v>
      </c>
      <c r="B178" s="89">
        <f>B177/$C173</f>
        <v>7.1875</v>
      </c>
      <c r="C178" s="89">
        <f>C177/$C173</f>
        <v>0</v>
      </c>
      <c r="D178" s="89">
        <f>D177/$C173</f>
        <v>0</v>
      </c>
      <c r="E178" s="89">
        <f>E177/$C173</f>
        <v>0</v>
      </c>
      <c r="F178" s="89">
        <f>F177/$C173</f>
        <v>0</v>
      </c>
      <c r="G178" s="89">
        <f>G177/$C173</f>
        <v>0</v>
      </c>
      <c r="I178" s="33" t="s">
        <v>309</v>
      </c>
    </row>
    <row r="179" ht="15.25" spans="1:9">
      <c r="A179" s="90">
        <f>A177/$E173</f>
        <v>4684.965625</v>
      </c>
      <c r="B179" s="91">
        <f>B177/$E173</f>
        <v>0.359375</v>
      </c>
      <c r="C179" s="91">
        <f>C177/$E173</f>
        <v>0</v>
      </c>
      <c r="D179" s="91">
        <f>D177/$E173</f>
        <v>0</v>
      </c>
      <c r="E179" s="91">
        <f>E177/$E173</f>
        <v>0</v>
      </c>
      <c r="F179" s="91">
        <f>F177/$E173</f>
        <v>0</v>
      </c>
      <c r="G179" s="91">
        <f>G177/$E173</f>
        <v>0</v>
      </c>
      <c r="I179" s="33" t="s">
        <v>310</v>
      </c>
    </row>
    <row r="180" spans="1:7">
      <c r="A180" s="84"/>
      <c r="B180" s="75"/>
      <c r="C180" s="75"/>
      <c r="D180" s="75"/>
      <c r="E180" s="75"/>
      <c r="F180" s="75"/>
      <c r="G180" s="75"/>
    </row>
    <row r="181" s="32" customFormat="1" spans="1:7">
      <c r="A181" s="73"/>
      <c r="B181" s="74"/>
      <c r="C181" s="74"/>
      <c r="D181" s="74"/>
      <c r="E181" s="74"/>
      <c r="F181" s="74"/>
      <c r="G181" s="74"/>
    </row>
    <row r="182" ht="15.25"/>
    <row r="183" ht="15.25" spans="1:7">
      <c r="A183" s="34" t="s">
        <v>322</v>
      </c>
      <c r="B183" s="35"/>
      <c r="C183" s="35"/>
      <c r="D183" s="35"/>
      <c r="E183" s="36"/>
      <c r="F183" s="37"/>
      <c r="G183" s="75"/>
    </row>
    <row r="184" ht="29.75" spans="1:7">
      <c r="A184" s="76" t="s">
        <v>258</v>
      </c>
      <c r="B184" s="39" t="s">
        <v>301</v>
      </c>
      <c r="C184" s="39" t="s">
        <v>17</v>
      </c>
      <c r="D184" s="39" t="s">
        <v>302</v>
      </c>
      <c r="E184" s="40" t="s">
        <v>303</v>
      </c>
      <c r="F184" s="41"/>
      <c r="G184" s="75"/>
    </row>
    <row r="185" spans="1:7">
      <c r="A185" s="77" t="s">
        <v>347</v>
      </c>
      <c r="B185" s="78">
        <v>2</v>
      </c>
      <c r="C185" s="78">
        <v>6</v>
      </c>
      <c r="D185" s="78">
        <v>24</v>
      </c>
      <c r="E185" s="79">
        <v>120</v>
      </c>
      <c r="F185" s="75"/>
      <c r="G185" s="75"/>
    </row>
    <row r="186" ht="15.25" spans="1:7">
      <c r="A186" s="80" t="s">
        <v>348</v>
      </c>
      <c r="B186" s="43">
        <v>2</v>
      </c>
      <c r="C186" s="43">
        <v>10</v>
      </c>
      <c r="D186" s="43">
        <v>32</v>
      </c>
      <c r="E186" s="44">
        <v>0.004</v>
      </c>
      <c r="F186" s="75"/>
      <c r="G186" s="75"/>
    </row>
    <row r="187" ht="15.25" spans="1:7">
      <c r="A187" s="81" t="s">
        <v>305</v>
      </c>
      <c r="B187" s="82"/>
      <c r="C187" s="82">
        <f>SUMPRODUCT(C186,B186)</f>
        <v>20</v>
      </c>
      <c r="D187" s="82"/>
      <c r="E187" s="83">
        <f>SUMPRODUCT(E185:E186,B185:B186)</f>
        <v>240.008</v>
      </c>
      <c r="F187" s="75"/>
      <c r="G187" s="75"/>
    </row>
    <row r="188" spans="1:7">
      <c r="A188" s="84"/>
      <c r="B188" s="75"/>
      <c r="C188" s="75"/>
      <c r="D188" s="75"/>
      <c r="E188" s="75"/>
      <c r="F188" s="75"/>
      <c r="G188" s="75"/>
    </row>
    <row r="189" ht="15.25" spans="1:8">
      <c r="A189" s="69" t="s">
        <v>316</v>
      </c>
      <c r="B189" s="57"/>
      <c r="C189" s="57"/>
      <c r="D189" s="57"/>
      <c r="E189" s="57"/>
      <c r="F189" s="57"/>
      <c r="G189" s="57"/>
      <c r="H189" s="58"/>
    </row>
    <row r="190" spans="1:7">
      <c r="A190" s="85" t="s">
        <v>264</v>
      </c>
      <c r="B190" s="60" t="s">
        <v>265</v>
      </c>
      <c r="C190" s="60"/>
      <c r="D190" s="60"/>
      <c r="E190" s="60"/>
      <c r="F190" s="60"/>
      <c r="G190" s="60"/>
    </row>
    <row r="191" ht="15.25" spans="1:9">
      <c r="A191" s="86">
        <v>0</v>
      </c>
      <c r="B191" s="86">
        <v>0</v>
      </c>
      <c r="C191" s="87"/>
      <c r="D191" s="87"/>
      <c r="E191" s="87"/>
      <c r="F191" s="87"/>
      <c r="G191" s="87"/>
      <c r="I191" s="33" t="s">
        <v>308</v>
      </c>
    </row>
    <row r="192" spans="1:9">
      <c r="A192" s="88">
        <f>A191/$C187</f>
        <v>0</v>
      </c>
      <c r="B192" s="89">
        <f>B191/$C187</f>
        <v>0</v>
      </c>
      <c r="C192" s="89">
        <f>C191/$C187</f>
        <v>0</v>
      </c>
      <c r="D192" s="89">
        <f>D191/$C187</f>
        <v>0</v>
      </c>
      <c r="E192" s="89">
        <f>E191/$C187</f>
        <v>0</v>
      </c>
      <c r="F192" s="89">
        <f>F191/$C187</f>
        <v>0</v>
      </c>
      <c r="G192" s="89">
        <f>G191/$C187</f>
        <v>0</v>
      </c>
      <c r="I192" s="33" t="s">
        <v>309</v>
      </c>
    </row>
    <row r="193" ht="15.25" spans="1:9">
      <c r="A193" s="90">
        <f>A191/$E187</f>
        <v>0</v>
      </c>
      <c r="B193" s="91">
        <f>B191/$E187</f>
        <v>0</v>
      </c>
      <c r="C193" s="91">
        <f>C191/$E187</f>
        <v>0</v>
      </c>
      <c r="D193" s="91">
        <f>D191/$E187</f>
        <v>0</v>
      </c>
      <c r="E193" s="91">
        <f>E191/$E187</f>
        <v>0</v>
      </c>
      <c r="F193" s="91">
        <f>F191/$E187</f>
        <v>0</v>
      </c>
      <c r="G193" s="91">
        <f>G191/$E187</f>
        <v>0</v>
      </c>
      <c r="I193" s="33" t="s">
        <v>310</v>
      </c>
    </row>
    <row r="194" spans="1:7">
      <c r="A194" s="84"/>
      <c r="B194" s="75"/>
      <c r="C194" s="75"/>
      <c r="D194" s="75"/>
      <c r="E194" s="75"/>
      <c r="F194" s="75"/>
      <c r="G194" s="75"/>
    </row>
    <row r="195" s="32" customFormat="1" spans="1:7">
      <c r="A195" s="73"/>
      <c r="B195" s="74"/>
      <c r="C195" s="74"/>
      <c r="D195" s="74"/>
      <c r="E195" s="74"/>
      <c r="F195" s="74"/>
      <c r="G195" s="74"/>
    </row>
    <row r="196" ht="15.25"/>
    <row r="197" ht="15.25" spans="1:7">
      <c r="A197" s="34" t="s">
        <v>322</v>
      </c>
      <c r="B197" s="35"/>
      <c r="C197" s="35"/>
      <c r="D197" s="35"/>
      <c r="E197" s="36"/>
      <c r="F197" s="37"/>
      <c r="G197" s="75"/>
    </row>
    <row r="198" ht="29.75" spans="1:7">
      <c r="A198" s="76" t="s">
        <v>258</v>
      </c>
      <c r="B198" s="39" t="s">
        <v>301</v>
      </c>
      <c r="C198" s="39" t="s">
        <v>17</v>
      </c>
      <c r="D198" s="39" t="s">
        <v>302</v>
      </c>
      <c r="E198" s="40" t="s">
        <v>303</v>
      </c>
      <c r="F198" s="41"/>
      <c r="G198" s="75"/>
    </row>
    <row r="199" spans="1:7">
      <c r="A199" s="77" t="s">
        <v>349</v>
      </c>
      <c r="B199" s="78">
        <v>2</v>
      </c>
      <c r="C199" s="78">
        <v>6</v>
      </c>
      <c r="D199" s="78">
        <v>24</v>
      </c>
      <c r="E199" s="79">
        <v>120</v>
      </c>
      <c r="F199" s="75"/>
      <c r="G199" s="75"/>
    </row>
    <row r="200" ht="15.25" spans="1:7">
      <c r="A200" s="80" t="s">
        <v>350</v>
      </c>
      <c r="B200" s="43">
        <v>2</v>
      </c>
      <c r="C200" s="43">
        <v>10</v>
      </c>
      <c r="D200" s="43">
        <v>32</v>
      </c>
      <c r="E200" s="44">
        <v>350</v>
      </c>
      <c r="F200" s="75"/>
      <c r="G200" s="75"/>
    </row>
    <row r="201" ht="15.25" spans="1:7">
      <c r="A201" s="81" t="s">
        <v>305</v>
      </c>
      <c r="B201" s="82"/>
      <c r="C201" s="82">
        <f>SUMPRODUCT(C200,B200)</f>
        <v>20</v>
      </c>
      <c r="D201" s="82"/>
      <c r="E201" s="83">
        <f>SUMPRODUCT(E199:E200,B199:B200)</f>
        <v>940</v>
      </c>
      <c r="F201" s="75"/>
      <c r="G201" s="75"/>
    </row>
    <row r="202" spans="1:7">
      <c r="A202" s="84"/>
      <c r="B202" s="75"/>
      <c r="C202" s="75"/>
      <c r="D202" s="75"/>
      <c r="E202" s="75"/>
      <c r="F202" s="75"/>
      <c r="G202" s="75"/>
    </row>
    <row r="203" ht="15.25" spans="1:8">
      <c r="A203" s="69" t="s">
        <v>316</v>
      </c>
      <c r="B203" s="57"/>
      <c r="C203" s="57"/>
      <c r="D203" s="57"/>
      <c r="E203" s="57"/>
      <c r="F203" s="57"/>
      <c r="G203" s="57"/>
      <c r="H203" s="58"/>
    </row>
    <row r="204" spans="1:7">
      <c r="A204" s="85" t="s">
        <v>264</v>
      </c>
      <c r="B204" s="60" t="s">
        <v>265</v>
      </c>
      <c r="C204" s="60"/>
      <c r="D204" s="60"/>
      <c r="E204" s="60"/>
      <c r="F204" s="60"/>
      <c r="G204" s="60"/>
    </row>
    <row r="205" ht="15.25" spans="1:9">
      <c r="A205" s="95">
        <v>0</v>
      </c>
      <c r="B205" s="86">
        <v>0</v>
      </c>
      <c r="C205" s="87"/>
      <c r="D205" s="87"/>
      <c r="E205" s="87"/>
      <c r="F205" s="87"/>
      <c r="G205" s="87"/>
      <c r="I205" s="33" t="s">
        <v>308</v>
      </c>
    </row>
    <row r="206" spans="1:9">
      <c r="A206" s="88">
        <f>A205/$C201</f>
        <v>0</v>
      </c>
      <c r="B206" s="89">
        <f>B205/$C201</f>
        <v>0</v>
      </c>
      <c r="C206" s="89">
        <f>C205/$C201</f>
        <v>0</v>
      </c>
      <c r="D206" s="89">
        <f>D205/$C201</f>
        <v>0</v>
      </c>
      <c r="E206" s="89">
        <f>E205/$C201</f>
        <v>0</v>
      </c>
      <c r="F206" s="89">
        <f>F205/$C201</f>
        <v>0</v>
      </c>
      <c r="G206" s="89">
        <f>G205/$C201</f>
        <v>0</v>
      </c>
      <c r="I206" s="33" t="s">
        <v>309</v>
      </c>
    </row>
    <row r="207" ht="15.25" spans="1:9">
      <c r="A207" s="90">
        <f>A205/$E201</f>
        <v>0</v>
      </c>
      <c r="B207" s="91">
        <f>B205/$E201</f>
        <v>0</v>
      </c>
      <c r="C207" s="91">
        <f>C205/$E201</f>
        <v>0</v>
      </c>
      <c r="D207" s="91">
        <f>D205/$E201</f>
        <v>0</v>
      </c>
      <c r="E207" s="91">
        <f>E205/$E201</f>
        <v>0</v>
      </c>
      <c r="F207" s="91">
        <f>F205/$E201</f>
        <v>0</v>
      </c>
      <c r="G207" s="91">
        <f>G205/$E201</f>
        <v>0</v>
      </c>
      <c r="I207" s="33" t="s">
        <v>310</v>
      </c>
    </row>
    <row r="208" spans="1:7">
      <c r="A208" s="84"/>
      <c r="B208" s="75"/>
      <c r="C208" s="75"/>
      <c r="D208" s="75"/>
      <c r="E208" s="75"/>
      <c r="F208" s="75"/>
      <c r="G208" s="75"/>
    </row>
    <row r="209" s="32" customFormat="1" spans="1:7">
      <c r="A209" s="73"/>
      <c r="B209" s="74"/>
      <c r="C209" s="74"/>
      <c r="D209" s="74"/>
      <c r="E209" s="74"/>
      <c r="F209" s="74"/>
      <c r="G209" s="74"/>
    </row>
    <row r="211" ht="15.25"/>
    <row r="212" ht="15.25" spans="1:7">
      <c r="A212" s="34" t="s">
        <v>322</v>
      </c>
      <c r="B212" s="35"/>
      <c r="C212" s="35"/>
      <c r="D212" s="35"/>
      <c r="E212" s="36"/>
      <c r="F212" s="37"/>
      <c r="G212" s="75"/>
    </row>
    <row r="213" ht="29.75" spans="1:7">
      <c r="A213" s="76" t="s">
        <v>258</v>
      </c>
      <c r="B213" s="39" t="s">
        <v>301</v>
      </c>
      <c r="C213" s="39" t="s">
        <v>17</v>
      </c>
      <c r="D213" s="39" t="s">
        <v>302</v>
      </c>
      <c r="E213" s="40" t="s">
        <v>303</v>
      </c>
      <c r="F213" s="41"/>
      <c r="G213" s="75"/>
    </row>
    <row r="214" spans="1:7">
      <c r="A214" s="77" t="s">
        <v>351</v>
      </c>
      <c r="B214" s="78">
        <v>2</v>
      </c>
      <c r="C214" s="78">
        <v>6</v>
      </c>
      <c r="D214" s="78">
        <v>24</v>
      </c>
      <c r="E214" s="79">
        <v>120</v>
      </c>
      <c r="F214" s="75"/>
      <c r="G214" s="75"/>
    </row>
    <row r="215" ht="15.25" spans="1:7">
      <c r="A215" s="80" t="s">
        <v>352</v>
      </c>
      <c r="B215" s="43">
        <v>2</v>
      </c>
      <c r="C215" s="43">
        <v>10</v>
      </c>
      <c r="D215" s="43">
        <v>32</v>
      </c>
      <c r="E215" s="44">
        <v>2000</v>
      </c>
      <c r="F215" s="75"/>
      <c r="G215" s="75"/>
    </row>
    <row r="216" ht="15.25" spans="1:7">
      <c r="A216" s="81" t="s">
        <v>305</v>
      </c>
      <c r="B216" s="82"/>
      <c r="C216" s="82">
        <f>SUMPRODUCT(C215,B215)</f>
        <v>20</v>
      </c>
      <c r="D216" s="82"/>
      <c r="E216" s="83">
        <f>SUMPRODUCT(E214:E215,B214:B215)</f>
        <v>4240</v>
      </c>
      <c r="F216" s="75"/>
      <c r="G216" s="75"/>
    </row>
    <row r="217" spans="1:7">
      <c r="A217" s="84"/>
      <c r="B217" s="75"/>
      <c r="C217" s="75"/>
      <c r="D217" s="75"/>
      <c r="E217" s="75"/>
      <c r="F217" s="75"/>
      <c r="G217" s="75"/>
    </row>
    <row r="218" ht="15.25" spans="1:8">
      <c r="A218" s="69" t="s">
        <v>316</v>
      </c>
      <c r="B218" s="57"/>
      <c r="C218" s="57"/>
      <c r="D218" s="57"/>
      <c r="E218" s="57"/>
      <c r="F218" s="57"/>
      <c r="G218" s="57"/>
      <c r="H218" s="58"/>
    </row>
    <row r="219" spans="1:7">
      <c r="A219" s="85" t="s">
        <v>264</v>
      </c>
      <c r="B219" s="60" t="s">
        <v>265</v>
      </c>
      <c r="C219" s="60"/>
      <c r="D219" s="60"/>
      <c r="E219" s="60"/>
      <c r="F219" s="60"/>
      <c r="G219" s="60"/>
    </row>
    <row r="220" ht="15.25" spans="1:9">
      <c r="A220" s="95">
        <v>0</v>
      </c>
      <c r="B220" s="86">
        <v>0</v>
      </c>
      <c r="C220" s="87"/>
      <c r="D220" s="87"/>
      <c r="E220" s="87"/>
      <c r="F220" s="87"/>
      <c r="G220" s="87"/>
      <c r="I220" s="33" t="s">
        <v>308</v>
      </c>
    </row>
    <row r="221" spans="1:9">
      <c r="A221" s="88">
        <f>A220/$C216</f>
        <v>0</v>
      </c>
      <c r="B221" s="89">
        <f>B220/$C216</f>
        <v>0</v>
      </c>
      <c r="C221" s="89">
        <f>C220/$C216</f>
        <v>0</v>
      </c>
      <c r="D221" s="89">
        <f>D220/$C216</f>
        <v>0</v>
      </c>
      <c r="E221" s="89">
        <f>E220/$C216</f>
        <v>0</v>
      </c>
      <c r="F221" s="89">
        <f>F220/$C216</f>
        <v>0</v>
      </c>
      <c r="G221" s="89">
        <f>G220/$C216</f>
        <v>0</v>
      </c>
      <c r="I221" s="33" t="s">
        <v>309</v>
      </c>
    </row>
    <row r="222" ht="15.25" spans="1:9">
      <c r="A222" s="90">
        <f>A220/$E216</f>
        <v>0</v>
      </c>
      <c r="B222" s="91">
        <f>B220/$E216</f>
        <v>0</v>
      </c>
      <c r="C222" s="91">
        <f>C220/$E216</f>
        <v>0</v>
      </c>
      <c r="D222" s="91">
        <f>D220/$E216</f>
        <v>0</v>
      </c>
      <c r="E222" s="91">
        <f>E220/$E216</f>
        <v>0</v>
      </c>
      <c r="F222" s="91">
        <f>F220/$E216</f>
        <v>0</v>
      </c>
      <c r="G222" s="91">
        <f>G220/$E216</f>
        <v>0</v>
      </c>
      <c r="I222" s="33" t="s">
        <v>310</v>
      </c>
    </row>
    <row r="223" spans="1:7">
      <c r="A223" s="84"/>
      <c r="B223" s="75"/>
      <c r="C223" s="75"/>
      <c r="D223" s="75"/>
      <c r="E223" s="75"/>
      <c r="F223" s="75"/>
      <c r="G223" s="75"/>
    </row>
    <row r="224" s="32" customFormat="1" spans="1:7">
      <c r="A224" s="73"/>
      <c r="B224" s="74"/>
      <c r="C224" s="74"/>
      <c r="D224" s="74"/>
      <c r="E224" s="74"/>
      <c r="F224" s="74"/>
      <c r="G224" s="74"/>
    </row>
  </sheetData>
  <mergeCells count="30">
    <mergeCell ref="A1:E1"/>
    <mergeCell ref="A8:G8"/>
    <mergeCell ref="A15:E15"/>
    <mergeCell ref="A27:G27"/>
    <mergeCell ref="A33:E33"/>
    <mergeCell ref="A43:G43"/>
    <mergeCell ref="A49:E49"/>
    <mergeCell ref="A59:G59"/>
    <mergeCell ref="A70:E70"/>
    <mergeCell ref="A76:G76"/>
    <mergeCell ref="A84:E84"/>
    <mergeCell ref="A90:G90"/>
    <mergeCell ref="A98:E98"/>
    <mergeCell ref="A104:G104"/>
    <mergeCell ref="A112:E112"/>
    <mergeCell ref="A117:G117"/>
    <mergeCell ref="A125:E125"/>
    <mergeCell ref="A132:G132"/>
    <mergeCell ref="A140:E140"/>
    <mergeCell ref="A145:G145"/>
    <mergeCell ref="A153:E153"/>
    <mergeCell ref="A158:G158"/>
    <mergeCell ref="A166:E166"/>
    <mergeCell ref="A175:G175"/>
    <mergeCell ref="A183:E183"/>
    <mergeCell ref="A189:G189"/>
    <mergeCell ref="A197:E197"/>
    <mergeCell ref="A203:G203"/>
    <mergeCell ref="A212:E212"/>
    <mergeCell ref="A218:G218"/>
  </mergeCells>
  <pageMargins left="0.7" right="0.7" top="0.75" bottom="0.75" header="0.3" footer="0.3"/>
  <pageSetup paperSize="1" orientation="portrait"/>
  <headerFooter>
    <oddFooter>&amp;L&amp;1#&amp;"Calibri"&amp;7&amp;K000000C2 General</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N219"/>
  <sheetViews>
    <sheetView zoomScale="70" zoomScaleNormal="70" topLeftCell="A177" workbookViewId="0">
      <selection activeCell="E214" sqref="E214"/>
    </sheetView>
  </sheetViews>
  <sheetFormatPr defaultColWidth="9.13636363636364" defaultRowHeight="14.5"/>
  <cols>
    <col min="1" max="1" width="15" style="33" customWidth="1"/>
    <col min="2" max="7" width="14" style="33" customWidth="1"/>
    <col min="8" max="16384" width="9.13636363636364" style="33"/>
  </cols>
  <sheetData>
    <row r="1" ht="15.25" spans="1:6">
      <c r="A1" s="34" t="s">
        <v>353</v>
      </c>
      <c r="B1" s="35"/>
      <c r="C1" s="35"/>
      <c r="D1" s="35"/>
      <c r="E1" s="36"/>
      <c r="F1" s="37"/>
    </row>
    <row r="2" ht="29.75" spans="1:6">
      <c r="A2" s="38" t="s">
        <v>258</v>
      </c>
      <c r="B2" s="39" t="s">
        <v>301</v>
      </c>
      <c r="C2" s="39" t="s">
        <v>17</v>
      </c>
      <c r="D2" s="39" t="s">
        <v>302</v>
      </c>
      <c r="E2" s="40" t="s">
        <v>303</v>
      </c>
      <c r="F2" s="41"/>
    </row>
    <row r="3" spans="1:5">
      <c r="A3" s="42" t="s">
        <v>304</v>
      </c>
      <c r="B3" s="43">
        <v>70</v>
      </c>
      <c r="C3" s="43">
        <v>8</v>
      </c>
      <c r="D3" s="43">
        <v>32</v>
      </c>
      <c r="E3" s="44">
        <v>1</v>
      </c>
    </row>
    <row r="4" spans="1:5">
      <c r="A4" s="45"/>
      <c r="B4" s="46"/>
      <c r="C4" s="46"/>
      <c r="D4" s="46"/>
      <c r="E4" s="47"/>
    </row>
    <row r="5" spans="1:5">
      <c r="A5" s="42"/>
      <c r="B5" s="48"/>
      <c r="C5" s="48"/>
      <c r="D5" s="48"/>
      <c r="E5" s="49"/>
    </row>
    <row r="6" spans="1:5">
      <c r="A6" s="45" t="s">
        <v>354</v>
      </c>
      <c r="B6" s="46"/>
      <c r="C6" s="46"/>
      <c r="D6" s="46"/>
      <c r="E6" s="47"/>
    </row>
    <row r="7" ht="15.25" spans="1:5">
      <c r="A7" s="50" t="s">
        <v>355</v>
      </c>
      <c r="B7" s="51"/>
      <c r="C7" s="51"/>
      <c r="D7" s="51"/>
      <c r="E7" s="52"/>
    </row>
    <row r="8" ht="15.25" spans="1:5">
      <c r="A8" s="53" t="s">
        <v>305</v>
      </c>
      <c r="B8" s="54"/>
      <c r="C8" s="54">
        <f>SUMPRODUCT(C3:C7,B3:B7)</f>
        <v>560</v>
      </c>
      <c r="D8" s="54"/>
      <c r="E8" s="55">
        <f>SUMPRODUCT(E3:E7,B3:B7)</f>
        <v>70</v>
      </c>
    </row>
    <row r="11" ht="15.25" spans="1:8">
      <c r="A11" s="56" t="s">
        <v>306</v>
      </c>
      <c r="B11" s="57"/>
      <c r="C11" s="57"/>
      <c r="D11" s="57"/>
      <c r="E11" s="57"/>
      <c r="F11" s="57"/>
      <c r="G11" s="57"/>
      <c r="H11" s="58"/>
    </row>
    <row r="12" spans="1:7">
      <c r="A12" s="59" t="s">
        <v>307</v>
      </c>
      <c r="B12" s="60"/>
      <c r="C12" s="60"/>
      <c r="D12" s="60"/>
      <c r="E12" s="60"/>
      <c r="F12" s="60"/>
      <c r="G12" s="60"/>
    </row>
    <row r="13" ht="15.25" spans="1:9">
      <c r="A13" s="48">
        <v>12558</v>
      </c>
      <c r="B13" s="48"/>
      <c r="C13" s="48"/>
      <c r="D13" s="51"/>
      <c r="E13" s="51"/>
      <c r="F13" s="51"/>
      <c r="G13" s="51"/>
      <c r="I13" s="33" t="s">
        <v>356</v>
      </c>
    </row>
    <row r="14" spans="1:9">
      <c r="A14" s="61">
        <f>A13/$C$8</f>
        <v>22.425</v>
      </c>
      <c r="B14" s="62"/>
      <c r="C14" s="62"/>
      <c r="D14" s="63">
        <f>D13/$C$8</f>
        <v>0</v>
      </c>
      <c r="E14" s="63">
        <f>E13/$C$8</f>
        <v>0</v>
      </c>
      <c r="F14" s="63">
        <f>F13/$C$8</f>
        <v>0</v>
      </c>
      <c r="G14" s="63">
        <f>G13/$C$8</f>
        <v>0</v>
      </c>
      <c r="I14" s="33" t="s">
        <v>357</v>
      </c>
    </row>
    <row r="15" ht="15.25" spans="1:9">
      <c r="A15" s="64">
        <f>A13/$E$8</f>
        <v>179.4</v>
      </c>
      <c r="B15" s="64"/>
      <c r="C15" s="64"/>
      <c r="D15" s="65">
        <f>D13/$E$8</f>
        <v>0</v>
      </c>
      <c r="E15" s="65">
        <f>E13/$E$8</f>
        <v>0</v>
      </c>
      <c r="F15" s="65">
        <f>F13/$E$8</f>
        <v>0</v>
      </c>
      <c r="G15" s="65">
        <f>G13/$E$8</f>
        <v>0</v>
      </c>
      <c r="I15" s="33" t="s">
        <v>358</v>
      </c>
    </row>
    <row r="18" ht="15.25"/>
    <row r="19" ht="15.25" spans="1:6">
      <c r="A19" s="34" t="s">
        <v>359</v>
      </c>
      <c r="B19" s="35"/>
      <c r="C19" s="35"/>
      <c r="D19" s="35"/>
      <c r="E19" s="36"/>
      <c r="F19" s="37"/>
    </row>
    <row r="20" ht="29.75" spans="1:6">
      <c r="A20" s="38" t="s">
        <v>258</v>
      </c>
      <c r="B20" s="39" t="s">
        <v>301</v>
      </c>
      <c r="C20" s="39" t="s">
        <v>17</v>
      </c>
      <c r="D20" s="39" t="s">
        <v>302</v>
      </c>
      <c r="E20" s="40" t="s">
        <v>303</v>
      </c>
      <c r="F20" s="41"/>
    </row>
    <row r="21" spans="1:5">
      <c r="A21" s="66" t="s">
        <v>312</v>
      </c>
      <c r="B21" s="66">
        <v>2</v>
      </c>
      <c r="C21" s="66">
        <v>14</v>
      </c>
      <c r="D21" s="66">
        <v>10</v>
      </c>
      <c r="E21" s="67">
        <v>1542</v>
      </c>
    </row>
    <row r="22" spans="1:7">
      <c r="A22" s="68" t="s">
        <v>313</v>
      </c>
      <c r="B22" s="48">
        <v>20</v>
      </c>
      <c r="C22" s="48">
        <v>2</v>
      </c>
      <c r="D22" s="48">
        <v>32</v>
      </c>
      <c r="E22" s="49"/>
      <c r="G22" s="33" t="s">
        <v>360</v>
      </c>
    </row>
    <row r="23" spans="1:5">
      <c r="A23" s="46" t="s">
        <v>314</v>
      </c>
      <c r="B23" s="46">
        <v>2</v>
      </c>
      <c r="C23" s="46">
        <v>6</v>
      </c>
      <c r="D23" s="46">
        <v>4</v>
      </c>
      <c r="E23" s="47"/>
    </row>
    <row r="24" spans="1:5">
      <c r="A24" s="68" t="s">
        <v>315</v>
      </c>
      <c r="B24" s="48">
        <v>4</v>
      </c>
      <c r="C24" s="48">
        <v>4</v>
      </c>
      <c r="D24" s="48">
        <v>10</v>
      </c>
      <c r="E24" s="49"/>
    </row>
    <row r="25" spans="1:5">
      <c r="A25" s="45"/>
      <c r="B25" s="46"/>
      <c r="C25" s="46"/>
      <c r="D25" s="46"/>
      <c r="E25" s="47"/>
    </row>
    <row r="26" ht="15.25" spans="1:5">
      <c r="A26" s="50"/>
      <c r="B26" s="51"/>
      <c r="C26" s="51"/>
      <c r="D26" s="51"/>
      <c r="E26" s="52"/>
    </row>
    <row r="27" ht="15.25" spans="1:5">
      <c r="A27" s="53" t="s">
        <v>305</v>
      </c>
      <c r="B27" s="54"/>
      <c r="C27" s="54">
        <f>SUMPRODUCT(C21:C26,B21:B26)</f>
        <v>96</v>
      </c>
      <c r="D27" s="54"/>
      <c r="E27" s="55">
        <f>SUMPRODUCT(E21:E26,B21:B26)</f>
        <v>3084</v>
      </c>
    </row>
    <row r="30" ht="15.25" spans="1:9">
      <c r="A30" s="69" t="s">
        <v>316</v>
      </c>
      <c r="B30" s="57"/>
      <c r="C30" s="57"/>
      <c r="D30" s="57"/>
      <c r="E30" s="57"/>
      <c r="F30" s="57"/>
      <c r="G30" s="57"/>
      <c r="H30" s="58"/>
      <c r="I30" s="33" t="s">
        <v>317</v>
      </c>
    </row>
    <row r="31" spans="1:9">
      <c r="A31" s="60" t="s">
        <v>361</v>
      </c>
      <c r="B31" s="60" t="s">
        <v>261</v>
      </c>
      <c r="C31" s="60" t="s">
        <v>319</v>
      </c>
      <c r="D31" s="60"/>
      <c r="E31" s="60"/>
      <c r="F31" s="60"/>
      <c r="G31" s="60"/>
      <c r="I31" s="33" t="s">
        <v>320</v>
      </c>
    </row>
    <row r="32" ht="15.25" spans="1:9">
      <c r="A32" s="70">
        <v>44840000</v>
      </c>
      <c r="B32" s="70">
        <v>22443019.1557394</v>
      </c>
      <c r="C32" s="70">
        <v>836000</v>
      </c>
      <c r="D32" s="51"/>
      <c r="E32" s="51"/>
      <c r="F32" s="51"/>
      <c r="G32" s="51"/>
      <c r="I32" s="33" t="s">
        <v>321</v>
      </c>
    </row>
    <row r="33" spans="1:7">
      <c r="A33" s="71">
        <f>A32/$C$27</f>
        <v>467083.333333333</v>
      </c>
      <c r="B33" s="71">
        <f>B32/$C$27</f>
        <v>233781.449538952</v>
      </c>
      <c r="C33" s="71">
        <f>C32/$C$27</f>
        <v>8708.33333333333</v>
      </c>
      <c r="D33" s="63">
        <f>D32/$C$27</f>
        <v>0</v>
      </c>
      <c r="E33" s="63">
        <f>E32/$C$27</f>
        <v>0</v>
      </c>
      <c r="F33" s="63">
        <f>F32/$C$27</f>
        <v>0</v>
      </c>
      <c r="G33" s="63">
        <f>G32/$C$27</f>
        <v>0</v>
      </c>
    </row>
    <row r="34" ht="15.25" spans="1:7">
      <c r="A34" s="72">
        <f>A32/$E$27</f>
        <v>14539.5590142672</v>
      </c>
      <c r="B34" s="72">
        <f>B32/$E$27</f>
        <v>7277.24356541485</v>
      </c>
      <c r="C34" s="72">
        <f>C32/$E$27</f>
        <v>271.076523994812</v>
      </c>
      <c r="D34" s="65">
        <f>D32/$E$27</f>
        <v>0</v>
      </c>
      <c r="E34" s="65">
        <f>E32/$E$27</f>
        <v>0</v>
      </c>
      <c r="F34" s="65">
        <f>F32/$E$27</f>
        <v>0</v>
      </c>
      <c r="G34" s="65">
        <f>G32/$E$27</f>
        <v>0</v>
      </c>
    </row>
    <row r="35" ht="15.25"/>
    <row r="36" ht="15.25" spans="1:6">
      <c r="A36" s="34" t="s">
        <v>362</v>
      </c>
      <c r="B36" s="35"/>
      <c r="C36" s="35"/>
      <c r="D36" s="35"/>
      <c r="E36" s="36"/>
      <c r="F36" s="37"/>
    </row>
    <row r="37" ht="29.75" spans="1:6">
      <c r="A37" s="38" t="s">
        <v>258</v>
      </c>
      <c r="B37" s="39" t="s">
        <v>301</v>
      </c>
      <c r="C37" s="39" t="s">
        <v>17</v>
      </c>
      <c r="D37" s="39" t="s">
        <v>302</v>
      </c>
      <c r="E37" s="40" t="s">
        <v>303</v>
      </c>
      <c r="F37" s="41"/>
    </row>
    <row r="38" spans="1:5">
      <c r="A38" s="45" t="s">
        <v>328</v>
      </c>
      <c r="B38" s="66">
        <v>2</v>
      </c>
      <c r="C38" s="66">
        <v>4</v>
      </c>
      <c r="D38" s="66">
        <v>6</v>
      </c>
      <c r="E38" s="67">
        <v>310</v>
      </c>
    </row>
    <row r="39" spans="1:5">
      <c r="A39" s="45" t="s">
        <v>329</v>
      </c>
      <c r="B39" s="48">
        <v>34</v>
      </c>
      <c r="C39" s="48">
        <v>8</v>
      </c>
      <c r="D39" s="48">
        <v>12</v>
      </c>
      <c r="E39" s="49">
        <v>0</v>
      </c>
    </row>
    <row r="40" ht="15.25" spans="1:5">
      <c r="A40" s="42"/>
      <c r="B40" s="48"/>
      <c r="C40" s="48"/>
      <c r="D40" s="48"/>
      <c r="E40" s="49"/>
    </row>
    <row r="41" ht="15.25" spans="1:5">
      <c r="A41" s="53" t="s">
        <v>305</v>
      </c>
      <c r="B41" s="54"/>
      <c r="C41" s="54">
        <f>SUMPRODUCT(C38:C40,B38:B40)</f>
        <v>280</v>
      </c>
      <c r="D41" s="54"/>
      <c r="E41" s="55">
        <f>SUMPRODUCT(E38:E40,B38:B40)</f>
        <v>620</v>
      </c>
    </row>
    <row r="42" spans="14:14">
      <c r="N42" s="33">
        <v>14</v>
      </c>
    </row>
    <row r="43" spans="14:14">
      <c r="N43" s="33">
        <v>9</v>
      </c>
    </row>
    <row r="44" ht="15.25" spans="1:7">
      <c r="A44" s="69" t="s">
        <v>316</v>
      </c>
      <c r="B44" s="57"/>
      <c r="C44" s="57"/>
      <c r="D44" s="57"/>
      <c r="E44" s="57"/>
      <c r="F44" s="57"/>
      <c r="G44" s="57"/>
    </row>
    <row r="45" spans="1:7">
      <c r="A45" s="60" t="s">
        <v>330</v>
      </c>
      <c r="B45" s="60" t="s">
        <v>331</v>
      </c>
      <c r="C45" s="60" t="s">
        <v>327</v>
      </c>
      <c r="D45" s="60"/>
      <c r="E45" s="60"/>
      <c r="F45" s="60"/>
      <c r="G45" s="60"/>
    </row>
    <row r="46" ht="15.25" spans="1:7">
      <c r="A46" s="70">
        <f>80000*33</f>
        <v>2640000</v>
      </c>
      <c r="B46" s="70">
        <f>70000*33</f>
        <v>2310000</v>
      </c>
      <c r="C46" s="51"/>
      <c r="D46" s="51"/>
      <c r="E46" s="51"/>
      <c r="F46" s="51"/>
      <c r="G46" s="51"/>
    </row>
    <row r="47" spans="1:7">
      <c r="A47" s="71">
        <f>A46/$C$41</f>
        <v>9428.57142857143</v>
      </c>
      <c r="B47" s="71">
        <f>B46/$C$41</f>
        <v>8250</v>
      </c>
      <c r="C47" s="71">
        <f>C46/$C$41</f>
        <v>0</v>
      </c>
      <c r="D47" s="71">
        <f>D46/$C$41</f>
        <v>0</v>
      </c>
      <c r="E47" s="71">
        <f>E46/$C$41</f>
        <v>0</v>
      </c>
      <c r="F47" s="71">
        <f>F46/$C$41</f>
        <v>0</v>
      </c>
      <c r="G47" s="71">
        <f>G46/$C$41</f>
        <v>0</v>
      </c>
    </row>
    <row r="48" ht="15.25" spans="1:7">
      <c r="A48" s="72">
        <f>A46/$E$41</f>
        <v>4258.06451612903</v>
      </c>
      <c r="B48" s="72">
        <f>B46/$E$41</f>
        <v>3725.8064516129</v>
      </c>
      <c r="C48" s="72">
        <f>C46/$E$41</f>
        <v>0</v>
      </c>
      <c r="D48" s="72">
        <f>D46/$E$41</f>
        <v>0</v>
      </c>
      <c r="E48" s="72">
        <f>E46/$E$41</f>
        <v>0</v>
      </c>
      <c r="F48" s="72">
        <f>F46/$E$41</f>
        <v>0</v>
      </c>
      <c r="G48" s="72">
        <f>G46/$E$41</f>
        <v>0</v>
      </c>
    </row>
    <row r="49" ht="15.25"/>
    <row r="50" ht="15.25" spans="1:6">
      <c r="A50" s="34" t="s">
        <v>362</v>
      </c>
      <c r="B50" s="35"/>
      <c r="C50" s="35"/>
      <c r="D50" s="35"/>
      <c r="E50" s="36"/>
      <c r="F50" s="37"/>
    </row>
    <row r="51" ht="29.75" spans="1:6">
      <c r="A51" s="38" t="s">
        <v>258</v>
      </c>
      <c r="B51" s="39" t="s">
        <v>301</v>
      </c>
      <c r="C51" s="39" t="s">
        <v>17</v>
      </c>
      <c r="D51" s="39" t="s">
        <v>302</v>
      </c>
      <c r="E51" s="40" t="s">
        <v>303</v>
      </c>
      <c r="F51" s="41"/>
    </row>
    <row r="52" spans="1:5">
      <c r="A52" s="45" t="s">
        <v>323</v>
      </c>
      <c r="B52" s="66">
        <v>2</v>
      </c>
      <c r="C52" s="66">
        <v>14</v>
      </c>
      <c r="D52" s="66">
        <v>40</v>
      </c>
      <c r="E52" s="67">
        <v>280</v>
      </c>
    </row>
    <row r="53" spans="1:5">
      <c r="A53" s="45" t="s">
        <v>324</v>
      </c>
      <c r="B53" s="48">
        <v>2</v>
      </c>
      <c r="C53" s="48">
        <v>14</v>
      </c>
      <c r="D53" s="48">
        <v>8</v>
      </c>
      <c r="E53" s="49">
        <v>0</v>
      </c>
    </row>
    <row r="54" spans="1:5">
      <c r="A54" s="45"/>
      <c r="B54" s="46"/>
      <c r="C54" s="46"/>
      <c r="D54" s="46"/>
      <c r="E54" s="47"/>
    </row>
    <row r="55" ht="15.25" spans="1:5">
      <c r="A55" s="42"/>
      <c r="B55" s="48"/>
      <c r="C55" s="48"/>
      <c r="D55" s="48"/>
      <c r="E55" s="49"/>
    </row>
    <row r="56" ht="15.25" spans="1:5">
      <c r="A56" s="53" t="s">
        <v>305</v>
      </c>
      <c r="B56" s="54"/>
      <c r="C56" s="54">
        <f>SUMPRODUCT(C52:C55,B52:B55)</f>
        <v>56</v>
      </c>
      <c r="D56" s="54"/>
      <c r="E56" s="55">
        <f>SUMPRODUCT(E52:E55,B52:B55)</f>
        <v>560</v>
      </c>
    </row>
    <row r="59" ht="15.25" spans="1:7">
      <c r="A59" s="69" t="s">
        <v>316</v>
      </c>
      <c r="B59" s="57"/>
      <c r="C59" s="57"/>
      <c r="D59" s="57"/>
      <c r="E59" s="57"/>
      <c r="F59" s="57"/>
      <c r="G59" s="57"/>
    </row>
    <row r="60" spans="1:7">
      <c r="A60" s="60" t="s">
        <v>363</v>
      </c>
      <c r="B60" s="60" t="s">
        <v>326</v>
      </c>
      <c r="C60" s="60" t="s">
        <v>327</v>
      </c>
      <c r="D60" s="60"/>
      <c r="E60" s="60"/>
      <c r="F60" s="60"/>
      <c r="G60" s="60"/>
    </row>
    <row r="61" ht="15.25" spans="1:7">
      <c r="A61" s="70">
        <v>0</v>
      </c>
      <c r="B61" s="51"/>
      <c r="C61" s="51"/>
      <c r="D61" s="51"/>
      <c r="E61" s="51"/>
      <c r="F61" s="51"/>
      <c r="G61" s="51"/>
    </row>
    <row r="62" spans="1:7">
      <c r="A62" s="71">
        <f>A61/$C$56</f>
        <v>0</v>
      </c>
      <c r="B62" s="71">
        <f>B61/$C$56</f>
        <v>0</v>
      </c>
      <c r="C62" s="71">
        <f>C61/$C$56</f>
        <v>0</v>
      </c>
      <c r="D62" s="71">
        <f>D61/$C$56</f>
        <v>0</v>
      </c>
      <c r="E62" s="71">
        <f>E61/$C$56</f>
        <v>0</v>
      </c>
      <c r="F62" s="71">
        <f>F61/$C$56</f>
        <v>0</v>
      </c>
      <c r="G62" s="71">
        <f>G61/$C$56</f>
        <v>0</v>
      </c>
    </row>
    <row r="63" ht="15.25" spans="1:7">
      <c r="A63" s="72">
        <f>A61/$E$56</f>
        <v>0</v>
      </c>
      <c r="B63" s="72">
        <f>B61/$E$56</f>
        <v>0</v>
      </c>
      <c r="C63" s="72">
        <f>C61/$E$56</f>
        <v>0</v>
      </c>
      <c r="D63" s="72">
        <f>D61/$E$56</f>
        <v>0</v>
      </c>
      <c r="E63" s="72">
        <f>E61/$E$56</f>
        <v>0</v>
      </c>
      <c r="F63" s="72">
        <f>F61/$E$56</f>
        <v>0</v>
      </c>
      <c r="G63" s="72">
        <f>G61/$E$56</f>
        <v>0</v>
      </c>
    </row>
    <row r="64" s="32" customFormat="1" spans="1:7">
      <c r="A64" s="73"/>
      <c r="B64" s="74"/>
      <c r="C64" s="74"/>
      <c r="D64" s="74"/>
      <c r="E64" s="74"/>
      <c r="F64" s="74"/>
      <c r="G64" s="74"/>
    </row>
    <row r="65" ht="15.25"/>
    <row r="66" ht="15.25" spans="1:7">
      <c r="A66" s="34" t="s">
        <v>362</v>
      </c>
      <c r="B66" s="35"/>
      <c r="C66" s="35"/>
      <c r="D66" s="35"/>
      <c r="E66" s="36"/>
      <c r="F66" s="37"/>
      <c r="G66" s="75"/>
    </row>
    <row r="67" ht="29.75" spans="1:7">
      <c r="A67" s="76" t="s">
        <v>258</v>
      </c>
      <c r="B67" s="39" t="s">
        <v>301</v>
      </c>
      <c r="C67" s="39" t="s">
        <v>17</v>
      </c>
      <c r="D67" s="39" t="s">
        <v>302</v>
      </c>
      <c r="E67" s="40" t="s">
        <v>303</v>
      </c>
      <c r="F67" s="41"/>
      <c r="G67" s="75"/>
    </row>
    <row r="68" spans="1:7">
      <c r="A68" s="77" t="s">
        <v>332</v>
      </c>
      <c r="B68" s="78">
        <v>2</v>
      </c>
      <c r="C68" s="78">
        <v>8</v>
      </c>
      <c r="D68" s="78">
        <v>20</v>
      </c>
      <c r="E68" s="79">
        <v>270</v>
      </c>
      <c r="F68" s="75"/>
      <c r="G68" s="75"/>
    </row>
    <row r="69" ht="15.25" spans="1:7">
      <c r="A69" s="80" t="s">
        <v>275</v>
      </c>
      <c r="B69" s="43">
        <v>32</v>
      </c>
      <c r="C69" s="43">
        <v>8</v>
      </c>
      <c r="D69" s="43">
        <v>54</v>
      </c>
      <c r="E69" s="44">
        <v>0.004</v>
      </c>
      <c r="F69" s="75"/>
      <c r="G69" s="75"/>
    </row>
    <row r="70" ht="15.25" spans="1:7">
      <c r="A70" s="81" t="s">
        <v>305</v>
      </c>
      <c r="B70" s="82"/>
      <c r="C70" s="82">
        <f>SUMPRODUCT(C69,B69)</f>
        <v>256</v>
      </c>
      <c r="D70" s="82"/>
      <c r="E70" s="83">
        <f>SUMPRODUCT(E68:E69,B68:B69)</f>
        <v>540.128</v>
      </c>
      <c r="F70" s="75"/>
      <c r="G70" s="75"/>
    </row>
    <row r="71" spans="1:7">
      <c r="A71" s="84"/>
      <c r="B71" s="75"/>
      <c r="C71" s="75"/>
      <c r="D71" s="75"/>
      <c r="E71" s="75"/>
      <c r="F71" s="75"/>
      <c r="G71" s="75"/>
    </row>
    <row r="72" ht="15.25" spans="1:8">
      <c r="A72" s="69" t="s">
        <v>316</v>
      </c>
      <c r="B72" s="57"/>
      <c r="C72" s="57"/>
      <c r="D72" s="57"/>
      <c r="E72" s="57"/>
      <c r="F72" s="57"/>
      <c r="G72" s="57"/>
      <c r="H72" s="58"/>
    </row>
    <row r="73" spans="1:7">
      <c r="A73" s="85" t="s">
        <v>333</v>
      </c>
      <c r="B73" s="60"/>
      <c r="C73" s="60"/>
      <c r="D73" s="60"/>
      <c r="E73" s="60"/>
      <c r="F73" s="60"/>
      <c r="G73" s="60"/>
    </row>
    <row r="74" ht="15.25" spans="1:9">
      <c r="A74" s="86">
        <v>12648000</v>
      </c>
      <c r="B74" s="87"/>
      <c r="C74" s="87"/>
      <c r="D74" s="87"/>
      <c r="E74" s="87"/>
      <c r="F74" s="87"/>
      <c r="G74" s="87"/>
      <c r="I74" s="33" t="s">
        <v>356</v>
      </c>
    </row>
    <row r="75" spans="1:9">
      <c r="A75" s="88">
        <f>A74/$C70</f>
        <v>49406.25</v>
      </c>
      <c r="B75" s="89">
        <f>B74/$C70</f>
        <v>0</v>
      </c>
      <c r="C75" s="89">
        <f>C74/$C70</f>
        <v>0</v>
      </c>
      <c r="D75" s="89">
        <f>D74/$C70</f>
        <v>0</v>
      </c>
      <c r="E75" s="89">
        <f>E74/$C70</f>
        <v>0</v>
      </c>
      <c r="F75" s="89">
        <f>F74/$C70</f>
        <v>0</v>
      </c>
      <c r="G75" s="89">
        <f>G74/$C70</f>
        <v>0</v>
      </c>
      <c r="I75" s="33" t="s">
        <v>357</v>
      </c>
    </row>
    <row r="76" ht="15.25" spans="1:9">
      <c r="A76" s="90">
        <f>A74/$E70</f>
        <v>23416.671603768</v>
      </c>
      <c r="B76" s="91">
        <f>B74/$E70</f>
        <v>0</v>
      </c>
      <c r="C76" s="91">
        <f>C74/$E70</f>
        <v>0</v>
      </c>
      <c r="D76" s="91">
        <f>D74/$E70</f>
        <v>0</v>
      </c>
      <c r="E76" s="91">
        <f>E74/$E70</f>
        <v>0</v>
      </c>
      <c r="F76" s="91">
        <f>F74/$E70</f>
        <v>0</v>
      </c>
      <c r="G76" s="91">
        <f>G74/$E70</f>
        <v>0</v>
      </c>
      <c r="I76" s="33" t="s">
        <v>358</v>
      </c>
    </row>
    <row r="77" spans="1:7">
      <c r="A77" s="84"/>
      <c r="B77" s="75"/>
      <c r="C77" s="75"/>
      <c r="D77" s="75"/>
      <c r="E77" s="75"/>
      <c r="F77" s="75"/>
      <c r="G77" s="75"/>
    </row>
    <row r="78" s="32" customFormat="1" spans="1:7">
      <c r="A78" s="73"/>
      <c r="B78" s="74"/>
      <c r="C78" s="74"/>
      <c r="D78" s="74"/>
      <c r="E78" s="74"/>
      <c r="F78" s="74"/>
      <c r="G78" s="74"/>
    </row>
    <row r="79" ht="15.25" spans="1:7">
      <c r="A79" s="84"/>
      <c r="B79" s="75"/>
      <c r="C79" s="75"/>
      <c r="D79" s="75"/>
      <c r="E79" s="75"/>
      <c r="F79" s="75"/>
      <c r="G79" s="75"/>
    </row>
    <row r="80" ht="15.25" spans="1:7">
      <c r="A80" s="34" t="s">
        <v>362</v>
      </c>
      <c r="B80" s="35"/>
      <c r="C80" s="35"/>
      <c r="D80" s="35"/>
      <c r="E80" s="36"/>
      <c r="F80" s="37"/>
      <c r="G80" s="75"/>
    </row>
    <row r="81" ht="29.75" spans="1:7">
      <c r="A81" s="76" t="s">
        <v>258</v>
      </c>
      <c r="B81" s="39" t="s">
        <v>301</v>
      </c>
      <c r="C81" s="39" t="s">
        <v>17</v>
      </c>
      <c r="D81" s="39" t="s">
        <v>302</v>
      </c>
      <c r="E81" s="40" t="s">
        <v>303</v>
      </c>
      <c r="F81" s="41"/>
      <c r="G81" s="75"/>
    </row>
    <row r="82" spans="1:7">
      <c r="A82" s="77" t="s">
        <v>334</v>
      </c>
      <c r="B82" s="78">
        <v>2</v>
      </c>
      <c r="C82" s="78">
        <v>8</v>
      </c>
      <c r="D82" s="78">
        <v>54</v>
      </c>
      <c r="E82" s="79">
        <v>820</v>
      </c>
      <c r="F82" s="75"/>
      <c r="G82" s="75"/>
    </row>
    <row r="83" ht="15.25" spans="1:7">
      <c r="A83" s="80" t="s">
        <v>276</v>
      </c>
      <c r="B83" s="43">
        <v>22</v>
      </c>
      <c r="C83" s="43">
        <v>8</v>
      </c>
      <c r="D83" s="43">
        <v>54</v>
      </c>
      <c r="E83" s="44">
        <v>0.004</v>
      </c>
      <c r="F83" s="75"/>
      <c r="G83" s="75"/>
    </row>
    <row r="84" ht="15.25" spans="1:7">
      <c r="A84" s="81" t="s">
        <v>305</v>
      </c>
      <c r="B84" s="82"/>
      <c r="C84" s="82">
        <f>SUMPRODUCT(C83,B83)</f>
        <v>176</v>
      </c>
      <c r="D84" s="82"/>
      <c r="E84" s="83">
        <f>SUMPRODUCT(E82:E83,B82:B83)</f>
        <v>1640.088</v>
      </c>
      <c r="F84" s="75"/>
      <c r="G84" s="75"/>
    </row>
    <row r="85" spans="1:7">
      <c r="A85" s="84"/>
      <c r="B85" s="75"/>
      <c r="C85" s="75"/>
      <c r="D85" s="75"/>
      <c r="E85" s="75"/>
      <c r="F85" s="75"/>
      <c r="G85" s="75"/>
    </row>
    <row r="86" ht="15.25" spans="1:7">
      <c r="A86" s="69" t="s">
        <v>316</v>
      </c>
      <c r="B86" s="57"/>
      <c r="C86" s="57"/>
      <c r="D86" s="57"/>
      <c r="E86" s="57"/>
      <c r="F86" s="57"/>
      <c r="G86" s="57"/>
    </row>
    <row r="87" spans="1:7">
      <c r="A87" s="85" t="s">
        <v>333</v>
      </c>
      <c r="B87" s="60"/>
      <c r="C87" s="60"/>
      <c r="D87" s="60"/>
      <c r="E87" s="60"/>
      <c r="F87" s="60"/>
      <c r="G87" s="60"/>
    </row>
    <row r="88" ht="15.25" spans="1:9">
      <c r="A88" s="86">
        <v>7602000</v>
      </c>
      <c r="B88" s="87"/>
      <c r="C88" s="87"/>
      <c r="D88" s="87"/>
      <c r="E88" s="87"/>
      <c r="F88" s="87"/>
      <c r="G88" s="87"/>
      <c r="I88" s="33" t="s">
        <v>356</v>
      </c>
    </row>
    <row r="89" spans="1:9">
      <c r="A89" s="88">
        <f>A88/$C84</f>
        <v>43193.1818181818</v>
      </c>
      <c r="B89" s="89">
        <f>B88/$C84</f>
        <v>0</v>
      </c>
      <c r="C89" s="89">
        <f>C88/$C84</f>
        <v>0</v>
      </c>
      <c r="D89" s="89">
        <f>D88/$C84</f>
        <v>0</v>
      </c>
      <c r="E89" s="89">
        <f>E88/$C84</f>
        <v>0</v>
      </c>
      <c r="F89" s="89">
        <f>F88/$C84</f>
        <v>0</v>
      </c>
      <c r="G89" s="89">
        <f>G88/$C84</f>
        <v>0</v>
      </c>
      <c r="I89" s="33" t="s">
        <v>357</v>
      </c>
    </row>
    <row r="90" ht="15.25" spans="1:9">
      <c r="A90" s="90">
        <f>A88/$E84</f>
        <v>4635.1171400559</v>
      </c>
      <c r="B90" s="91">
        <f>B88/$E84</f>
        <v>0</v>
      </c>
      <c r="C90" s="91">
        <f>C88/$E84</f>
        <v>0</v>
      </c>
      <c r="D90" s="91">
        <f>D88/$E84</f>
        <v>0</v>
      </c>
      <c r="E90" s="91">
        <f>E88/$E84</f>
        <v>0</v>
      </c>
      <c r="F90" s="91">
        <f>F88/$E84</f>
        <v>0</v>
      </c>
      <c r="G90" s="91">
        <f>G88/$E84</f>
        <v>0</v>
      </c>
      <c r="I90" s="33" t="s">
        <v>358</v>
      </c>
    </row>
    <row r="91" spans="1:7">
      <c r="A91" s="84"/>
      <c r="B91" s="75"/>
      <c r="C91" s="75"/>
      <c r="D91" s="75"/>
      <c r="E91" s="75"/>
      <c r="F91" s="75"/>
      <c r="G91" s="75"/>
    </row>
    <row r="92" s="32" customFormat="1" spans="1:7">
      <c r="A92" s="73"/>
      <c r="B92" s="74"/>
      <c r="C92" s="74"/>
      <c r="D92" s="74"/>
      <c r="E92" s="74"/>
      <c r="F92" s="74"/>
      <c r="G92" s="74"/>
    </row>
    <row r="93" ht="15.25" spans="1:7">
      <c r="A93" s="84"/>
      <c r="B93" s="75"/>
      <c r="C93" s="75"/>
      <c r="D93" s="75"/>
      <c r="E93" s="75"/>
      <c r="F93" s="75"/>
      <c r="G93" s="75"/>
    </row>
    <row r="94" ht="15.25" spans="1:7">
      <c r="A94" s="34" t="s">
        <v>362</v>
      </c>
      <c r="B94" s="35"/>
      <c r="C94" s="35"/>
      <c r="D94" s="35"/>
      <c r="E94" s="36"/>
      <c r="F94" s="37"/>
      <c r="G94" s="75"/>
    </row>
    <row r="95" ht="29.75" spans="1:7">
      <c r="A95" s="76" t="s">
        <v>258</v>
      </c>
      <c r="B95" s="39" t="s">
        <v>301</v>
      </c>
      <c r="C95" s="39" t="s">
        <v>17</v>
      </c>
      <c r="D95" s="39" t="s">
        <v>302</v>
      </c>
      <c r="E95" s="40" t="s">
        <v>303</v>
      </c>
      <c r="F95" s="41"/>
      <c r="G95" s="75"/>
    </row>
    <row r="96" spans="1:7">
      <c r="A96" s="77" t="s">
        <v>335</v>
      </c>
      <c r="B96" s="78">
        <v>2</v>
      </c>
      <c r="C96" s="78">
        <v>8</v>
      </c>
      <c r="D96" s="78">
        <v>16</v>
      </c>
      <c r="E96" s="79">
        <v>150</v>
      </c>
      <c r="F96" s="75"/>
      <c r="G96" s="75"/>
    </row>
    <row r="97" ht="15.25" spans="1:7">
      <c r="A97" s="80" t="s">
        <v>277</v>
      </c>
      <c r="B97" s="43">
        <v>34</v>
      </c>
      <c r="C97" s="43">
        <v>8</v>
      </c>
      <c r="D97" s="43">
        <v>48</v>
      </c>
      <c r="E97" s="44">
        <v>4</v>
      </c>
      <c r="F97" s="75"/>
      <c r="G97" s="75"/>
    </row>
    <row r="98" ht="15.25" spans="1:7">
      <c r="A98" s="81" t="s">
        <v>305</v>
      </c>
      <c r="B98" s="82"/>
      <c r="C98" s="82">
        <f>SUMPRODUCT(C97,B97)</f>
        <v>272</v>
      </c>
      <c r="D98" s="82"/>
      <c r="E98" s="83">
        <f>SUMPRODUCT(E96:E97,B96:B97)</f>
        <v>436</v>
      </c>
      <c r="F98" s="75"/>
      <c r="G98" s="75"/>
    </row>
    <row r="99" spans="1:7">
      <c r="A99" s="84"/>
      <c r="B99" s="75"/>
      <c r="C99" s="75"/>
      <c r="D99" s="75"/>
      <c r="E99" s="75"/>
      <c r="F99" s="75"/>
      <c r="G99" s="75"/>
    </row>
    <row r="100" ht="15.25" spans="1:7">
      <c r="A100" s="69" t="s">
        <v>316</v>
      </c>
      <c r="B100" s="57"/>
      <c r="C100" s="57"/>
      <c r="D100" s="57"/>
      <c r="E100" s="57"/>
      <c r="F100" s="57"/>
      <c r="G100" s="57"/>
    </row>
    <row r="101" spans="1:7">
      <c r="A101" s="85" t="s">
        <v>333</v>
      </c>
      <c r="B101" s="60" t="s">
        <v>336</v>
      </c>
      <c r="C101" s="60"/>
      <c r="D101" s="60"/>
      <c r="E101" s="60"/>
      <c r="F101" s="60"/>
      <c r="G101" s="60"/>
    </row>
    <row r="102" ht="15.25" spans="1:9">
      <c r="A102" s="86">
        <v>6613000</v>
      </c>
      <c r="B102" s="87">
        <v>0</v>
      </c>
      <c r="C102" s="87"/>
      <c r="D102" s="87"/>
      <c r="E102" s="87"/>
      <c r="F102" s="87"/>
      <c r="G102" s="87"/>
      <c r="I102" s="33" t="s">
        <v>356</v>
      </c>
    </row>
    <row r="103" spans="1:9">
      <c r="A103" s="88">
        <f>A102/$C98</f>
        <v>24312.5</v>
      </c>
      <c r="B103" s="89">
        <f>B102/$C98</f>
        <v>0</v>
      </c>
      <c r="C103" s="89">
        <f>C102/$C98</f>
        <v>0</v>
      </c>
      <c r="D103" s="89">
        <f>D102/$C98</f>
        <v>0</v>
      </c>
      <c r="E103" s="89">
        <f>E102/$C98</f>
        <v>0</v>
      </c>
      <c r="F103" s="89">
        <f>F102/$C98</f>
        <v>0</v>
      </c>
      <c r="G103" s="89">
        <f>G102/$C98</f>
        <v>0</v>
      </c>
      <c r="I103" s="33" t="s">
        <v>357</v>
      </c>
    </row>
    <row r="104" ht="15.25" spans="1:9">
      <c r="A104" s="90">
        <f>A102/$E98</f>
        <v>15167.4311926605</v>
      </c>
      <c r="B104" s="91">
        <f>B102/$E98</f>
        <v>0</v>
      </c>
      <c r="C104" s="91">
        <f>C102/$E98</f>
        <v>0</v>
      </c>
      <c r="D104" s="91">
        <f>D102/$E98</f>
        <v>0</v>
      </c>
      <c r="E104" s="91">
        <f>E102/$E98</f>
        <v>0</v>
      </c>
      <c r="F104" s="91">
        <f>F102/$E98</f>
        <v>0</v>
      </c>
      <c r="G104" s="91">
        <f>G102/$E98</f>
        <v>0</v>
      </c>
      <c r="I104" s="33" t="s">
        <v>358</v>
      </c>
    </row>
    <row r="105" spans="1:7">
      <c r="A105" s="84"/>
      <c r="B105" s="75"/>
      <c r="C105" s="75"/>
      <c r="D105" s="75"/>
      <c r="E105" s="75"/>
      <c r="F105" s="75"/>
      <c r="G105" s="75"/>
    </row>
    <row r="106" s="32" customFormat="1" spans="1:7">
      <c r="A106" s="73"/>
      <c r="B106" s="74"/>
      <c r="C106" s="74"/>
      <c r="D106" s="74"/>
      <c r="E106" s="74"/>
      <c r="F106" s="74"/>
      <c r="G106" s="74"/>
    </row>
    <row r="107" ht="15.25" spans="1:7">
      <c r="A107" s="84"/>
      <c r="B107" s="75"/>
      <c r="C107" s="75"/>
      <c r="D107" s="75"/>
      <c r="E107" s="75"/>
      <c r="F107" s="75"/>
      <c r="G107" s="75"/>
    </row>
    <row r="108" ht="15.25" spans="1:7">
      <c r="A108" s="34" t="s">
        <v>362</v>
      </c>
      <c r="B108" s="35"/>
      <c r="C108" s="35"/>
      <c r="D108" s="35"/>
      <c r="E108" s="36"/>
      <c r="F108" s="37"/>
      <c r="G108" s="75"/>
    </row>
    <row r="109" ht="29.75" spans="1:7">
      <c r="A109" s="76" t="s">
        <v>258</v>
      </c>
      <c r="B109" s="39" t="s">
        <v>301</v>
      </c>
      <c r="C109" s="39" t="s">
        <v>17</v>
      </c>
      <c r="D109" s="39" t="s">
        <v>302</v>
      </c>
      <c r="E109" s="40" t="s">
        <v>303</v>
      </c>
      <c r="F109" s="41"/>
      <c r="G109" s="75"/>
    </row>
    <row r="110" ht="15.25" spans="1:7">
      <c r="A110" s="80" t="s">
        <v>278</v>
      </c>
      <c r="B110" s="43">
        <v>31</v>
      </c>
      <c r="C110" s="43">
        <v>13</v>
      </c>
      <c r="D110" s="43">
        <v>8</v>
      </c>
      <c r="E110" s="44">
        <v>6</v>
      </c>
      <c r="F110" s="75"/>
      <c r="G110" s="75"/>
    </row>
    <row r="111" ht="15.25" spans="1:7">
      <c r="A111" s="81" t="s">
        <v>305</v>
      </c>
      <c r="B111" s="82"/>
      <c r="C111" s="82">
        <f>SUMPRODUCT(C110:C110,B110:B110)</f>
        <v>403</v>
      </c>
      <c r="D111" s="82"/>
      <c r="E111" s="83">
        <f>SUMPRODUCT(E110:E110,B110:B110)</f>
        <v>186</v>
      </c>
      <c r="F111" s="75"/>
      <c r="G111" s="75"/>
    </row>
    <row r="112" spans="1:7">
      <c r="A112" s="84"/>
      <c r="B112" s="75"/>
      <c r="C112" s="75"/>
      <c r="D112" s="75"/>
      <c r="E112" s="75"/>
      <c r="F112" s="75"/>
      <c r="G112" s="75"/>
    </row>
    <row r="113" ht="15.25" spans="1:7">
      <c r="A113" s="69" t="s">
        <v>316</v>
      </c>
      <c r="B113" s="57"/>
      <c r="C113" s="57"/>
      <c r="D113" s="57"/>
      <c r="E113" s="57"/>
      <c r="F113" s="57"/>
      <c r="G113" s="57"/>
    </row>
    <row r="114" spans="1:7">
      <c r="A114" s="85" t="s">
        <v>333</v>
      </c>
      <c r="B114" s="60" t="s">
        <v>336</v>
      </c>
      <c r="C114" s="60"/>
      <c r="D114" s="60"/>
      <c r="E114" s="60"/>
      <c r="F114" s="60"/>
      <c r="G114" s="60"/>
    </row>
    <row r="115" ht="15.25" spans="1:9">
      <c r="A115" s="86">
        <v>0</v>
      </c>
      <c r="B115" s="87">
        <v>332543</v>
      </c>
      <c r="C115" s="87"/>
      <c r="D115" s="87"/>
      <c r="E115" s="87"/>
      <c r="F115" s="87"/>
      <c r="G115" s="87"/>
      <c r="I115" s="33" t="s">
        <v>356</v>
      </c>
    </row>
    <row r="116" spans="1:9">
      <c r="A116" s="88">
        <f>A115/$C111</f>
        <v>0</v>
      </c>
      <c r="B116" s="89">
        <f>B115/$C111</f>
        <v>825.168734491315</v>
      </c>
      <c r="C116" s="89">
        <f>C115/$C111</f>
        <v>0</v>
      </c>
      <c r="D116" s="89">
        <f>D115/$C111</f>
        <v>0</v>
      </c>
      <c r="E116" s="89">
        <f>E115/$C111</f>
        <v>0</v>
      </c>
      <c r="F116" s="89">
        <f>F115/$C111</f>
        <v>0</v>
      </c>
      <c r="G116" s="89">
        <f>G115/$C111</f>
        <v>0</v>
      </c>
      <c r="I116" s="33" t="s">
        <v>357</v>
      </c>
    </row>
    <row r="117" ht="15.25" spans="1:9">
      <c r="A117" s="90">
        <f>A115/$E111</f>
        <v>0</v>
      </c>
      <c r="B117" s="91">
        <f>B115/$E111</f>
        <v>1787.86559139785</v>
      </c>
      <c r="C117" s="91">
        <f>C115/$E111</f>
        <v>0</v>
      </c>
      <c r="D117" s="91">
        <f>D115/$E111</f>
        <v>0</v>
      </c>
      <c r="E117" s="91">
        <f>E115/$E111</f>
        <v>0</v>
      </c>
      <c r="F117" s="91">
        <f>F115/$E111</f>
        <v>0</v>
      </c>
      <c r="G117" s="91">
        <f>G115/$E111</f>
        <v>0</v>
      </c>
      <c r="I117" s="33" t="s">
        <v>358</v>
      </c>
    </row>
    <row r="118" spans="1:7">
      <c r="A118" s="84"/>
      <c r="B118" s="75"/>
      <c r="C118" s="75"/>
      <c r="D118" s="75"/>
      <c r="E118" s="75"/>
      <c r="F118" s="75"/>
      <c r="G118" s="75"/>
    </row>
    <row r="119" s="32" customFormat="1" spans="1:7">
      <c r="A119" s="73"/>
      <c r="B119" s="74"/>
      <c r="C119" s="74"/>
      <c r="D119" s="74"/>
      <c r="E119" s="74"/>
      <c r="F119" s="74"/>
      <c r="G119" s="74"/>
    </row>
    <row r="120" ht="15.25" spans="1:7">
      <c r="A120" s="84"/>
      <c r="B120" s="75"/>
      <c r="C120" s="75"/>
      <c r="D120" s="75"/>
      <c r="E120" s="75"/>
      <c r="F120" s="75"/>
      <c r="G120" s="75"/>
    </row>
    <row r="121" ht="15.25" spans="1:7">
      <c r="A121" s="34" t="s">
        <v>362</v>
      </c>
      <c r="B121" s="35"/>
      <c r="C121" s="35"/>
      <c r="D121" s="35"/>
      <c r="E121" s="36"/>
      <c r="F121" s="37"/>
      <c r="G121" s="75"/>
    </row>
    <row r="122" ht="29.75" spans="1:7">
      <c r="A122" s="76" t="s">
        <v>258</v>
      </c>
      <c r="B122" s="39" t="s">
        <v>301</v>
      </c>
      <c r="C122" s="39" t="s">
        <v>17</v>
      </c>
      <c r="D122" s="39" t="s">
        <v>302</v>
      </c>
      <c r="E122" s="40" t="s">
        <v>303</v>
      </c>
      <c r="F122" s="41"/>
      <c r="G122" s="75"/>
    </row>
    <row r="123" spans="1:7">
      <c r="A123" s="77" t="s">
        <v>337</v>
      </c>
      <c r="B123" s="78">
        <v>2</v>
      </c>
      <c r="C123" s="78">
        <v>8</v>
      </c>
      <c r="D123" s="78">
        <v>16</v>
      </c>
      <c r="E123" s="79">
        <v>150</v>
      </c>
      <c r="F123" s="75"/>
      <c r="G123" s="75"/>
    </row>
    <row r="124" ht="15.25" spans="1:7">
      <c r="A124" s="80" t="s">
        <v>338</v>
      </c>
      <c r="B124" s="43">
        <v>2</v>
      </c>
      <c r="C124" s="43">
        <v>8</v>
      </c>
      <c r="D124" s="43">
        <v>16</v>
      </c>
      <c r="E124" s="44">
        <v>4</v>
      </c>
      <c r="F124" s="75"/>
      <c r="G124" s="75"/>
    </row>
    <row r="125" ht="15.25" spans="1:7">
      <c r="A125" s="77" t="s">
        <v>339</v>
      </c>
      <c r="B125" s="78">
        <v>34</v>
      </c>
      <c r="C125" s="78">
        <v>8</v>
      </c>
      <c r="D125" s="78">
        <v>42</v>
      </c>
      <c r="E125" s="79">
        <v>4</v>
      </c>
      <c r="F125" s="75"/>
      <c r="G125" s="75"/>
    </row>
    <row r="126" ht="15.25" spans="1:7">
      <c r="A126" s="81" t="s">
        <v>305</v>
      </c>
      <c r="B126" s="82"/>
      <c r="C126" s="82">
        <f>SUMPRODUCT(C124:C125,B124:B125)</f>
        <v>288</v>
      </c>
      <c r="D126" s="82"/>
      <c r="E126" s="83">
        <f>SUMPRODUCT(E123:E125,B123:B125)</f>
        <v>444</v>
      </c>
      <c r="F126" s="75"/>
      <c r="G126" s="75"/>
    </row>
    <row r="127" spans="1:7">
      <c r="A127" s="84"/>
      <c r="B127" s="75"/>
      <c r="C127" s="75"/>
      <c r="D127" s="75"/>
      <c r="E127" s="75"/>
      <c r="F127" s="75"/>
      <c r="G127" s="75"/>
    </row>
    <row r="128" ht="15.25" spans="1:7">
      <c r="A128" s="69" t="s">
        <v>316</v>
      </c>
      <c r="B128" s="57"/>
      <c r="C128" s="57"/>
      <c r="D128" s="57"/>
      <c r="E128" s="57"/>
      <c r="F128" s="57"/>
      <c r="G128" s="57"/>
    </row>
    <row r="129" spans="1:7">
      <c r="A129" s="85" t="s">
        <v>319</v>
      </c>
      <c r="B129" s="60"/>
      <c r="C129" s="60"/>
      <c r="D129" s="60"/>
      <c r="E129" s="60"/>
      <c r="F129" s="60"/>
      <c r="G129" s="60"/>
    </row>
    <row r="130" ht="15.25" spans="1:9">
      <c r="A130" s="86" t="e">
        <v>#VALUE!</v>
      </c>
      <c r="B130" s="87"/>
      <c r="C130" s="87"/>
      <c r="D130" s="87"/>
      <c r="E130" s="87"/>
      <c r="F130" s="87"/>
      <c r="G130" s="87"/>
      <c r="I130" s="33" t="s">
        <v>356</v>
      </c>
    </row>
    <row r="131" spans="1:9">
      <c r="A131" s="88" t="e">
        <f>A130/$C126</f>
        <v>#VALUE!</v>
      </c>
      <c r="B131" s="89">
        <f>B130/$C126</f>
        <v>0</v>
      </c>
      <c r="C131" s="89">
        <f>C130/$C126</f>
        <v>0</v>
      </c>
      <c r="D131" s="89">
        <f>D130/$C126</f>
        <v>0</v>
      </c>
      <c r="E131" s="89">
        <f>E130/$C126</f>
        <v>0</v>
      </c>
      <c r="F131" s="89">
        <f>F130/$C126</f>
        <v>0</v>
      </c>
      <c r="G131" s="89">
        <f>G130/$C126</f>
        <v>0</v>
      </c>
      <c r="I131" s="33" t="s">
        <v>357</v>
      </c>
    </row>
    <row r="132" ht="15.25" spans="1:9">
      <c r="A132" s="90" t="e">
        <f>A130/$E126</f>
        <v>#VALUE!</v>
      </c>
      <c r="B132" s="91">
        <f>B130/$E126</f>
        <v>0</v>
      </c>
      <c r="C132" s="91">
        <f>C130/$E126</f>
        <v>0</v>
      </c>
      <c r="D132" s="91">
        <f>D130/$E126</f>
        <v>0</v>
      </c>
      <c r="E132" s="91">
        <f>E130/$E126</f>
        <v>0</v>
      </c>
      <c r="F132" s="91">
        <f>F130/$E126</f>
        <v>0</v>
      </c>
      <c r="G132" s="91">
        <f>G130/$E126</f>
        <v>0</v>
      </c>
      <c r="I132" s="33" t="s">
        <v>358</v>
      </c>
    </row>
    <row r="133" spans="1:7">
      <c r="A133" s="84"/>
      <c r="B133" s="75"/>
      <c r="C133" s="75"/>
      <c r="D133" s="75"/>
      <c r="E133" s="75"/>
      <c r="F133" s="75"/>
      <c r="G133" s="75"/>
    </row>
    <row r="134" s="32" customFormat="1" spans="1:7">
      <c r="A134" s="73"/>
      <c r="B134" s="74"/>
      <c r="C134" s="74"/>
      <c r="D134" s="74"/>
      <c r="E134" s="74"/>
      <c r="F134" s="74"/>
      <c r="G134" s="74"/>
    </row>
    <row r="135" ht="15.25" spans="1:7">
      <c r="A135" s="84"/>
      <c r="B135" s="75"/>
      <c r="C135" s="75"/>
      <c r="D135" s="75"/>
      <c r="E135" s="75"/>
      <c r="F135" s="75"/>
      <c r="G135" s="75"/>
    </row>
    <row r="136" ht="15.25" spans="1:7">
      <c r="A136" s="34" t="s">
        <v>362</v>
      </c>
      <c r="B136" s="35"/>
      <c r="C136" s="35"/>
      <c r="D136" s="35"/>
      <c r="E136" s="36"/>
      <c r="F136" s="37"/>
      <c r="G136" s="75"/>
    </row>
    <row r="137" ht="29.75" spans="1:7">
      <c r="A137" s="76" t="s">
        <v>258</v>
      </c>
      <c r="B137" s="39" t="s">
        <v>301</v>
      </c>
      <c r="C137" s="39" t="s">
        <v>17</v>
      </c>
      <c r="D137" s="39" t="s">
        <v>302</v>
      </c>
      <c r="E137" s="40" t="s">
        <v>303</v>
      </c>
      <c r="F137" s="41"/>
      <c r="G137" s="75"/>
    </row>
    <row r="138" ht="15.25" spans="1:7">
      <c r="A138" s="80" t="s">
        <v>340</v>
      </c>
      <c r="B138" s="43">
        <v>31</v>
      </c>
      <c r="C138" s="43">
        <v>13</v>
      </c>
      <c r="D138" s="43">
        <v>8</v>
      </c>
      <c r="E138" s="44">
        <v>6</v>
      </c>
      <c r="F138" s="75"/>
      <c r="G138" s="75"/>
    </row>
    <row r="139" ht="15.25" spans="1:7">
      <c r="A139" s="81" t="s">
        <v>305</v>
      </c>
      <c r="B139" s="82"/>
      <c r="C139" s="82">
        <f>SUMPRODUCT(C138:C138,B138:B138)</f>
        <v>403</v>
      </c>
      <c r="D139" s="82"/>
      <c r="E139" s="83">
        <f>SUMPRODUCT(E138:E138,B138:B138)</f>
        <v>186</v>
      </c>
      <c r="F139" s="75"/>
      <c r="G139" s="75"/>
    </row>
    <row r="140" spans="1:7">
      <c r="A140" s="84"/>
      <c r="B140" s="75"/>
      <c r="C140" s="75"/>
      <c r="D140" s="75"/>
      <c r="E140" s="75"/>
      <c r="F140" s="75"/>
      <c r="G140" s="75"/>
    </row>
    <row r="141" ht="15.25" spans="1:7">
      <c r="A141" s="69" t="s">
        <v>316</v>
      </c>
      <c r="B141" s="57"/>
      <c r="C141" s="57"/>
      <c r="D141" s="57"/>
      <c r="E141" s="57"/>
      <c r="F141" s="57"/>
      <c r="G141" s="57"/>
    </row>
    <row r="142" spans="1:7">
      <c r="A142" s="85" t="s">
        <v>319</v>
      </c>
      <c r="B142" s="60"/>
      <c r="C142" s="60"/>
      <c r="D142" s="60"/>
      <c r="E142" s="60"/>
      <c r="F142" s="60"/>
      <c r="G142" s="60"/>
    </row>
    <row r="143" ht="15.25" spans="1:9">
      <c r="A143" s="86">
        <v>330600</v>
      </c>
      <c r="B143" s="87"/>
      <c r="C143" s="87"/>
      <c r="D143" s="87"/>
      <c r="E143" s="87"/>
      <c r="F143" s="87"/>
      <c r="G143" s="87"/>
      <c r="I143" s="33" t="s">
        <v>356</v>
      </c>
    </row>
    <row r="144" spans="1:9">
      <c r="A144" s="88">
        <f>A143/$C139</f>
        <v>820.347394540943</v>
      </c>
      <c r="B144" s="89">
        <f>B143/$C139</f>
        <v>0</v>
      </c>
      <c r="C144" s="89">
        <f>C143/$C139</f>
        <v>0</v>
      </c>
      <c r="D144" s="89">
        <f>D143/$C139</f>
        <v>0</v>
      </c>
      <c r="E144" s="89">
        <f>E143/$C139</f>
        <v>0</v>
      </c>
      <c r="F144" s="89">
        <f>F143/$C139</f>
        <v>0</v>
      </c>
      <c r="G144" s="89">
        <f>G143/$C139</f>
        <v>0</v>
      </c>
      <c r="I144" s="33" t="s">
        <v>357</v>
      </c>
    </row>
    <row r="145" ht="15.25" spans="1:9">
      <c r="A145" s="90">
        <f>A143/$E139</f>
        <v>1777.41935483871</v>
      </c>
      <c r="B145" s="91">
        <f>B143/$E139</f>
        <v>0</v>
      </c>
      <c r="C145" s="91">
        <f>C143/$E139</f>
        <v>0</v>
      </c>
      <c r="D145" s="91">
        <f>D143/$E139</f>
        <v>0</v>
      </c>
      <c r="E145" s="91">
        <f>E143/$E139</f>
        <v>0</v>
      </c>
      <c r="F145" s="91">
        <f>F143/$E139</f>
        <v>0</v>
      </c>
      <c r="G145" s="91">
        <f>G143/$E139</f>
        <v>0</v>
      </c>
      <c r="I145" s="33" t="s">
        <v>358</v>
      </c>
    </row>
    <row r="146" spans="1:7">
      <c r="A146" s="84"/>
      <c r="B146" s="75"/>
      <c r="C146" s="75"/>
      <c r="D146" s="75"/>
      <c r="E146" s="75"/>
      <c r="F146" s="75"/>
      <c r="G146" s="75"/>
    </row>
    <row r="147" s="32" customFormat="1" spans="1:7">
      <c r="A147" s="73"/>
      <c r="B147" s="74"/>
      <c r="C147" s="74"/>
      <c r="D147" s="74"/>
      <c r="E147" s="74"/>
      <c r="F147" s="74"/>
      <c r="G147" s="74"/>
    </row>
    <row r="148" ht="15.25" spans="1:7">
      <c r="A148" s="84"/>
      <c r="B148" s="75"/>
      <c r="C148" s="75"/>
      <c r="D148" s="75"/>
      <c r="E148" s="75"/>
      <c r="F148" s="75"/>
      <c r="G148" s="75"/>
    </row>
    <row r="149" ht="15.25" spans="1:7">
      <c r="A149" s="34" t="s">
        <v>362</v>
      </c>
      <c r="B149" s="35"/>
      <c r="C149" s="35"/>
      <c r="D149" s="35"/>
      <c r="E149" s="36"/>
      <c r="F149" s="37"/>
      <c r="G149" s="75"/>
    </row>
    <row r="150" ht="29.75" spans="1:7">
      <c r="A150" s="76" t="s">
        <v>258</v>
      </c>
      <c r="B150" s="39" t="s">
        <v>301</v>
      </c>
      <c r="C150" s="39" t="s">
        <v>17</v>
      </c>
      <c r="D150" s="39" t="s">
        <v>302</v>
      </c>
      <c r="E150" s="40" t="s">
        <v>303</v>
      </c>
      <c r="F150" s="41"/>
      <c r="G150" s="75"/>
    </row>
    <row r="151" ht="15.25" spans="1:7">
      <c r="A151" s="80" t="s">
        <v>279</v>
      </c>
      <c r="B151" s="43">
        <v>20</v>
      </c>
      <c r="C151" s="43">
        <v>8</v>
      </c>
      <c r="D151" s="43">
        <v>6</v>
      </c>
      <c r="E151" s="44">
        <v>8</v>
      </c>
      <c r="F151" s="75"/>
      <c r="G151" s="75"/>
    </row>
    <row r="152" ht="15.25" spans="1:7">
      <c r="A152" s="81" t="s">
        <v>305</v>
      </c>
      <c r="B152" s="82"/>
      <c r="C152" s="82">
        <f>SUMPRODUCT(C151:C151,B151:B151)</f>
        <v>160</v>
      </c>
      <c r="D152" s="82"/>
      <c r="E152" s="83">
        <f>SUMPRODUCT(E151:E151,B151:B151)</f>
        <v>160</v>
      </c>
      <c r="F152" s="75"/>
      <c r="G152" s="75"/>
    </row>
    <row r="153" spans="1:7">
      <c r="A153" s="84"/>
      <c r="B153" s="75"/>
      <c r="C153" s="75"/>
      <c r="D153" s="75"/>
      <c r="E153" s="75"/>
      <c r="F153" s="75"/>
      <c r="G153" s="75"/>
    </row>
    <row r="154" ht="15.25" spans="1:7">
      <c r="A154" s="69" t="s">
        <v>316</v>
      </c>
      <c r="B154" s="57"/>
      <c r="C154" s="57"/>
      <c r="D154" s="57"/>
      <c r="E154" s="57"/>
      <c r="F154" s="57"/>
      <c r="G154" s="57"/>
    </row>
    <row r="155" spans="1:7">
      <c r="A155" s="85" t="s">
        <v>341</v>
      </c>
      <c r="B155" s="60" t="s">
        <v>336</v>
      </c>
      <c r="C155" s="60"/>
      <c r="D155" s="60"/>
      <c r="E155" s="60"/>
      <c r="F155" s="60"/>
      <c r="G155" s="60"/>
    </row>
    <row r="156" ht="15.25" spans="1:9">
      <c r="A156" s="86">
        <v>16720000</v>
      </c>
      <c r="B156" s="87">
        <v>4180</v>
      </c>
      <c r="C156" s="87"/>
      <c r="D156" s="87"/>
      <c r="E156" s="87"/>
      <c r="F156" s="87"/>
      <c r="G156" s="87"/>
      <c r="I156" s="33" t="s">
        <v>356</v>
      </c>
    </row>
    <row r="157" spans="1:9">
      <c r="A157" s="88">
        <f>A156/$C152</f>
        <v>104500</v>
      </c>
      <c r="B157" s="89">
        <f>B156/$C152</f>
        <v>26.125</v>
      </c>
      <c r="C157" s="89">
        <f>C156/$C152</f>
        <v>0</v>
      </c>
      <c r="D157" s="89">
        <f>D156/$C152</f>
        <v>0</v>
      </c>
      <c r="E157" s="89">
        <f>E156/$C152</f>
        <v>0</v>
      </c>
      <c r="F157" s="89">
        <f>F156/$C152</f>
        <v>0</v>
      </c>
      <c r="G157" s="89">
        <f>G156/$C152</f>
        <v>0</v>
      </c>
      <c r="I157" s="33" t="s">
        <v>357</v>
      </c>
    </row>
    <row r="158" ht="15.25" spans="1:9">
      <c r="A158" s="90">
        <f>A156/$E152</f>
        <v>104500</v>
      </c>
      <c r="B158" s="91">
        <f>B156/$E152</f>
        <v>26.125</v>
      </c>
      <c r="C158" s="91">
        <f>C156/$E152</f>
        <v>0</v>
      </c>
      <c r="D158" s="91">
        <f>D156/$E152</f>
        <v>0</v>
      </c>
      <c r="E158" s="91">
        <f>E156/$E152</f>
        <v>0</v>
      </c>
      <c r="F158" s="91">
        <f>F156/$E152</f>
        <v>0</v>
      </c>
      <c r="G158" s="91">
        <f>G156/$E152</f>
        <v>0</v>
      </c>
      <c r="I158" s="33" t="s">
        <v>358</v>
      </c>
    </row>
    <row r="159" spans="1:7">
      <c r="A159" s="84"/>
      <c r="B159" s="75"/>
      <c r="C159" s="75"/>
      <c r="D159" s="75"/>
      <c r="E159" s="75"/>
      <c r="F159" s="75"/>
      <c r="G159" s="75"/>
    </row>
    <row r="160" s="32" customFormat="1" spans="1:7">
      <c r="A160" s="73"/>
      <c r="B160" s="74"/>
      <c r="C160" s="74"/>
      <c r="D160" s="74"/>
      <c r="E160" s="74"/>
      <c r="F160" s="74"/>
      <c r="G160" s="74"/>
    </row>
    <row r="161" ht="15.25" spans="1:7">
      <c r="A161" s="84"/>
      <c r="B161" s="75"/>
      <c r="C161" s="75"/>
      <c r="D161" s="75"/>
      <c r="E161" s="75"/>
      <c r="F161" s="75"/>
      <c r="G161" s="75"/>
    </row>
    <row r="162" ht="15.25" spans="1:7">
      <c r="A162" s="34" t="s">
        <v>362</v>
      </c>
      <c r="B162" s="35"/>
      <c r="C162" s="35"/>
      <c r="D162" s="35"/>
      <c r="E162" s="36"/>
      <c r="F162" s="37"/>
      <c r="G162" s="75"/>
    </row>
    <row r="163" ht="29.75" spans="1:7">
      <c r="A163" s="76" t="s">
        <v>258</v>
      </c>
      <c r="B163" s="39" t="s">
        <v>301</v>
      </c>
      <c r="C163" s="39" t="s">
        <v>17</v>
      </c>
      <c r="D163" s="39" t="s">
        <v>302</v>
      </c>
      <c r="E163" s="40" t="s">
        <v>303</v>
      </c>
      <c r="F163" s="41"/>
      <c r="G163" s="75"/>
    </row>
    <row r="164" spans="1:7">
      <c r="A164" s="77" t="s">
        <v>342</v>
      </c>
      <c r="B164" s="78">
        <v>1</v>
      </c>
      <c r="C164" s="78">
        <v>2</v>
      </c>
      <c r="D164" s="78">
        <v>8</v>
      </c>
      <c r="E164" s="79">
        <v>110</v>
      </c>
      <c r="F164" s="75"/>
      <c r="G164" s="75"/>
    </row>
    <row r="165" spans="1:7">
      <c r="A165" s="80" t="s">
        <v>343</v>
      </c>
      <c r="B165" s="43">
        <v>1</v>
      </c>
      <c r="C165" s="43">
        <v>2</v>
      </c>
      <c r="D165" s="43">
        <v>8</v>
      </c>
      <c r="E165" s="44">
        <v>30</v>
      </c>
      <c r="F165" s="75"/>
      <c r="G165" s="75"/>
    </row>
    <row r="166" spans="1:7">
      <c r="A166" s="92" t="s">
        <v>344</v>
      </c>
      <c r="B166" s="93">
        <v>10</v>
      </c>
      <c r="C166" s="93">
        <v>2</v>
      </c>
      <c r="D166" s="93">
        <v>12</v>
      </c>
      <c r="E166" s="94">
        <v>30</v>
      </c>
      <c r="F166" s="75"/>
      <c r="G166" s="75"/>
    </row>
    <row r="167" spans="1:7">
      <c r="A167" s="80" t="s">
        <v>345</v>
      </c>
      <c r="B167" s="43">
        <v>16</v>
      </c>
      <c r="C167" s="43">
        <v>2</v>
      </c>
      <c r="D167" s="43">
        <v>16</v>
      </c>
      <c r="E167" s="44">
        <v>30</v>
      </c>
      <c r="F167" s="75"/>
      <c r="G167" s="75"/>
    </row>
    <row r="168" ht="15.25" spans="1:7">
      <c r="A168" s="92" t="s">
        <v>346</v>
      </c>
      <c r="B168" s="93">
        <v>4</v>
      </c>
      <c r="C168" s="93">
        <v>2</v>
      </c>
      <c r="D168" s="93">
        <v>8</v>
      </c>
      <c r="E168" s="94">
        <v>30</v>
      </c>
      <c r="F168" s="75"/>
      <c r="G168" s="75"/>
    </row>
    <row r="169" ht="15.25" spans="1:7">
      <c r="A169" s="81" t="s">
        <v>305</v>
      </c>
      <c r="B169" s="82"/>
      <c r="C169" s="82">
        <f>SUMPRODUCT(C164:C168,B164:B168)</f>
        <v>64</v>
      </c>
      <c r="D169" s="82"/>
      <c r="E169" s="83">
        <f>SUMPRODUCT(E164:E168,B164:B168)</f>
        <v>1040</v>
      </c>
      <c r="F169" s="75"/>
      <c r="G169" s="75"/>
    </row>
    <row r="170" spans="1:7">
      <c r="A170" s="84"/>
      <c r="B170" s="75"/>
      <c r="C170" s="75"/>
      <c r="D170" s="75"/>
      <c r="E170" s="75"/>
      <c r="F170" s="75"/>
      <c r="G170" s="75"/>
    </row>
    <row r="171" ht="15.25" spans="1:7">
      <c r="A171" s="69" t="s">
        <v>316</v>
      </c>
      <c r="B171" s="57"/>
      <c r="C171" s="57"/>
      <c r="D171" s="57"/>
      <c r="E171" s="57"/>
      <c r="F171" s="57"/>
      <c r="G171" s="57"/>
    </row>
    <row r="172" spans="1:7">
      <c r="A172" s="85" t="s">
        <v>333</v>
      </c>
      <c r="B172" s="60" t="s">
        <v>264</v>
      </c>
      <c r="C172" s="60"/>
      <c r="D172" s="60"/>
      <c r="E172" s="60"/>
      <c r="F172" s="60"/>
      <c r="G172" s="60"/>
    </row>
    <row r="173" ht="15.25" spans="1:9">
      <c r="A173" s="86">
        <v>22487835</v>
      </c>
      <c r="B173" s="87">
        <v>1035</v>
      </c>
      <c r="C173" s="87"/>
      <c r="D173" s="87"/>
      <c r="E173" s="87"/>
      <c r="F173" s="87"/>
      <c r="G173" s="87"/>
      <c r="I173" s="33" t="s">
        <v>356</v>
      </c>
    </row>
    <row r="174" spans="1:9">
      <c r="A174" s="88">
        <f>A173/$C169</f>
        <v>351372.421875</v>
      </c>
      <c r="B174" s="89">
        <f>B173/$C169</f>
        <v>16.171875</v>
      </c>
      <c r="C174" s="89">
        <f>C173/$C169</f>
        <v>0</v>
      </c>
      <c r="D174" s="89">
        <f>D173/$C169</f>
        <v>0</v>
      </c>
      <c r="E174" s="89">
        <f>E173/$C169</f>
        <v>0</v>
      </c>
      <c r="F174" s="89">
        <f>F173/$C169</f>
        <v>0</v>
      </c>
      <c r="G174" s="89">
        <f>G173/$C169</f>
        <v>0</v>
      </c>
      <c r="I174" s="33" t="s">
        <v>357</v>
      </c>
    </row>
    <row r="175" ht="15.25" spans="1:9">
      <c r="A175" s="90">
        <f>A173/$E169</f>
        <v>21622.9182692308</v>
      </c>
      <c r="B175" s="91">
        <f>B173/$E169</f>
        <v>0.995192307692308</v>
      </c>
      <c r="C175" s="91">
        <f>C173/$E169</f>
        <v>0</v>
      </c>
      <c r="D175" s="91">
        <f>D173/$E169</f>
        <v>0</v>
      </c>
      <c r="E175" s="91">
        <f>E173/$E169</f>
        <v>0</v>
      </c>
      <c r="F175" s="91">
        <f>F173/$E169</f>
        <v>0</v>
      </c>
      <c r="G175" s="91">
        <f>G173/$E169</f>
        <v>0</v>
      </c>
      <c r="I175" s="33" t="s">
        <v>358</v>
      </c>
    </row>
    <row r="176" spans="1:7">
      <c r="A176" s="84"/>
      <c r="B176" s="75"/>
      <c r="C176" s="75"/>
      <c r="D176" s="75"/>
      <c r="E176" s="75"/>
      <c r="F176" s="75"/>
      <c r="G176" s="75"/>
    </row>
    <row r="177" s="32" customFormat="1" spans="1:7">
      <c r="A177" s="73"/>
      <c r="B177" s="74"/>
      <c r="C177" s="74"/>
      <c r="D177" s="74"/>
      <c r="E177" s="74"/>
      <c r="F177" s="74"/>
      <c r="G177" s="74"/>
    </row>
    <row r="178" ht="15.25"/>
    <row r="179" ht="15.25" spans="1:7">
      <c r="A179" s="34" t="s">
        <v>362</v>
      </c>
      <c r="B179" s="35"/>
      <c r="C179" s="35"/>
      <c r="D179" s="35"/>
      <c r="E179" s="36"/>
      <c r="F179" s="37"/>
      <c r="G179" s="75"/>
    </row>
    <row r="180" ht="29.75" spans="1:7">
      <c r="A180" s="76" t="s">
        <v>258</v>
      </c>
      <c r="B180" s="39" t="s">
        <v>301</v>
      </c>
      <c r="C180" s="39" t="s">
        <v>17</v>
      </c>
      <c r="D180" s="39" t="s">
        <v>302</v>
      </c>
      <c r="E180" s="40" t="s">
        <v>303</v>
      </c>
      <c r="F180" s="41"/>
      <c r="G180" s="75"/>
    </row>
    <row r="181" spans="1:7">
      <c r="A181" s="77" t="s">
        <v>364</v>
      </c>
      <c r="B181" s="78">
        <v>2</v>
      </c>
      <c r="C181" s="78">
        <v>6</v>
      </c>
      <c r="D181" s="78">
        <v>24</v>
      </c>
      <c r="E181" s="79">
        <v>120</v>
      </c>
      <c r="F181" s="75"/>
      <c r="G181" s="75"/>
    </row>
    <row r="182" ht="15.25" spans="1:7">
      <c r="A182" s="80" t="s">
        <v>365</v>
      </c>
      <c r="B182" s="43">
        <v>34</v>
      </c>
      <c r="C182" s="43">
        <v>10</v>
      </c>
      <c r="D182" s="43">
        <v>32</v>
      </c>
      <c r="E182" s="44">
        <v>0.004</v>
      </c>
      <c r="F182" s="75"/>
      <c r="G182" s="75"/>
    </row>
    <row r="183" ht="15.25" spans="1:7">
      <c r="A183" s="81" t="s">
        <v>305</v>
      </c>
      <c r="B183" s="82"/>
      <c r="C183" s="82">
        <f>SUMPRODUCT(C182,B182)</f>
        <v>340</v>
      </c>
      <c r="D183" s="82"/>
      <c r="E183" s="83">
        <f>SUMPRODUCT(E181:E182,B181:B182)</f>
        <v>240.136</v>
      </c>
      <c r="F183" s="75"/>
      <c r="G183" s="75"/>
    </row>
    <row r="184" spans="1:7">
      <c r="A184" s="84"/>
      <c r="B184" s="75"/>
      <c r="C184" s="75"/>
      <c r="D184" s="75"/>
      <c r="E184" s="75"/>
      <c r="F184" s="75"/>
      <c r="G184" s="75"/>
    </row>
    <row r="185" ht="15.25" spans="1:8">
      <c r="A185" s="69" t="s">
        <v>316</v>
      </c>
      <c r="B185" s="57"/>
      <c r="C185" s="57"/>
      <c r="D185" s="57"/>
      <c r="E185" s="57"/>
      <c r="F185" s="57"/>
      <c r="G185" s="57"/>
      <c r="H185" s="58"/>
    </row>
    <row r="186" spans="1:7">
      <c r="A186" s="85" t="s">
        <v>264</v>
      </c>
      <c r="B186" s="60" t="s">
        <v>265</v>
      </c>
      <c r="C186" s="60"/>
      <c r="D186" s="60"/>
      <c r="E186" s="60"/>
      <c r="F186" s="60"/>
      <c r="G186" s="60"/>
    </row>
    <row r="187" ht="15.25" spans="1:9">
      <c r="A187" s="86">
        <v>0</v>
      </c>
      <c r="B187" s="86">
        <v>0</v>
      </c>
      <c r="C187" s="87"/>
      <c r="D187" s="87"/>
      <c r="E187" s="87"/>
      <c r="F187" s="87"/>
      <c r="G187" s="87"/>
      <c r="I187" s="33" t="s">
        <v>356</v>
      </c>
    </row>
    <row r="188" spans="1:9">
      <c r="A188" s="88">
        <f>A187/$C183</f>
        <v>0</v>
      </c>
      <c r="B188" s="89">
        <f>B187/$C183</f>
        <v>0</v>
      </c>
      <c r="C188" s="89">
        <f>C187/$C183</f>
        <v>0</v>
      </c>
      <c r="D188" s="89">
        <f>D187/$C183</f>
        <v>0</v>
      </c>
      <c r="E188" s="89">
        <f>E187/$C183</f>
        <v>0</v>
      </c>
      <c r="F188" s="89">
        <f>F187/$C183</f>
        <v>0</v>
      </c>
      <c r="G188" s="89">
        <f>G187/$C183</f>
        <v>0</v>
      </c>
      <c r="I188" s="33" t="s">
        <v>357</v>
      </c>
    </row>
    <row r="189" ht="15.25" spans="1:9">
      <c r="A189" s="90">
        <f>A187/$E183</f>
        <v>0</v>
      </c>
      <c r="B189" s="91">
        <f>B187/$E183</f>
        <v>0</v>
      </c>
      <c r="C189" s="91">
        <f>C187/$E183</f>
        <v>0</v>
      </c>
      <c r="D189" s="91">
        <f>D187/$E183</f>
        <v>0</v>
      </c>
      <c r="E189" s="91">
        <f>E187/$E183</f>
        <v>0</v>
      </c>
      <c r="F189" s="91">
        <f>F187/$E183</f>
        <v>0</v>
      </c>
      <c r="G189" s="91">
        <f>G187/$E183</f>
        <v>0</v>
      </c>
      <c r="I189" s="33" t="s">
        <v>358</v>
      </c>
    </row>
    <row r="190" spans="1:7">
      <c r="A190" s="84"/>
      <c r="B190" s="75"/>
      <c r="C190" s="75"/>
      <c r="D190" s="75"/>
      <c r="E190" s="75"/>
      <c r="F190" s="75"/>
      <c r="G190" s="75"/>
    </row>
    <row r="191" s="32" customFormat="1" spans="1:7">
      <c r="A191" s="73"/>
      <c r="B191" s="74"/>
      <c r="C191" s="74"/>
      <c r="D191" s="74"/>
      <c r="E191" s="74"/>
      <c r="F191" s="74"/>
      <c r="G191" s="74"/>
    </row>
    <row r="192" ht="15.25"/>
    <row r="193" ht="15.25" spans="1:7">
      <c r="A193" s="34" t="s">
        <v>362</v>
      </c>
      <c r="B193" s="35"/>
      <c r="C193" s="35"/>
      <c r="D193" s="35"/>
      <c r="E193" s="36"/>
      <c r="F193" s="37"/>
      <c r="G193" s="75"/>
    </row>
    <row r="194" ht="29.75" spans="1:7">
      <c r="A194" s="76" t="s">
        <v>258</v>
      </c>
      <c r="B194" s="39" t="s">
        <v>301</v>
      </c>
      <c r="C194" s="39" t="s">
        <v>17</v>
      </c>
      <c r="D194" s="39" t="s">
        <v>302</v>
      </c>
      <c r="E194" s="40" t="s">
        <v>303</v>
      </c>
      <c r="F194" s="41"/>
      <c r="G194" s="75"/>
    </row>
    <row r="195" spans="1:7">
      <c r="A195" s="77" t="s">
        <v>366</v>
      </c>
      <c r="B195" s="78">
        <v>2</v>
      </c>
      <c r="C195" s="78">
        <v>6</v>
      </c>
      <c r="D195" s="78">
        <v>24</v>
      </c>
      <c r="E195" s="79">
        <v>120</v>
      </c>
      <c r="F195" s="75"/>
      <c r="G195" s="75"/>
    </row>
    <row r="196" ht="15.25" spans="1:7">
      <c r="A196" s="80" t="s">
        <v>367</v>
      </c>
      <c r="B196" s="43">
        <v>34</v>
      </c>
      <c r="C196" s="43">
        <v>10</v>
      </c>
      <c r="D196" s="43">
        <v>32</v>
      </c>
      <c r="E196" s="44">
        <v>350</v>
      </c>
      <c r="F196" s="75"/>
      <c r="G196" s="75"/>
    </row>
    <row r="197" ht="15.25" spans="1:7">
      <c r="A197" s="81" t="s">
        <v>305</v>
      </c>
      <c r="B197" s="82"/>
      <c r="C197" s="82">
        <f>SUMPRODUCT(C196,B196)</f>
        <v>340</v>
      </c>
      <c r="D197" s="82"/>
      <c r="E197" s="83">
        <f>SUMPRODUCT(E195:E196,B195:B196)</f>
        <v>12140</v>
      </c>
      <c r="F197" s="75"/>
      <c r="G197" s="75"/>
    </row>
    <row r="198" spans="1:7">
      <c r="A198" s="84"/>
      <c r="B198" s="75"/>
      <c r="C198" s="75"/>
      <c r="D198" s="75"/>
      <c r="E198" s="75"/>
      <c r="F198" s="75"/>
      <c r="G198" s="75"/>
    </row>
    <row r="199" ht="15.25" spans="1:8">
      <c r="A199" s="69" t="s">
        <v>316</v>
      </c>
      <c r="B199" s="57"/>
      <c r="C199" s="57"/>
      <c r="D199" s="57"/>
      <c r="E199" s="57"/>
      <c r="F199" s="57"/>
      <c r="G199" s="57"/>
      <c r="H199" s="58"/>
    </row>
    <row r="200" spans="1:7">
      <c r="A200" s="85" t="s">
        <v>264</v>
      </c>
      <c r="B200" s="60" t="s">
        <v>265</v>
      </c>
      <c r="C200" s="60"/>
      <c r="D200" s="60"/>
      <c r="E200" s="60"/>
      <c r="F200" s="60"/>
      <c r="G200" s="60"/>
    </row>
    <row r="201" ht="15.25" spans="1:9">
      <c r="A201" s="95">
        <v>0</v>
      </c>
      <c r="B201" s="86">
        <v>0</v>
      </c>
      <c r="C201" s="87"/>
      <c r="D201" s="87"/>
      <c r="E201" s="87"/>
      <c r="F201" s="87"/>
      <c r="G201" s="87"/>
      <c r="I201" s="33" t="s">
        <v>356</v>
      </c>
    </row>
    <row r="202" spans="1:9">
      <c r="A202" s="88">
        <f>A201/$C197</f>
        <v>0</v>
      </c>
      <c r="B202" s="89">
        <f>B201/$C197</f>
        <v>0</v>
      </c>
      <c r="C202" s="89">
        <f>C201/$C197</f>
        <v>0</v>
      </c>
      <c r="D202" s="89">
        <f>D201/$C197</f>
        <v>0</v>
      </c>
      <c r="E202" s="89">
        <f>E201/$C197</f>
        <v>0</v>
      </c>
      <c r="F202" s="89">
        <f>F201/$C197</f>
        <v>0</v>
      </c>
      <c r="G202" s="89">
        <f>G201/$C197</f>
        <v>0</v>
      </c>
      <c r="I202" s="33" t="s">
        <v>357</v>
      </c>
    </row>
    <row r="203" ht="15.25" spans="1:9">
      <c r="A203" s="90">
        <f>A201/$E197</f>
        <v>0</v>
      </c>
      <c r="B203" s="91">
        <f>B201/$E197</f>
        <v>0</v>
      </c>
      <c r="C203" s="91">
        <f>C201/$E197</f>
        <v>0</v>
      </c>
      <c r="D203" s="91">
        <f>D201/$E197</f>
        <v>0</v>
      </c>
      <c r="E203" s="91">
        <f>E201/$E197</f>
        <v>0</v>
      </c>
      <c r="F203" s="91">
        <f>F201/$E197</f>
        <v>0</v>
      </c>
      <c r="G203" s="91">
        <f>G201/$E197</f>
        <v>0</v>
      </c>
      <c r="I203" s="33" t="s">
        <v>358</v>
      </c>
    </row>
    <row r="204" spans="1:7">
      <c r="A204" s="84"/>
      <c r="B204" s="75"/>
      <c r="C204" s="75"/>
      <c r="D204" s="75"/>
      <c r="E204" s="75"/>
      <c r="F204" s="75"/>
      <c r="G204" s="75"/>
    </row>
    <row r="205" s="32" customFormat="1" spans="1:7">
      <c r="A205" s="73"/>
      <c r="B205" s="74"/>
      <c r="C205" s="74"/>
      <c r="D205" s="74"/>
      <c r="E205" s="74"/>
      <c r="F205" s="74"/>
      <c r="G205" s="74"/>
    </row>
    <row r="206" ht="15.25"/>
    <row r="207" ht="15.25" spans="1:7">
      <c r="A207" s="34" t="s">
        <v>362</v>
      </c>
      <c r="B207" s="35"/>
      <c r="C207" s="35"/>
      <c r="D207" s="35"/>
      <c r="E207" s="36"/>
      <c r="F207" s="37"/>
      <c r="G207" s="75"/>
    </row>
    <row r="208" ht="29.75" spans="1:7">
      <c r="A208" s="76" t="s">
        <v>258</v>
      </c>
      <c r="B208" s="39" t="s">
        <v>301</v>
      </c>
      <c r="C208" s="39" t="s">
        <v>17</v>
      </c>
      <c r="D208" s="39" t="s">
        <v>302</v>
      </c>
      <c r="E208" s="40" t="s">
        <v>303</v>
      </c>
      <c r="F208" s="41"/>
      <c r="G208" s="75"/>
    </row>
    <row r="209" spans="1:7">
      <c r="A209" s="77" t="s">
        <v>368</v>
      </c>
      <c r="B209" s="78">
        <v>2</v>
      </c>
      <c r="C209" s="78">
        <v>6</v>
      </c>
      <c r="D209" s="78">
        <v>24</v>
      </c>
      <c r="E209" s="79">
        <v>120</v>
      </c>
      <c r="F209" s="75"/>
      <c r="G209" s="75"/>
    </row>
    <row r="210" ht="15.25" spans="1:7">
      <c r="A210" s="80" t="s">
        <v>369</v>
      </c>
      <c r="B210" s="43">
        <v>34</v>
      </c>
      <c r="C210" s="43">
        <v>10</v>
      </c>
      <c r="D210" s="43">
        <v>32</v>
      </c>
      <c r="E210" s="44">
        <v>2000</v>
      </c>
      <c r="F210" s="75"/>
      <c r="G210" s="75"/>
    </row>
    <row r="211" ht="15.25" spans="1:7">
      <c r="A211" s="81" t="s">
        <v>305</v>
      </c>
      <c r="B211" s="82"/>
      <c r="C211" s="82">
        <f>SUMPRODUCT(C210,B210)</f>
        <v>340</v>
      </c>
      <c r="D211" s="82"/>
      <c r="E211" s="83">
        <f>SUMPRODUCT(E209:E210,B209:B210)</f>
        <v>68240</v>
      </c>
      <c r="F211" s="75"/>
      <c r="G211" s="75"/>
    </row>
    <row r="212" spans="1:7">
      <c r="A212" s="84"/>
      <c r="B212" s="75"/>
      <c r="C212" s="75"/>
      <c r="D212" s="75"/>
      <c r="E212" s="75"/>
      <c r="F212" s="75"/>
      <c r="G212" s="75"/>
    </row>
    <row r="213" ht="15.25" spans="1:8">
      <c r="A213" s="69" t="s">
        <v>316</v>
      </c>
      <c r="B213" s="57"/>
      <c r="C213" s="57"/>
      <c r="D213" s="57"/>
      <c r="E213" s="57"/>
      <c r="F213" s="57"/>
      <c r="G213" s="57"/>
      <c r="H213" s="58"/>
    </row>
    <row r="214" spans="1:7">
      <c r="A214" s="85" t="s">
        <v>264</v>
      </c>
      <c r="B214" s="60" t="s">
        <v>265</v>
      </c>
      <c r="C214" s="60"/>
      <c r="D214" s="60"/>
      <c r="E214" s="60"/>
      <c r="F214" s="60"/>
      <c r="G214" s="60"/>
    </row>
    <row r="215" ht="15.25" spans="1:9">
      <c r="A215" s="95">
        <v>0</v>
      </c>
      <c r="B215" s="87">
        <v>0</v>
      </c>
      <c r="C215" s="87"/>
      <c r="D215" s="87"/>
      <c r="E215" s="87"/>
      <c r="F215" s="87"/>
      <c r="G215" s="87"/>
      <c r="I215" s="33" t="s">
        <v>356</v>
      </c>
    </row>
    <row r="216" spans="1:9">
      <c r="A216" s="88">
        <f>A215/$C211</f>
        <v>0</v>
      </c>
      <c r="B216" s="89">
        <f>B215/$C211</f>
        <v>0</v>
      </c>
      <c r="C216" s="89">
        <f>C215/$C211</f>
        <v>0</v>
      </c>
      <c r="D216" s="89">
        <f>D215/$C211</f>
        <v>0</v>
      </c>
      <c r="E216" s="89">
        <f>E215/$C211</f>
        <v>0</v>
      </c>
      <c r="F216" s="89">
        <f>F215/$C211</f>
        <v>0</v>
      </c>
      <c r="G216" s="89">
        <f>G215/$C211</f>
        <v>0</v>
      </c>
      <c r="I216" s="33" t="s">
        <v>357</v>
      </c>
    </row>
    <row r="217" ht="15.25" spans="1:9">
      <c r="A217" s="90">
        <f>A215/$E211</f>
        <v>0</v>
      </c>
      <c r="B217" s="91">
        <f>B215/$E211</f>
        <v>0</v>
      </c>
      <c r="C217" s="91">
        <f>C215/$E211</f>
        <v>0</v>
      </c>
      <c r="D217" s="91">
        <f>D215/$E211</f>
        <v>0</v>
      </c>
      <c r="E217" s="91">
        <f>E215/$E211</f>
        <v>0</v>
      </c>
      <c r="F217" s="91">
        <f>F215/$E211</f>
        <v>0</v>
      </c>
      <c r="G217" s="91">
        <f>G215/$E211</f>
        <v>0</v>
      </c>
      <c r="I217" s="33" t="s">
        <v>358</v>
      </c>
    </row>
    <row r="218" spans="1:7">
      <c r="A218" s="84"/>
      <c r="B218" s="75"/>
      <c r="C218" s="75"/>
      <c r="D218" s="75"/>
      <c r="E218" s="75"/>
      <c r="F218" s="75"/>
      <c r="G218" s="75"/>
    </row>
    <row r="219" s="32" customFormat="1" spans="1:7">
      <c r="A219" s="73"/>
      <c r="B219" s="74"/>
      <c r="C219" s="74"/>
      <c r="D219" s="74"/>
      <c r="E219" s="74"/>
      <c r="F219" s="74"/>
      <c r="G219" s="74"/>
    </row>
  </sheetData>
  <mergeCells count="30">
    <mergeCell ref="A1:E1"/>
    <mergeCell ref="A11:G11"/>
    <mergeCell ref="A19:E19"/>
    <mergeCell ref="A30:G30"/>
    <mergeCell ref="A36:E36"/>
    <mergeCell ref="A44:G44"/>
    <mergeCell ref="A50:E50"/>
    <mergeCell ref="A59:G59"/>
    <mergeCell ref="A66:E66"/>
    <mergeCell ref="A72:G72"/>
    <mergeCell ref="A80:E80"/>
    <mergeCell ref="A86:G86"/>
    <mergeCell ref="A94:E94"/>
    <mergeCell ref="A100:G100"/>
    <mergeCell ref="A108:E108"/>
    <mergeCell ref="A113:G113"/>
    <mergeCell ref="A121:E121"/>
    <mergeCell ref="A128:G128"/>
    <mergeCell ref="A136:E136"/>
    <mergeCell ref="A141:G141"/>
    <mergeCell ref="A149:E149"/>
    <mergeCell ref="A154:G154"/>
    <mergeCell ref="A162:E162"/>
    <mergeCell ref="A171:G171"/>
    <mergeCell ref="A179:E179"/>
    <mergeCell ref="A185:G185"/>
    <mergeCell ref="A193:E193"/>
    <mergeCell ref="A199:G199"/>
    <mergeCell ref="A207:E207"/>
    <mergeCell ref="A213:G213"/>
  </mergeCells>
  <pageMargins left="0.7" right="0.7" top="0.75" bottom="0.75" header="0.3" footer="0.3"/>
  <pageSetup paperSize="1" orientation="portrait"/>
  <headerFooter>
    <oddFooter>&amp;L&amp;1#&amp;"Calibri"&amp;7&amp;K000000C2 General</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EO13"/>
  <sheetViews>
    <sheetView zoomScale="80" zoomScaleNormal="80" workbookViewId="0">
      <selection activeCell="A1" sqref="$A1:$XFD1048576"/>
    </sheetView>
  </sheetViews>
  <sheetFormatPr defaultColWidth="13.1363636363636" defaultRowHeight="14.5"/>
  <cols>
    <col min="1" max="10" width="13.1363636363636" style="1"/>
    <col min="11" max="11" width="16.1363636363636" style="1" customWidth="1"/>
    <col min="12" max="12" width="13.1363636363636" style="1" customWidth="1"/>
    <col min="13" max="23" width="13.1363636363636" style="1"/>
    <col min="24" max="24" width="18" style="1" customWidth="1"/>
    <col min="25" max="27" width="13.1363636363636" style="1"/>
    <col min="28" max="29" width="13.1363636363636" style="1" customWidth="1"/>
    <col min="30" max="40" width="13.1363636363636" style="1"/>
    <col min="41" max="41" width="18" style="1" customWidth="1"/>
    <col min="42" max="45" width="13.1363636363636" style="1"/>
    <col min="46" max="46" width="13.1363636363636" style="1" customWidth="1"/>
    <col min="47" max="57" width="13.1363636363636" style="1"/>
    <col min="58" max="58" width="18" style="1" customWidth="1"/>
    <col min="59" max="62" width="13.1363636363636" style="1"/>
    <col min="63" max="63" width="13.1363636363636" style="1" customWidth="1"/>
    <col min="64" max="74" width="13.1363636363636" style="1"/>
    <col min="75" max="75" width="18" style="1" customWidth="1"/>
    <col min="76" max="79" width="13.1363636363636" style="1"/>
    <col min="80" max="80" width="13.1363636363636" style="1" customWidth="1"/>
    <col min="81" max="91" width="13.1363636363636" style="1"/>
    <col min="92" max="92" width="18" style="1" customWidth="1"/>
    <col min="93" max="16384" width="13.1363636363636" style="1"/>
  </cols>
  <sheetData>
    <row r="1" ht="58.5" customHeight="1" spans="1:92">
      <c r="A1" s="2" t="s">
        <v>197</v>
      </c>
      <c r="B1" s="2"/>
      <c r="C1" s="2"/>
      <c r="D1" s="3"/>
      <c r="E1" s="3"/>
      <c r="F1" s="3"/>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ht="58.5" customHeight="1" spans="1:92">
      <c r="A2" s="5" t="s">
        <v>0</v>
      </c>
      <c r="B2" s="5"/>
      <c r="C2" s="6"/>
      <c r="D2" s="7"/>
      <c r="E2" s="3"/>
      <c r="F2" s="3"/>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row>
    <row r="3" ht="18.75" customHeight="1" spans="1:145">
      <c r="A3" s="8" t="s">
        <v>5</v>
      </c>
      <c r="B3" s="9" t="s">
        <v>6</v>
      </c>
      <c r="C3" s="10" t="s">
        <v>2</v>
      </c>
      <c r="D3" s="11"/>
      <c r="E3" s="11"/>
      <c r="F3" s="12"/>
      <c r="G3" s="13" t="s">
        <v>370</v>
      </c>
      <c r="H3" s="14"/>
      <c r="I3" s="22"/>
      <c r="J3" s="22"/>
      <c r="K3" s="14"/>
      <c r="L3" s="14"/>
      <c r="M3" s="14"/>
      <c r="N3" s="14"/>
      <c r="O3" s="14"/>
      <c r="P3" s="14"/>
      <c r="Q3" s="14"/>
      <c r="R3" s="14"/>
      <c r="S3" s="14"/>
      <c r="T3" s="14"/>
      <c r="U3" s="14"/>
      <c r="V3" s="14"/>
      <c r="W3" s="25"/>
      <c r="X3" s="13" t="s">
        <v>371</v>
      </c>
      <c r="Y3" s="14"/>
      <c r="Z3" s="22"/>
      <c r="AA3" s="22"/>
      <c r="AB3" s="14"/>
      <c r="AC3" s="14"/>
      <c r="AD3" s="14"/>
      <c r="AE3" s="14"/>
      <c r="AF3" s="14"/>
      <c r="AG3" s="14"/>
      <c r="AH3" s="14"/>
      <c r="AI3" s="14"/>
      <c r="AJ3" s="14"/>
      <c r="AK3" s="14"/>
      <c r="AL3" s="14"/>
      <c r="AM3" s="14"/>
      <c r="AN3" s="25"/>
      <c r="AO3" s="13" t="s">
        <v>372</v>
      </c>
      <c r="AP3" s="14"/>
      <c r="AQ3" s="22"/>
      <c r="AR3" s="22"/>
      <c r="AS3" s="14"/>
      <c r="AT3" s="14"/>
      <c r="AU3" s="14"/>
      <c r="AV3" s="14"/>
      <c r="AW3" s="14"/>
      <c r="AX3" s="14"/>
      <c r="AY3" s="14"/>
      <c r="AZ3" s="14"/>
      <c r="BA3" s="14"/>
      <c r="BB3" s="14"/>
      <c r="BC3" s="14"/>
      <c r="BD3" s="14"/>
      <c r="BE3" s="25"/>
      <c r="BF3" s="13" t="s">
        <v>373</v>
      </c>
      <c r="BG3" s="14"/>
      <c r="BH3" s="22"/>
      <c r="BI3" s="22"/>
      <c r="BJ3" s="14"/>
      <c r="BK3" s="14"/>
      <c r="BL3" s="14"/>
      <c r="BM3" s="14"/>
      <c r="BN3" s="14"/>
      <c r="BO3" s="14"/>
      <c r="BP3" s="14"/>
      <c r="BQ3" s="14"/>
      <c r="BR3" s="14"/>
      <c r="BS3" s="14"/>
      <c r="BT3" s="14"/>
      <c r="BU3" s="14"/>
      <c r="BV3" s="25"/>
      <c r="BW3" s="13" t="s">
        <v>374</v>
      </c>
      <c r="BX3" s="14"/>
      <c r="BY3" s="22"/>
      <c r="BZ3" s="22"/>
      <c r="CA3" s="14"/>
      <c r="CB3" s="14"/>
      <c r="CC3" s="14"/>
      <c r="CD3" s="14"/>
      <c r="CE3" s="14"/>
      <c r="CF3" s="14"/>
      <c r="CG3" s="14"/>
      <c r="CH3" s="14"/>
      <c r="CI3" s="14"/>
      <c r="CJ3" s="14"/>
      <c r="CK3" s="14"/>
      <c r="CL3" s="14"/>
      <c r="CM3" s="25"/>
      <c r="ED3" s="28" t="s">
        <v>375</v>
      </c>
      <c r="EE3" s="29"/>
      <c r="EF3" s="29"/>
      <c r="EG3" s="29"/>
      <c r="EH3" s="29"/>
      <c r="EI3" s="29"/>
      <c r="EJ3" s="29"/>
      <c r="EK3" s="29"/>
      <c r="EL3" s="29"/>
      <c r="EM3" s="29"/>
      <c r="EN3" s="29"/>
      <c r="EO3" s="31"/>
    </row>
    <row r="4" ht="86.25" customHeight="1" spans="1:144">
      <c r="A4" s="15"/>
      <c r="B4" s="16"/>
      <c r="C4" s="16" t="s">
        <v>9</v>
      </c>
      <c r="D4" s="16" t="s">
        <v>10</v>
      </c>
      <c r="E4" s="16" t="s">
        <v>201</v>
      </c>
      <c r="F4" s="16" t="s">
        <v>12</v>
      </c>
      <c r="G4" s="16" t="s">
        <v>13</v>
      </c>
      <c r="H4" s="16" t="s">
        <v>14</v>
      </c>
      <c r="I4" s="23" t="s">
        <v>202</v>
      </c>
      <c r="J4" s="23" t="s">
        <v>203</v>
      </c>
      <c r="K4" s="16" t="s">
        <v>204</v>
      </c>
      <c r="L4" s="261" t="s">
        <v>18</v>
      </c>
      <c r="M4" s="16" t="s">
        <v>19</v>
      </c>
      <c r="N4" s="16" t="s">
        <v>20</v>
      </c>
      <c r="O4" s="16" t="s">
        <v>21</v>
      </c>
      <c r="P4" s="16" t="s">
        <v>22</v>
      </c>
      <c r="Q4" s="16" t="s">
        <v>23</v>
      </c>
      <c r="R4" s="16" t="s">
        <v>24</v>
      </c>
      <c r="S4" s="16" t="s">
        <v>25</v>
      </c>
      <c r="T4" s="16" t="s">
        <v>26</v>
      </c>
      <c r="U4" s="16" t="s">
        <v>27</v>
      </c>
      <c r="V4" s="16" t="s">
        <v>28</v>
      </c>
      <c r="W4" s="16" t="s">
        <v>29</v>
      </c>
      <c r="X4" s="16" t="s">
        <v>13</v>
      </c>
      <c r="Y4" s="16" t="s">
        <v>14</v>
      </c>
      <c r="Z4" s="23" t="s">
        <v>202</v>
      </c>
      <c r="AA4" s="23" t="s">
        <v>203</v>
      </c>
      <c r="AB4" s="16" t="s">
        <v>204</v>
      </c>
      <c r="AC4" s="261" t="s">
        <v>18</v>
      </c>
      <c r="AD4" s="16" t="s">
        <v>19</v>
      </c>
      <c r="AE4" s="16" t="s">
        <v>20</v>
      </c>
      <c r="AF4" s="16" t="s">
        <v>21</v>
      </c>
      <c r="AG4" s="16" t="s">
        <v>22</v>
      </c>
      <c r="AH4" s="16" t="s">
        <v>23</v>
      </c>
      <c r="AI4" s="16" t="s">
        <v>24</v>
      </c>
      <c r="AJ4" s="16" t="s">
        <v>25</v>
      </c>
      <c r="AK4" s="16" t="s">
        <v>26</v>
      </c>
      <c r="AL4" s="16" t="s">
        <v>27</v>
      </c>
      <c r="AM4" s="16" t="s">
        <v>28</v>
      </c>
      <c r="AN4" s="16" t="s">
        <v>29</v>
      </c>
      <c r="AO4" s="16" t="s">
        <v>13</v>
      </c>
      <c r="AP4" s="16" t="s">
        <v>14</v>
      </c>
      <c r="AQ4" s="23" t="s">
        <v>202</v>
      </c>
      <c r="AR4" s="23" t="s">
        <v>203</v>
      </c>
      <c r="AS4" s="16" t="s">
        <v>204</v>
      </c>
      <c r="AT4" s="261" t="s">
        <v>18</v>
      </c>
      <c r="AU4" s="16" t="s">
        <v>19</v>
      </c>
      <c r="AV4" s="16" t="s">
        <v>20</v>
      </c>
      <c r="AW4" s="16" t="s">
        <v>21</v>
      </c>
      <c r="AX4" s="16" t="s">
        <v>22</v>
      </c>
      <c r="AY4" s="16" t="s">
        <v>23</v>
      </c>
      <c r="AZ4" s="16" t="s">
        <v>24</v>
      </c>
      <c r="BA4" s="16" t="s">
        <v>25</v>
      </c>
      <c r="BB4" s="16" t="s">
        <v>26</v>
      </c>
      <c r="BC4" s="16" t="s">
        <v>27</v>
      </c>
      <c r="BD4" s="16" t="s">
        <v>28</v>
      </c>
      <c r="BE4" s="16" t="s">
        <v>29</v>
      </c>
      <c r="BF4" s="16" t="s">
        <v>13</v>
      </c>
      <c r="BG4" s="16" t="s">
        <v>14</v>
      </c>
      <c r="BH4" s="23" t="s">
        <v>202</v>
      </c>
      <c r="BI4" s="23" t="s">
        <v>203</v>
      </c>
      <c r="BJ4" s="16" t="s">
        <v>204</v>
      </c>
      <c r="BK4" s="261" t="s">
        <v>18</v>
      </c>
      <c r="BL4" s="16" t="s">
        <v>19</v>
      </c>
      <c r="BM4" s="16" t="s">
        <v>20</v>
      </c>
      <c r="BN4" s="16" t="s">
        <v>21</v>
      </c>
      <c r="BO4" s="16" t="s">
        <v>22</v>
      </c>
      <c r="BP4" s="16" t="s">
        <v>23</v>
      </c>
      <c r="BQ4" s="16" t="s">
        <v>24</v>
      </c>
      <c r="BR4" s="16" t="s">
        <v>25</v>
      </c>
      <c r="BS4" s="16" t="s">
        <v>26</v>
      </c>
      <c r="BT4" s="16" t="s">
        <v>27</v>
      </c>
      <c r="BU4" s="16" t="s">
        <v>28</v>
      </c>
      <c r="BV4" s="16" t="s">
        <v>29</v>
      </c>
      <c r="BW4" s="16" t="s">
        <v>13</v>
      </c>
      <c r="BX4" s="16" t="s">
        <v>14</v>
      </c>
      <c r="BY4" s="23" t="s">
        <v>202</v>
      </c>
      <c r="BZ4" s="23" t="s">
        <v>203</v>
      </c>
      <c r="CA4" s="16" t="s">
        <v>204</v>
      </c>
      <c r="CB4" s="261" t="s">
        <v>18</v>
      </c>
      <c r="CC4" s="16" t="s">
        <v>19</v>
      </c>
      <c r="CD4" s="16" t="s">
        <v>20</v>
      </c>
      <c r="CE4" s="16" t="s">
        <v>21</v>
      </c>
      <c r="CF4" s="16" t="s">
        <v>22</v>
      </c>
      <c r="CG4" s="16" t="s">
        <v>23</v>
      </c>
      <c r="CH4" s="16" t="s">
        <v>24</v>
      </c>
      <c r="CI4" s="16" t="s">
        <v>25</v>
      </c>
      <c r="CJ4" s="16" t="s">
        <v>26</v>
      </c>
      <c r="CK4" s="16" t="s">
        <v>27</v>
      </c>
      <c r="CL4" s="16" t="s">
        <v>28</v>
      </c>
      <c r="CM4" s="16" t="s">
        <v>29</v>
      </c>
      <c r="EC4" s="30" t="s">
        <v>376</v>
      </c>
      <c r="ED4" s="30" t="s">
        <v>377</v>
      </c>
      <c r="EE4" s="30" t="s">
        <v>378</v>
      </c>
      <c r="EF4" s="30" t="s">
        <v>379</v>
      </c>
      <c r="EG4" s="30" t="s">
        <v>302</v>
      </c>
      <c r="EH4" s="30" t="s">
        <v>303</v>
      </c>
      <c r="EI4" s="30" t="s">
        <v>380</v>
      </c>
      <c r="EJ4" s="30" t="s">
        <v>381</v>
      </c>
      <c r="EK4" s="30" t="s">
        <v>24</v>
      </c>
      <c r="EL4" s="30" t="s">
        <v>382</v>
      </c>
      <c r="EM4" s="30" t="s">
        <v>383</v>
      </c>
      <c r="EN4" s="30" t="s">
        <v>384</v>
      </c>
    </row>
    <row r="5" ht="43.5" spans="1:91">
      <c r="A5" s="17" t="s">
        <v>385</v>
      </c>
      <c r="B5" s="18" t="s">
        <v>386</v>
      </c>
      <c r="C5" s="19" t="s">
        <v>387</v>
      </c>
      <c r="D5" s="19" t="s">
        <v>387</v>
      </c>
      <c r="E5" s="19" t="s">
        <v>387</v>
      </c>
      <c r="F5" s="19" t="s">
        <v>387</v>
      </c>
      <c r="G5" s="20" t="s">
        <v>387</v>
      </c>
      <c r="H5" s="20" t="s">
        <v>387</v>
      </c>
      <c r="I5" s="20" t="s">
        <v>387</v>
      </c>
      <c r="J5" s="20" t="s">
        <v>387</v>
      </c>
      <c r="K5" s="20" t="s">
        <v>387</v>
      </c>
      <c r="L5" s="20" t="s">
        <v>387</v>
      </c>
      <c r="M5" s="20" t="s">
        <v>387</v>
      </c>
      <c r="N5" s="20" t="s">
        <v>387</v>
      </c>
      <c r="O5" s="20" t="s">
        <v>387</v>
      </c>
      <c r="P5" s="20" t="s">
        <v>387</v>
      </c>
      <c r="Q5" s="20" t="s">
        <v>387</v>
      </c>
      <c r="R5" s="20" t="s">
        <v>387</v>
      </c>
      <c r="S5" s="20" t="s">
        <v>387</v>
      </c>
      <c r="T5" s="20" t="s">
        <v>387</v>
      </c>
      <c r="U5" s="20" t="s">
        <v>387</v>
      </c>
      <c r="V5" s="20" t="s">
        <v>387</v>
      </c>
      <c r="W5" s="20" t="s">
        <v>387</v>
      </c>
      <c r="X5" s="20" t="s">
        <v>387</v>
      </c>
      <c r="Y5" s="20" t="s">
        <v>387</v>
      </c>
      <c r="Z5" s="20" t="s">
        <v>387</v>
      </c>
      <c r="AA5" s="20" t="s">
        <v>387</v>
      </c>
      <c r="AB5" s="20" t="s">
        <v>387</v>
      </c>
      <c r="AC5" s="20" t="s">
        <v>387</v>
      </c>
      <c r="AD5" s="20" t="s">
        <v>387</v>
      </c>
      <c r="AE5" s="20" t="s">
        <v>387</v>
      </c>
      <c r="AF5" s="20" t="s">
        <v>387</v>
      </c>
      <c r="AG5" s="20" t="s">
        <v>387</v>
      </c>
      <c r="AH5" s="20" t="s">
        <v>387</v>
      </c>
      <c r="AI5" s="20" t="s">
        <v>387</v>
      </c>
      <c r="AJ5" s="20" t="s">
        <v>387</v>
      </c>
      <c r="AK5" s="20" t="s">
        <v>387</v>
      </c>
      <c r="AL5" s="20" t="s">
        <v>387</v>
      </c>
      <c r="AM5" s="20" t="s">
        <v>387</v>
      </c>
      <c r="AN5" s="20" t="s">
        <v>387</v>
      </c>
      <c r="AO5" s="20" t="s">
        <v>387</v>
      </c>
      <c r="AP5" s="20" t="s">
        <v>387</v>
      </c>
      <c r="AQ5" s="20" t="s">
        <v>387</v>
      </c>
      <c r="AR5" s="20" t="s">
        <v>387</v>
      </c>
      <c r="AS5" s="20" t="s">
        <v>387</v>
      </c>
      <c r="AT5" s="20" t="s">
        <v>387</v>
      </c>
      <c r="AU5" s="20" t="s">
        <v>387</v>
      </c>
      <c r="AV5" s="20" t="s">
        <v>387</v>
      </c>
      <c r="AW5" s="20" t="s">
        <v>387</v>
      </c>
      <c r="AX5" s="20" t="s">
        <v>387</v>
      </c>
      <c r="AY5" s="20" t="s">
        <v>387</v>
      </c>
      <c r="AZ5" s="20" t="s">
        <v>387</v>
      </c>
      <c r="BA5" s="20" t="s">
        <v>387</v>
      </c>
      <c r="BB5" s="20" t="s">
        <v>387</v>
      </c>
      <c r="BC5" s="20" t="s">
        <v>387</v>
      </c>
      <c r="BD5" s="20" t="s">
        <v>387</v>
      </c>
      <c r="BE5" s="20" t="s">
        <v>387</v>
      </c>
      <c r="BF5" s="20" t="s">
        <v>387</v>
      </c>
      <c r="BG5" s="20" t="s">
        <v>387</v>
      </c>
      <c r="BH5" s="20" t="s">
        <v>387</v>
      </c>
      <c r="BI5" s="20" t="s">
        <v>387</v>
      </c>
      <c r="BJ5" s="20" t="s">
        <v>387</v>
      </c>
      <c r="BK5" s="20" t="s">
        <v>387</v>
      </c>
      <c r="BL5" s="20" t="s">
        <v>387</v>
      </c>
      <c r="BM5" s="20" t="s">
        <v>387</v>
      </c>
      <c r="BN5" s="20" t="s">
        <v>387</v>
      </c>
      <c r="BO5" s="20" t="s">
        <v>387</v>
      </c>
      <c r="BP5" s="20" t="s">
        <v>387</v>
      </c>
      <c r="BQ5" s="20" t="s">
        <v>387</v>
      </c>
      <c r="BR5" s="20" t="s">
        <v>387</v>
      </c>
      <c r="BS5" s="20" t="s">
        <v>387</v>
      </c>
      <c r="BT5" s="20" t="s">
        <v>387</v>
      </c>
      <c r="BU5" s="20" t="s">
        <v>387</v>
      </c>
      <c r="BV5" s="20" t="s">
        <v>387</v>
      </c>
      <c r="BW5" s="20" t="s">
        <v>387</v>
      </c>
      <c r="BX5" s="20" t="s">
        <v>387</v>
      </c>
      <c r="BY5" s="20" t="s">
        <v>387</v>
      </c>
      <c r="BZ5" s="20" t="s">
        <v>387</v>
      </c>
      <c r="CA5" s="20" t="s">
        <v>387</v>
      </c>
      <c r="CB5" s="20" t="s">
        <v>387</v>
      </c>
      <c r="CC5" s="20" t="s">
        <v>387</v>
      </c>
      <c r="CD5" s="20" t="s">
        <v>387</v>
      </c>
      <c r="CE5" s="20" t="s">
        <v>387</v>
      </c>
      <c r="CF5" s="20" t="s">
        <v>387</v>
      </c>
      <c r="CG5" s="20" t="s">
        <v>387</v>
      </c>
      <c r="CH5" s="20" t="s">
        <v>387</v>
      </c>
      <c r="CI5" s="20" t="s">
        <v>387</v>
      </c>
      <c r="CJ5" s="20" t="s">
        <v>387</v>
      </c>
      <c r="CK5" s="20" t="s">
        <v>387</v>
      </c>
      <c r="CL5" s="20" t="s">
        <v>387</v>
      </c>
      <c r="CM5" s="20" t="s">
        <v>387</v>
      </c>
    </row>
    <row r="6" ht="43.5" spans="1:91">
      <c r="A6" s="17" t="s">
        <v>385</v>
      </c>
      <c r="B6" s="18" t="s">
        <v>388</v>
      </c>
      <c r="C6" s="20" t="s">
        <v>387</v>
      </c>
      <c r="D6" s="20" t="s">
        <v>387</v>
      </c>
      <c r="E6" s="20" t="s">
        <v>387</v>
      </c>
      <c r="F6" s="20" t="s">
        <v>387</v>
      </c>
      <c r="G6" s="20" t="s">
        <v>387</v>
      </c>
      <c r="H6" s="20" t="s">
        <v>387</v>
      </c>
      <c r="I6" s="20" t="s">
        <v>387</v>
      </c>
      <c r="J6" s="20" t="s">
        <v>387</v>
      </c>
      <c r="K6" s="20" t="s">
        <v>387</v>
      </c>
      <c r="L6" s="20" t="s">
        <v>387</v>
      </c>
      <c r="M6" s="20" t="s">
        <v>387</v>
      </c>
      <c r="N6" s="20" t="s">
        <v>387</v>
      </c>
      <c r="O6" s="20" t="s">
        <v>387</v>
      </c>
      <c r="P6" s="20" t="s">
        <v>387</v>
      </c>
      <c r="Q6" s="20" t="s">
        <v>387</v>
      </c>
      <c r="R6" s="20" t="s">
        <v>387</v>
      </c>
      <c r="S6" s="20" t="s">
        <v>387</v>
      </c>
      <c r="T6" s="20" t="s">
        <v>387</v>
      </c>
      <c r="U6" s="20" t="s">
        <v>387</v>
      </c>
      <c r="V6" s="20" t="s">
        <v>387</v>
      </c>
      <c r="W6" s="20" t="s">
        <v>387</v>
      </c>
      <c r="X6" s="20" t="s">
        <v>387</v>
      </c>
      <c r="Y6" s="20" t="s">
        <v>387</v>
      </c>
      <c r="Z6" s="20" t="s">
        <v>387</v>
      </c>
      <c r="AA6" s="20" t="s">
        <v>387</v>
      </c>
      <c r="AB6" s="20" t="s">
        <v>387</v>
      </c>
      <c r="AC6" s="20" t="s">
        <v>387</v>
      </c>
      <c r="AD6" s="20" t="s">
        <v>387</v>
      </c>
      <c r="AE6" s="20" t="s">
        <v>387</v>
      </c>
      <c r="AF6" s="20" t="s">
        <v>387</v>
      </c>
      <c r="AG6" s="20" t="s">
        <v>387</v>
      </c>
      <c r="AH6" s="20" t="s">
        <v>387</v>
      </c>
      <c r="AI6" s="20" t="s">
        <v>387</v>
      </c>
      <c r="AJ6" s="20" t="s">
        <v>387</v>
      </c>
      <c r="AK6" s="20" t="s">
        <v>387</v>
      </c>
      <c r="AL6" s="20" t="s">
        <v>387</v>
      </c>
      <c r="AM6" s="20" t="s">
        <v>387</v>
      </c>
      <c r="AN6" s="20" t="s">
        <v>387</v>
      </c>
      <c r="AO6" s="20" t="s">
        <v>387</v>
      </c>
      <c r="AP6" s="20" t="s">
        <v>387</v>
      </c>
      <c r="AQ6" s="20" t="s">
        <v>387</v>
      </c>
      <c r="AR6" s="20" t="s">
        <v>387</v>
      </c>
      <c r="AS6" s="20" t="s">
        <v>387</v>
      </c>
      <c r="AT6" s="20" t="s">
        <v>387</v>
      </c>
      <c r="AU6" s="20" t="s">
        <v>387</v>
      </c>
      <c r="AV6" s="20" t="s">
        <v>387</v>
      </c>
      <c r="AW6" s="20" t="s">
        <v>387</v>
      </c>
      <c r="AX6" s="20" t="s">
        <v>387</v>
      </c>
      <c r="AY6" s="20" t="s">
        <v>387</v>
      </c>
      <c r="AZ6" s="20" t="s">
        <v>387</v>
      </c>
      <c r="BA6" s="20" t="s">
        <v>387</v>
      </c>
      <c r="BB6" s="20" t="s">
        <v>387</v>
      </c>
      <c r="BC6" s="20" t="s">
        <v>387</v>
      </c>
      <c r="BD6" s="20" t="s">
        <v>387</v>
      </c>
      <c r="BE6" s="20" t="s">
        <v>387</v>
      </c>
      <c r="BF6" s="20" t="s">
        <v>387</v>
      </c>
      <c r="BG6" s="20" t="s">
        <v>387</v>
      </c>
      <c r="BH6" s="20" t="s">
        <v>387</v>
      </c>
      <c r="BI6" s="20" t="s">
        <v>387</v>
      </c>
      <c r="BJ6" s="20" t="s">
        <v>387</v>
      </c>
      <c r="BK6" s="20" t="s">
        <v>387</v>
      </c>
      <c r="BL6" s="20" t="s">
        <v>387</v>
      </c>
      <c r="BM6" s="20" t="s">
        <v>387</v>
      </c>
      <c r="BN6" s="20" t="s">
        <v>387</v>
      </c>
      <c r="BO6" s="20" t="s">
        <v>387</v>
      </c>
      <c r="BP6" s="20" t="s">
        <v>387</v>
      </c>
      <c r="BQ6" s="20" t="s">
        <v>387</v>
      </c>
      <c r="BR6" s="20" t="s">
        <v>387</v>
      </c>
      <c r="BS6" s="20" t="s">
        <v>387</v>
      </c>
      <c r="BT6" s="20" t="s">
        <v>387</v>
      </c>
      <c r="BU6" s="20" t="s">
        <v>387</v>
      </c>
      <c r="BV6" s="20" t="s">
        <v>387</v>
      </c>
      <c r="BW6" s="20" t="s">
        <v>387</v>
      </c>
      <c r="BX6" s="20" t="s">
        <v>387</v>
      </c>
      <c r="BY6" s="20" t="s">
        <v>387</v>
      </c>
      <c r="BZ6" s="20" t="s">
        <v>387</v>
      </c>
      <c r="CA6" s="20" t="s">
        <v>387</v>
      </c>
      <c r="CB6" s="20" t="s">
        <v>387</v>
      </c>
      <c r="CC6" s="20" t="s">
        <v>387</v>
      </c>
      <c r="CD6" s="20" t="s">
        <v>387</v>
      </c>
      <c r="CE6" s="20" t="s">
        <v>387</v>
      </c>
      <c r="CF6" s="20" t="s">
        <v>387</v>
      </c>
      <c r="CG6" s="20" t="s">
        <v>387</v>
      </c>
      <c r="CH6" s="20" t="s">
        <v>387</v>
      </c>
      <c r="CI6" s="20" t="s">
        <v>387</v>
      </c>
      <c r="CJ6" s="20" t="s">
        <v>387</v>
      </c>
      <c r="CK6" s="20" t="s">
        <v>387</v>
      </c>
      <c r="CL6" s="20" t="s">
        <v>387</v>
      </c>
      <c r="CM6" s="20" t="s">
        <v>387</v>
      </c>
    </row>
    <row r="7" ht="43.5" spans="1:91">
      <c r="A7" s="17" t="s">
        <v>389</v>
      </c>
      <c r="B7" s="18" t="s">
        <v>386</v>
      </c>
      <c r="C7" s="20" t="s">
        <v>387</v>
      </c>
      <c r="D7" s="20" t="s">
        <v>387</v>
      </c>
      <c r="E7" s="20" t="s">
        <v>387</v>
      </c>
      <c r="F7" s="20" t="s">
        <v>387</v>
      </c>
      <c r="G7" s="20" t="s">
        <v>387</v>
      </c>
      <c r="H7" s="20" t="s">
        <v>387</v>
      </c>
      <c r="I7" s="20" t="s">
        <v>387</v>
      </c>
      <c r="J7" s="20" t="s">
        <v>387</v>
      </c>
      <c r="K7" s="20" t="s">
        <v>387</v>
      </c>
      <c r="L7" s="20" t="s">
        <v>387</v>
      </c>
      <c r="M7" s="20" t="s">
        <v>387</v>
      </c>
      <c r="N7" s="20" t="s">
        <v>387</v>
      </c>
      <c r="O7" s="20" t="s">
        <v>387</v>
      </c>
      <c r="P7" s="20" t="s">
        <v>387</v>
      </c>
      <c r="Q7" s="20" t="s">
        <v>387</v>
      </c>
      <c r="R7" s="20" t="s">
        <v>387</v>
      </c>
      <c r="S7" s="20" t="s">
        <v>387</v>
      </c>
      <c r="T7" s="20" t="s">
        <v>387</v>
      </c>
      <c r="U7" s="20" t="s">
        <v>387</v>
      </c>
      <c r="V7" s="20" t="s">
        <v>387</v>
      </c>
      <c r="W7" s="20" t="s">
        <v>387</v>
      </c>
      <c r="X7" s="20" t="s">
        <v>387</v>
      </c>
      <c r="Y7" s="20" t="s">
        <v>387</v>
      </c>
      <c r="Z7" s="20" t="s">
        <v>387</v>
      </c>
      <c r="AA7" s="20" t="s">
        <v>387</v>
      </c>
      <c r="AB7" s="20" t="s">
        <v>387</v>
      </c>
      <c r="AC7" s="20" t="s">
        <v>387</v>
      </c>
      <c r="AD7" s="20" t="s">
        <v>387</v>
      </c>
      <c r="AE7" s="20" t="s">
        <v>387</v>
      </c>
      <c r="AF7" s="20" t="s">
        <v>387</v>
      </c>
      <c r="AG7" s="20" t="s">
        <v>387</v>
      </c>
      <c r="AH7" s="20" t="s">
        <v>387</v>
      </c>
      <c r="AI7" s="20" t="s">
        <v>387</v>
      </c>
      <c r="AJ7" s="20" t="s">
        <v>387</v>
      </c>
      <c r="AK7" s="20" t="s">
        <v>387</v>
      </c>
      <c r="AL7" s="20" t="s">
        <v>387</v>
      </c>
      <c r="AM7" s="20" t="s">
        <v>387</v>
      </c>
      <c r="AN7" s="20" t="s">
        <v>387</v>
      </c>
      <c r="AO7" s="20" t="s">
        <v>387</v>
      </c>
      <c r="AP7" s="20" t="s">
        <v>387</v>
      </c>
      <c r="AQ7" s="20" t="s">
        <v>387</v>
      </c>
      <c r="AR7" s="20" t="s">
        <v>387</v>
      </c>
      <c r="AS7" s="20" t="s">
        <v>387</v>
      </c>
      <c r="AT7" s="20" t="s">
        <v>387</v>
      </c>
      <c r="AU7" s="20" t="s">
        <v>387</v>
      </c>
      <c r="AV7" s="20" t="s">
        <v>387</v>
      </c>
      <c r="AW7" s="20" t="s">
        <v>387</v>
      </c>
      <c r="AX7" s="20" t="s">
        <v>387</v>
      </c>
      <c r="AY7" s="20" t="s">
        <v>387</v>
      </c>
      <c r="AZ7" s="20" t="s">
        <v>387</v>
      </c>
      <c r="BA7" s="20" t="s">
        <v>387</v>
      </c>
      <c r="BB7" s="20" t="s">
        <v>387</v>
      </c>
      <c r="BC7" s="20" t="s">
        <v>387</v>
      </c>
      <c r="BD7" s="20" t="s">
        <v>387</v>
      </c>
      <c r="BE7" s="20" t="s">
        <v>387</v>
      </c>
      <c r="BF7" s="20" t="s">
        <v>387</v>
      </c>
      <c r="BG7" s="20" t="s">
        <v>387</v>
      </c>
      <c r="BH7" s="20" t="s">
        <v>387</v>
      </c>
      <c r="BI7" s="20" t="s">
        <v>387</v>
      </c>
      <c r="BJ7" s="20" t="s">
        <v>387</v>
      </c>
      <c r="BK7" s="20" t="s">
        <v>387</v>
      </c>
      <c r="BL7" s="20" t="s">
        <v>387</v>
      </c>
      <c r="BM7" s="20" t="s">
        <v>387</v>
      </c>
      <c r="BN7" s="20" t="s">
        <v>387</v>
      </c>
      <c r="BO7" s="20" t="s">
        <v>387</v>
      </c>
      <c r="BP7" s="20" t="s">
        <v>387</v>
      </c>
      <c r="BQ7" s="20" t="s">
        <v>387</v>
      </c>
      <c r="BR7" s="20" t="s">
        <v>387</v>
      </c>
      <c r="BS7" s="20" t="s">
        <v>387</v>
      </c>
      <c r="BT7" s="20" t="s">
        <v>387</v>
      </c>
      <c r="BU7" s="20" t="s">
        <v>387</v>
      </c>
      <c r="BV7" s="20" t="s">
        <v>387</v>
      </c>
      <c r="BW7" s="20" t="s">
        <v>387</v>
      </c>
      <c r="BX7" s="20" t="s">
        <v>387</v>
      </c>
      <c r="BY7" s="20" t="s">
        <v>387</v>
      </c>
      <c r="BZ7" s="20" t="s">
        <v>387</v>
      </c>
      <c r="CA7" s="20" t="s">
        <v>387</v>
      </c>
      <c r="CB7" s="20" t="s">
        <v>387</v>
      </c>
      <c r="CC7" s="20" t="s">
        <v>387</v>
      </c>
      <c r="CD7" s="20" t="s">
        <v>387</v>
      </c>
      <c r="CE7" s="20" t="s">
        <v>387</v>
      </c>
      <c r="CF7" s="20" t="s">
        <v>387</v>
      </c>
      <c r="CG7" s="20" t="s">
        <v>387</v>
      </c>
      <c r="CH7" s="20" t="s">
        <v>387</v>
      </c>
      <c r="CI7" s="20" t="s">
        <v>387</v>
      </c>
      <c r="CJ7" s="20" t="s">
        <v>387</v>
      </c>
      <c r="CK7" s="20" t="s">
        <v>387</v>
      </c>
      <c r="CL7" s="20" t="s">
        <v>387</v>
      </c>
      <c r="CM7" s="20" t="s">
        <v>387</v>
      </c>
    </row>
    <row r="8" ht="43.5" spans="1:91">
      <c r="A8" s="17" t="s">
        <v>390</v>
      </c>
      <c r="B8" s="18" t="s">
        <v>386</v>
      </c>
      <c r="C8" s="20" t="s">
        <v>387</v>
      </c>
      <c r="D8" s="20" t="s">
        <v>387</v>
      </c>
      <c r="E8" s="20" t="s">
        <v>387</v>
      </c>
      <c r="F8" s="20" t="s">
        <v>387</v>
      </c>
      <c r="G8" s="20" t="s">
        <v>387</v>
      </c>
      <c r="H8" s="20" t="s">
        <v>387</v>
      </c>
      <c r="I8" s="20" t="s">
        <v>387</v>
      </c>
      <c r="J8" s="20" t="s">
        <v>387</v>
      </c>
      <c r="K8" s="20" t="s">
        <v>387</v>
      </c>
      <c r="L8" s="20" t="s">
        <v>387</v>
      </c>
      <c r="M8" s="20" t="s">
        <v>387</v>
      </c>
      <c r="N8" s="20" t="s">
        <v>387</v>
      </c>
      <c r="O8" s="20" t="s">
        <v>387</v>
      </c>
      <c r="P8" s="20" t="s">
        <v>387</v>
      </c>
      <c r="Q8" s="20" t="s">
        <v>387</v>
      </c>
      <c r="R8" s="20" t="s">
        <v>387</v>
      </c>
      <c r="S8" s="20" t="s">
        <v>387</v>
      </c>
      <c r="T8" s="20" t="s">
        <v>387</v>
      </c>
      <c r="U8" s="20" t="s">
        <v>387</v>
      </c>
      <c r="V8" s="20" t="s">
        <v>387</v>
      </c>
      <c r="W8" s="20" t="s">
        <v>387</v>
      </c>
      <c r="X8" s="20" t="s">
        <v>387</v>
      </c>
      <c r="Y8" s="20" t="s">
        <v>387</v>
      </c>
      <c r="Z8" s="20" t="s">
        <v>387</v>
      </c>
      <c r="AA8" s="20" t="s">
        <v>387</v>
      </c>
      <c r="AB8" s="20" t="s">
        <v>387</v>
      </c>
      <c r="AC8" s="20" t="s">
        <v>387</v>
      </c>
      <c r="AD8" s="20" t="s">
        <v>387</v>
      </c>
      <c r="AE8" s="20" t="s">
        <v>387</v>
      </c>
      <c r="AF8" s="20" t="s">
        <v>387</v>
      </c>
      <c r="AG8" s="20" t="s">
        <v>387</v>
      </c>
      <c r="AH8" s="20" t="s">
        <v>387</v>
      </c>
      <c r="AI8" s="20" t="s">
        <v>387</v>
      </c>
      <c r="AJ8" s="20" t="s">
        <v>387</v>
      </c>
      <c r="AK8" s="20" t="s">
        <v>387</v>
      </c>
      <c r="AL8" s="20" t="s">
        <v>387</v>
      </c>
      <c r="AM8" s="20" t="s">
        <v>387</v>
      </c>
      <c r="AN8" s="20" t="s">
        <v>387</v>
      </c>
      <c r="AO8" s="20" t="s">
        <v>387</v>
      </c>
      <c r="AP8" s="20" t="s">
        <v>387</v>
      </c>
      <c r="AQ8" s="20" t="s">
        <v>387</v>
      </c>
      <c r="AR8" s="20" t="s">
        <v>387</v>
      </c>
      <c r="AS8" s="20" t="s">
        <v>387</v>
      </c>
      <c r="AT8" s="20" t="s">
        <v>387</v>
      </c>
      <c r="AU8" s="20" t="s">
        <v>387</v>
      </c>
      <c r="AV8" s="20" t="s">
        <v>387</v>
      </c>
      <c r="AW8" s="20" t="s">
        <v>387</v>
      </c>
      <c r="AX8" s="20" t="s">
        <v>387</v>
      </c>
      <c r="AY8" s="20" t="s">
        <v>387</v>
      </c>
      <c r="AZ8" s="20" t="s">
        <v>387</v>
      </c>
      <c r="BA8" s="20" t="s">
        <v>387</v>
      </c>
      <c r="BB8" s="20" t="s">
        <v>387</v>
      </c>
      <c r="BC8" s="20" t="s">
        <v>387</v>
      </c>
      <c r="BD8" s="20" t="s">
        <v>387</v>
      </c>
      <c r="BE8" s="20" t="s">
        <v>387</v>
      </c>
      <c r="BF8" s="20" t="s">
        <v>387</v>
      </c>
      <c r="BG8" s="20" t="s">
        <v>387</v>
      </c>
      <c r="BH8" s="20" t="s">
        <v>387</v>
      </c>
      <c r="BI8" s="20" t="s">
        <v>387</v>
      </c>
      <c r="BJ8" s="20" t="s">
        <v>387</v>
      </c>
      <c r="BK8" s="20" t="s">
        <v>387</v>
      </c>
      <c r="BL8" s="20" t="s">
        <v>387</v>
      </c>
      <c r="BM8" s="20" t="s">
        <v>387</v>
      </c>
      <c r="BN8" s="20" t="s">
        <v>387</v>
      </c>
      <c r="BO8" s="20" t="s">
        <v>387</v>
      </c>
      <c r="BP8" s="20" t="s">
        <v>387</v>
      </c>
      <c r="BQ8" s="20" t="s">
        <v>387</v>
      </c>
      <c r="BR8" s="20" t="s">
        <v>387</v>
      </c>
      <c r="BS8" s="20" t="s">
        <v>387</v>
      </c>
      <c r="BT8" s="20" t="s">
        <v>387</v>
      </c>
      <c r="BU8" s="20" t="s">
        <v>387</v>
      </c>
      <c r="BV8" s="20" t="s">
        <v>387</v>
      </c>
      <c r="BW8" s="20" t="s">
        <v>387</v>
      </c>
      <c r="BX8" s="20" t="s">
        <v>387</v>
      </c>
      <c r="BY8" s="20" t="s">
        <v>387</v>
      </c>
      <c r="BZ8" s="20" t="s">
        <v>387</v>
      </c>
      <c r="CA8" s="20" t="s">
        <v>387</v>
      </c>
      <c r="CB8" s="20" t="s">
        <v>387</v>
      </c>
      <c r="CC8" s="20" t="s">
        <v>387</v>
      </c>
      <c r="CD8" s="20" t="s">
        <v>387</v>
      </c>
      <c r="CE8" s="20" t="s">
        <v>387</v>
      </c>
      <c r="CF8" s="20" t="s">
        <v>387</v>
      </c>
      <c r="CG8" s="20" t="s">
        <v>387</v>
      </c>
      <c r="CH8" s="20" t="s">
        <v>387</v>
      </c>
      <c r="CI8" s="20" t="s">
        <v>387</v>
      </c>
      <c r="CJ8" s="20" t="s">
        <v>387</v>
      </c>
      <c r="CK8" s="20" t="s">
        <v>387</v>
      </c>
      <c r="CL8" s="20" t="s">
        <v>387</v>
      </c>
      <c r="CM8" s="20" t="s">
        <v>387</v>
      </c>
    </row>
    <row r="9" ht="15.5" spans="1:91">
      <c r="A9" s="17"/>
      <c r="B9" s="18"/>
      <c r="C9" s="18"/>
      <c r="D9" s="18"/>
      <c r="E9" s="18"/>
      <c r="F9" s="18"/>
      <c r="G9" s="18"/>
      <c r="H9" s="21"/>
      <c r="I9" s="21"/>
      <c r="J9" s="21"/>
      <c r="K9" s="21"/>
      <c r="L9" s="21"/>
      <c r="M9" s="21"/>
      <c r="N9" s="21"/>
      <c r="O9" s="21"/>
      <c r="P9" s="21"/>
      <c r="Q9" s="21"/>
      <c r="R9" s="21"/>
      <c r="S9" s="21"/>
      <c r="T9" s="21"/>
      <c r="U9" s="21"/>
      <c r="V9" s="21"/>
      <c r="W9" s="21"/>
      <c r="X9" s="18"/>
      <c r="Y9" s="21"/>
      <c r="Z9" s="21"/>
      <c r="AA9" s="21"/>
      <c r="AB9" s="21"/>
      <c r="AC9" s="21"/>
      <c r="AD9" s="21"/>
      <c r="AE9" s="21"/>
      <c r="AF9" s="21"/>
      <c r="AG9" s="21"/>
      <c r="AH9" s="21"/>
      <c r="AI9" s="21"/>
      <c r="AJ9" s="21"/>
      <c r="AK9" s="21"/>
      <c r="AL9" s="21"/>
      <c r="AM9" s="21"/>
      <c r="AN9" s="21"/>
      <c r="AO9" s="18"/>
      <c r="AP9" s="21"/>
      <c r="AQ9" s="21"/>
      <c r="AR9" s="21"/>
      <c r="AS9" s="21"/>
      <c r="AT9" s="21"/>
      <c r="AU9" s="21"/>
      <c r="AV9" s="21"/>
      <c r="AW9" s="21"/>
      <c r="AX9" s="21"/>
      <c r="AY9" s="21"/>
      <c r="AZ9" s="21"/>
      <c r="BA9" s="21"/>
      <c r="BB9" s="21"/>
      <c r="BC9" s="21"/>
      <c r="BD9" s="21"/>
      <c r="BE9" s="21"/>
      <c r="BF9" s="18"/>
      <c r="BG9" s="21"/>
      <c r="BH9" s="21"/>
      <c r="BI9" s="21"/>
      <c r="BJ9" s="21"/>
      <c r="BK9" s="21"/>
      <c r="BL9" s="21"/>
      <c r="BM9" s="21"/>
      <c r="BN9" s="21"/>
      <c r="BO9" s="21"/>
      <c r="BP9" s="21"/>
      <c r="BQ9" s="21"/>
      <c r="BR9" s="21"/>
      <c r="BS9" s="21"/>
      <c r="BT9" s="21"/>
      <c r="BU9" s="21"/>
      <c r="BV9" s="21"/>
      <c r="BW9" s="18"/>
      <c r="BX9" s="21"/>
      <c r="BY9" s="21"/>
      <c r="BZ9" s="21"/>
      <c r="CA9" s="21"/>
      <c r="CB9" s="21"/>
      <c r="CC9" s="21"/>
      <c r="CD9" s="21"/>
      <c r="CE9" s="21"/>
      <c r="CF9" s="21"/>
      <c r="CG9" s="21"/>
      <c r="CH9" s="21"/>
      <c r="CI9" s="21"/>
      <c r="CJ9" s="21"/>
      <c r="CK9" s="21"/>
      <c r="CL9" s="21"/>
      <c r="CM9" s="21"/>
    </row>
    <row r="10" ht="18.75" customHeight="1" spans="1:91">
      <c r="A10" s="17"/>
      <c r="B10" s="18"/>
      <c r="C10" s="18"/>
      <c r="D10" s="18"/>
      <c r="E10" s="18"/>
      <c r="F10" s="18"/>
      <c r="G10" s="18"/>
      <c r="H10" s="21"/>
      <c r="I10" s="21"/>
      <c r="J10" s="21"/>
      <c r="K10" s="21"/>
      <c r="L10" s="21"/>
      <c r="M10" s="21"/>
      <c r="N10" s="21"/>
      <c r="O10" s="21"/>
      <c r="P10" s="21"/>
      <c r="Q10" s="21"/>
      <c r="R10" s="21"/>
      <c r="S10" s="21"/>
      <c r="T10" s="26"/>
      <c r="U10" s="21"/>
      <c r="V10" s="21"/>
      <c r="W10" s="21"/>
      <c r="X10" s="18"/>
      <c r="Y10" s="21"/>
      <c r="Z10" s="21"/>
      <c r="AA10" s="21"/>
      <c r="AB10" s="21"/>
      <c r="AC10" s="21"/>
      <c r="AD10" s="21"/>
      <c r="AE10" s="21"/>
      <c r="AF10" s="21"/>
      <c r="AG10" s="21"/>
      <c r="AH10" s="21"/>
      <c r="AI10" s="21"/>
      <c r="AJ10" s="21"/>
      <c r="AK10" s="26"/>
      <c r="AL10" s="21"/>
      <c r="AM10" s="21"/>
      <c r="AN10" s="21"/>
      <c r="AO10" s="18"/>
      <c r="AP10" s="21"/>
      <c r="AQ10" s="21"/>
      <c r="AR10" s="21"/>
      <c r="AS10" s="21"/>
      <c r="AT10" s="21"/>
      <c r="AU10" s="21"/>
      <c r="AV10" s="21"/>
      <c r="AW10" s="21"/>
      <c r="AX10" s="21"/>
      <c r="AY10" s="21"/>
      <c r="AZ10" s="21"/>
      <c r="BA10" s="21"/>
      <c r="BB10" s="26"/>
      <c r="BC10" s="21"/>
      <c r="BD10" s="21"/>
      <c r="BE10" s="21"/>
      <c r="BF10" s="18"/>
      <c r="BG10" s="21"/>
      <c r="BH10" s="21"/>
      <c r="BI10" s="21"/>
      <c r="BJ10" s="21"/>
      <c r="BK10" s="21"/>
      <c r="BL10" s="21"/>
      <c r="BM10" s="21"/>
      <c r="BN10" s="21"/>
      <c r="BO10" s="21"/>
      <c r="BP10" s="21"/>
      <c r="BQ10" s="21"/>
      <c r="BR10" s="21"/>
      <c r="BS10" s="26"/>
      <c r="BT10" s="21"/>
      <c r="BU10" s="21"/>
      <c r="BV10" s="21"/>
      <c r="BW10" s="18"/>
      <c r="BX10" s="21"/>
      <c r="BY10" s="21"/>
      <c r="BZ10" s="21"/>
      <c r="CA10" s="21"/>
      <c r="CB10" s="21"/>
      <c r="CC10" s="21"/>
      <c r="CD10" s="21"/>
      <c r="CE10" s="21"/>
      <c r="CF10" s="21"/>
      <c r="CG10" s="21"/>
      <c r="CH10" s="21"/>
      <c r="CI10" s="21"/>
      <c r="CJ10" s="26"/>
      <c r="CK10" s="21"/>
      <c r="CL10" s="21"/>
      <c r="CM10" s="21"/>
    </row>
    <row r="11" ht="15.5" spans="1:91">
      <c r="A11" s="17"/>
      <c r="B11" s="18"/>
      <c r="C11" s="18"/>
      <c r="D11" s="18"/>
      <c r="E11" s="18"/>
      <c r="F11" s="18"/>
      <c r="G11" s="18"/>
      <c r="H11" s="21"/>
      <c r="I11" s="21"/>
      <c r="J11" s="21"/>
      <c r="K11" s="21"/>
      <c r="L11" s="21"/>
      <c r="M11" s="21"/>
      <c r="N11" s="21"/>
      <c r="O11" s="21"/>
      <c r="P11" s="21"/>
      <c r="Q11" s="21"/>
      <c r="R11" s="21"/>
      <c r="S11" s="21"/>
      <c r="T11" s="27"/>
      <c r="U11" s="21"/>
      <c r="V11" s="21"/>
      <c r="W11" s="21"/>
      <c r="X11" s="18"/>
      <c r="Y11" s="21"/>
      <c r="Z11" s="21"/>
      <c r="AA11" s="21"/>
      <c r="AB11" s="21"/>
      <c r="AC11" s="21"/>
      <c r="AD11" s="21"/>
      <c r="AE11" s="21"/>
      <c r="AF11" s="21"/>
      <c r="AG11" s="21"/>
      <c r="AH11" s="21"/>
      <c r="AI11" s="21"/>
      <c r="AJ11" s="21"/>
      <c r="AK11" s="27"/>
      <c r="AL11" s="21"/>
      <c r="AM11" s="21"/>
      <c r="AN11" s="21"/>
      <c r="AO11" s="18"/>
      <c r="AP11" s="21"/>
      <c r="AQ11" s="21"/>
      <c r="AR11" s="21"/>
      <c r="AS11" s="21"/>
      <c r="AT11" s="21"/>
      <c r="AU11" s="21"/>
      <c r="AV11" s="21"/>
      <c r="AW11" s="21"/>
      <c r="AX11" s="21"/>
      <c r="AY11" s="21"/>
      <c r="AZ11" s="21"/>
      <c r="BA11" s="21"/>
      <c r="BB11" s="27"/>
      <c r="BC11" s="21"/>
      <c r="BD11" s="21"/>
      <c r="BE11" s="21"/>
      <c r="BF11" s="18"/>
      <c r="BG11" s="21"/>
      <c r="BH11" s="21"/>
      <c r="BI11" s="21"/>
      <c r="BJ11" s="21"/>
      <c r="BK11" s="21"/>
      <c r="BL11" s="21"/>
      <c r="BM11" s="21"/>
      <c r="BN11" s="21"/>
      <c r="BO11" s="21"/>
      <c r="BP11" s="21"/>
      <c r="BQ11" s="21"/>
      <c r="BR11" s="21"/>
      <c r="BS11" s="27"/>
      <c r="BT11" s="21"/>
      <c r="BU11" s="21"/>
      <c r="BV11" s="21"/>
      <c r="BW11" s="18"/>
      <c r="BX11" s="21"/>
      <c r="BY11" s="21"/>
      <c r="BZ11" s="21"/>
      <c r="CA11" s="21"/>
      <c r="CB11" s="21"/>
      <c r="CC11" s="21"/>
      <c r="CD11" s="21"/>
      <c r="CE11" s="21"/>
      <c r="CF11" s="21"/>
      <c r="CG11" s="21"/>
      <c r="CH11" s="21"/>
      <c r="CI11" s="21"/>
      <c r="CJ11" s="27"/>
      <c r="CK11" s="21"/>
      <c r="CL11" s="21"/>
      <c r="CM11" s="21"/>
    </row>
    <row r="12" ht="15.5" spans="1:91">
      <c r="A12" s="17"/>
      <c r="B12" s="18"/>
      <c r="C12" s="18"/>
      <c r="D12" s="18"/>
      <c r="E12" s="18"/>
      <c r="F12" s="18"/>
      <c r="G12" s="18"/>
      <c r="H12" s="21"/>
      <c r="I12" s="21"/>
      <c r="J12" s="21"/>
      <c r="K12" s="21"/>
      <c r="L12" s="21"/>
      <c r="M12" s="21"/>
      <c r="N12" s="21"/>
      <c r="O12" s="21"/>
      <c r="P12" s="21"/>
      <c r="Q12" s="21"/>
      <c r="R12" s="21"/>
      <c r="S12" s="21"/>
      <c r="T12" s="21"/>
      <c r="U12" s="21"/>
      <c r="V12" s="21"/>
      <c r="W12" s="21"/>
      <c r="X12" s="18"/>
      <c r="Y12" s="21"/>
      <c r="Z12" s="21"/>
      <c r="AA12" s="21"/>
      <c r="AB12" s="21"/>
      <c r="AC12" s="21"/>
      <c r="AD12" s="21"/>
      <c r="AE12" s="21"/>
      <c r="AF12" s="21"/>
      <c r="AG12" s="21"/>
      <c r="AH12" s="21"/>
      <c r="AI12" s="21"/>
      <c r="AJ12" s="21"/>
      <c r="AK12" s="21"/>
      <c r="AL12" s="21"/>
      <c r="AM12" s="21"/>
      <c r="AN12" s="21"/>
      <c r="AO12" s="18"/>
      <c r="AP12" s="21"/>
      <c r="AQ12" s="21"/>
      <c r="AR12" s="21"/>
      <c r="AS12" s="21"/>
      <c r="AT12" s="21"/>
      <c r="AU12" s="21"/>
      <c r="AV12" s="21"/>
      <c r="AW12" s="21"/>
      <c r="AX12" s="21"/>
      <c r="AY12" s="21"/>
      <c r="AZ12" s="21"/>
      <c r="BA12" s="21"/>
      <c r="BB12" s="21"/>
      <c r="BC12" s="21"/>
      <c r="BD12" s="21"/>
      <c r="BE12" s="21"/>
      <c r="BF12" s="18"/>
      <c r="BG12" s="21"/>
      <c r="BH12" s="21"/>
      <c r="BI12" s="21"/>
      <c r="BJ12" s="21"/>
      <c r="BK12" s="21"/>
      <c r="BL12" s="21"/>
      <c r="BM12" s="21"/>
      <c r="BN12" s="21"/>
      <c r="BO12" s="21"/>
      <c r="BP12" s="21"/>
      <c r="BQ12" s="21"/>
      <c r="BR12" s="21"/>
      <c r="BS12" s="21"/>
      <c r="BT12" s="21"/>
      <c r="BU12" s="21"/>
      <c r="BV12" s="21"/>
      <c r="BW12" s="18"/>
      <c r="BX12" s="21"/>
      <c r="BY12" s="21"/>
      <c r="BZ12" s="21"/>
      <c r="CA12" s="21"/>
      <c r="CB12" s="21"/>
      <c r="CC12" s="21"/>
      <c r="CD12" s="21"/>
      <c r="CE12" s="21"/>
      <c r="CF12" s="21"/>
      <c r="CG12" s="21"/>
      <c r="CH12" s="21"/>
      <c r="CI12" s="21"/>
      <c r="CJ12" s="21"/>
      <c r="CK12" s="21"/>
      <c r="CL12" s="21"/>
      <c r="CM12" s="21"/>
    </row>
    <row r="13" ht="15.5" spans="1:91">
      <c r="A13" s="17"/>
      <c r="B13" s="18"/>
      <c r="C13" s="18"/>
      <c r="D13" s="18"/>
      <c r="E13" s="18"/>
      <c r="F13" s="18"/>
      <c r="G13" s="18"/>
      <c r="H13" s="21"/>
      <c r="I13" s="21"/>
      <c r="J13" s="21"/>
      <c r="K13" s="21"/>
      <c r="L13" s="21"/>
      <c r="M13" s="21"/>
      <c r="N13" s="21"/>
      <c r="O13" s="21"/>
      <c r="P13" s="21"/>
      <c r="Q13" s="21"/>
      <c r="R13" s="21"/>
      <c r="S13" s="21"/>
      <c r="T13" s="21"/>
      <c r="U13" s="21"/>
      <c r="V13" s="21"/>
      <c r="W13" s="21"/>
      <c r="X13" s="18"/>
      <c r="Y13" s="21"/>
      <c r="Z13" s="21"/>
      <c r="AA13" s="21"/>
      <c r="AB13" s="21"/>
      <c r="AC13" s="21"/>
      <c r="AD13" s="21"/>
      <c r="AE13" s="21"/>
      <c r="AF13" s="21"/>
      <c r="AG13" s="21"/>
      <c r="AH13" s="21"/>
      <c r="AI13" s="21"/>
      <c r="AJ13" s="21"/>
      <c r="AK13" s="21"/>
      <c r="AL13" s="21"/>
      <c r="AM13" s="21"/>
      <c r="AN13" s="21"/>
      <c r="AO13" s="18"/>
      <c r="AP13" s="21"/>
      <c r="AQ13" s="21"/>
      <c r="AR13" s="21"/>
      <c r="AS13" s="21"/>
      <c r="AT13" s="21"/>
      <c r="AU13" s="21"/>
      <c r="AV13" s="21"/>
      <c r="AW13" s="21"/>
      <c r="AX13" s="21"/>
      <c r="AY13" s="21"/>
      <c r="AZ13" s="21"/>
      <c r="BA13" s="21"/>
      <c r="BB13" s="21"/>
      <c r="BC13" s="21"/>
      <c r="BD13" s="21"/>
      <c r="BE13" s="21"/>
      <c r="BF13" s="18"/>
      <c r="BG13" s="21"/>
      <c r="BH13" s="21"/>
      <c r="BI13" s="21"/>
      <c r="BJ13" s="21"/>
      <c r="BK13" s="21"/>
      <c r="BL13" s="21"/>
      <c r="BM13" s="21"/>
      <c r="BN13" s="21"/>
      <c r="BO13" s="21"/>
      <c r="BP13" s="21"/>
      <c r="BQ13" s="21"/>
      <c r="BR13" s="21"/>
      <c r="BS13" s="21"/>
      <c r="BT13" s="21"/>
      <c r="BU13" s="21"/>
      <c r="BV13" s="21"/>
      <c r="BW13" s="18"/>
      <c r="BX13" s="21"/>
      <c r="BY13" s="21"/>
      <c r="BZ13" s="21"/>
      <c r="CA13" s="21"/>
      <c r="CB13" s="21"/>
      <c r="CC13" s="21"/>
      <c r="CD13" s="21"/>
      <c r="CE13" s="21"/>
      <c r="CF13" s="21"/>
      <c r="CG13" s="21"/>
      <c r="CH13" s="21"/>
      <c r="CI13" s="21"/>
      <c r="CJ13" s="21"/>
      <c r="CK13" s="21"/>
      <c r="CL13" s="21"/>
      <c r="CM13" s="21"/>
    </row>
  </sheetData>
  <mergeCells count="12">
    <mergeCell ref="A1:C1"/>
    <mergeCell ref="A2:B2"/>
    <mergeCell ref="C2:D2"/>
    <mergeCell ref="C3:F3"/>
    <mergeCell ref="G3:W3"/>
    <mergeCell ref="X3:AN3"/>
    <mergeCell ref="AO3:BE3"/>
    <mergeCell ref="BF3:BV3"/>
    <mergeCell ref="BW3:CM3"/>
    <mergeCell ref="ED3:EO3"/>
    <mergeCell ref="A3:A4"/>
    <mergeCell ref="B3:B4"/>
  </mergeCells>
  <pageMargins left="0.7" right="0.7" top="0.75" bottom="0.75" header="0.3" footer="0.3"/>
  <pageSetup paperSize="1" orientation="portrait"/>
  <headerFooter>
    <oddFooter>&amp;L&amp;1#&amp;"Calibri"&amp;7&amp;K000000C2 General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547A2EB-B15F-4810-B3E6-F8EB7B952E65}">
  <ds:schemaRefs/>
</ds:datastoreItem>
</file>

<file path=customXml/itemProps2.xml><?xml version="1.0" encoding="utf-8"?>
<ds:datastoreItem xmlns:ds="http://schemas.openxmlformats.org/officeDocument/2006/customXml" ds:itemID="{6BA9E797-49AD-4859-A6CC-E560D509CF9E}">
  <ds:schemaRefs/>
</ds:datastoreItem>
</file>

<file path=customXml/itemProps3.xml><?xml version="1.0" encoding="utf-8"?>
<ds:datastoreItem xmlns:ds="http://schemas.openxmlformats.org/officeDocument/2006/customXml" ds:itemID="{EC2C9C06-F64F-44A3-BD88-F5D320C78482}">
  <ds:schemaRefs/>
</ds:datastoreItem>
</file>

<file path=docProps/app.xml><?xml version="1.0" encoding="utf-8"?>
<Properties xmlns="http://schemas.openxmlformats.org/officeDocument/2006/extended-properties" xmlns:vt="http://schemas.openxmlformats.org/officeDocument/2006/docPropsVTypes">
  <Company>Vodafone</Company>
  <Application>Microsoft Excel</Application>
  <HeadingPairs>
    <vt:vector size="2" baseType="variant">
      <vt:variant>
        <vt:lpstr>工作表</vt:lpstr>
      </vt:variant>
      <vt:variant>
        <vt:i4>13</vt:i4>
      </vt:variant>
    </vt:vector>
  </HeadingPairs>
  <TitlesOfParts>
    <vt:vector size="13" baseType="lpstr">
      <vt:lpstr>Instructions</vt:lpstr>
      <vt:lpstr>Version Control</vt:lpstr>
      <vt:lpstr>Infra Assumptions</vt:lpstr>
      <vt:lpstr>Revision Information</vt:lpstr>
      <vt:lpstr>VM settings</vt:lpstr>
      <vt:lpstr>VM settings (SAPC)</vt:lpstr>
      <vt:lpstr>Export</vt:lpstr>
      <vt:lpstr>External server for CCDM CA</vt:lpstr>
      <vt:lpstr>Capacity KPIs</vt:lpstr>
      <vt:lpstr>Capacity statements</vt:lpstr>
      <vt:lpstr>Minimum size VNF config</vt:lpstr>
      <vt:lpstr>Maximum size VNF config</vt:lpstr>
      <vt:lpstr>Data cluster vBOM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Lovisolo, Fabio, Vodafone Italy</dc:creator>
  <cp:lastModifiedBy>syedmoha</cp:lastModifiedBy>
  <dcterms:created xsi:type="dcterms:W3CDTF">2017-03-30T13:38:00Z</dcterms:created>
  <dcterms:modified xsi:type="dcterms:W3CDTF">2025-09-08T08:45:38Z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0x010100724DC34AF4616D40AC31B493B753F611</vt:lpwstr>
  </property>
  <property fmtid="{D5CDD505-2E9C-101B-9397-08002B2CF9AE}" pid="3" name="_NewReviewCycle">
    <vt:lpwstr/>
  </property>
  <property fmtid="{D5CDD505-2E9C-101B-9397-08002B2CF9AE}" pid="4" name="_dlc_DocIdItemGuid">
    <vt:lpwstr>3e42d985-bccd-49e7-8c36-b21cbb2414aa</vt:lpwstr>
  </property>
  <property fmtid="{D5CDD505-2E9C-101B-9397-08002B2CF9AE}" pid="5" name="MSIP_Label_0359f705-2ba0-454b-9cfc-6ce5bcaac040_Enabled">
    <vt:lpwstr>True</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Owner">
    <vt:lpwstr>Valerio.CECI@vodafone.com</vt:lpwstr>
  </property>
  <property fmtid="{D5CDD505-2E9C-101B-9397-08002B2CF9AE}" pid="8" name="MSIP_Label_0359f705-2ba0-454b-9cfc-6ce5bcaac040_SetDate">
    <vt:lpwstr>2019-07-15T15:23:04.4912457Z</vt:lpwstr>
  </property>
  <property fmtid="{D5CDD505-2E9C-101B-9397-08002B2CF9AE}" pid="9" name="MSIP_Label_0359f705-2ba0-454b-9cfc-6ce5bcaac040_Name">
    <vt:lpwstr>C2 General</vt:lpwstr>
  </property>
  <property fmtid="{D5CDD505-2E9C-101B-9397-08002B2CF9AE}" pid="10" name="MSIP_Label_0359f705-2ba0-454b-9cfc-6ce5bcaac040_Application">
    <vt:lpwstr>Microsoft Azure Information Protection</vt:lpwstr>
  </property>
  <property fmtid="{D5CDD505-2E9C-101B-9397-08002B2CF9AE}" pid="11" name="MSIP_Label_0359f705-2ba0-454b-9cfc-6ce5bcaac040_Extended_MSFT_Method">
    <vt:lpwstr>Automatic</vt:lpwstr>
  </property>
  <property fmtid="{D5CDD505-2E9C-101B-9397-08002B2CF9AE}" pid="12" name="Order">
    <vt:r8>487300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ICV">
    <vt:lpwstr>6641183D4FD2488C84064087D27AAB10_12</vt:lpwstr>
  </property>
  <property fmtid="{D5CDD505-2E9C-101B-9397-08002B2CF9AE}" pid="18" name="KSOProductBuildVer">
    <vt:lpwstr>1033-12.2.0.22549</vt:lpwstr>
  </property>
</Properties>
</file>