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jagadean\Downloads\"/>
    </mc:Choice>
  </mc:AlternateContent>
  <xr:revisionPtr revIDLastSave="0" documentId="13_ncr:1_{6524A794-BCDA-40FC-8A9D-D0B6649B7FEC}" xr6:coauthVersionLast="47" xr6:coauthVersionMax="47" xr10:uidLastSave="{00000000-0000-0000-0000-000000000000}"/>
  <bookViews>
    <workbookView xWindow="28680" yWindow="-120" windowWidth="29040" windowHeight="15720" tabRatio="806" firstSheet="8" activeTab="9" xr2:uid="{00000000-000D-0000-FFFF-FFFF00000000}"/>
  </bookViews>
  <sheets>
    <sheet name="Read me first" sheetId="2" r:id="rId1"/>
    <sheet name="Version Control" sheetId="47" r:id="rId2"/>
    <sheet name="Capacity and Performance Req." sheetId="30" r:id="rId3"/>
    <sheet name="Definitions &amp; Rules " sheetId="52" r:id="rId4"/>
    <sheet name="Infra assumptions " sheetId="53" r:id="rId5"/>
    <sheet name="Please Complete" sheetId="39" r:id="rId6"/>
    <sheet name="DataSheet" sheetId="54" r:id="rId7"/>
    <sheet name="Hardware_profile" sheetId="55" r:id="rId8"/>
    <sheet name="CNF_info" sheetId="50" r:id="rId9"/>
    <sheet name="cBOM " sheetId="49" r:id="rId10"/>
    <sheet name="Capacity KPIs" sheetId="23" r:id="rId11"/>
    <sheet name="Capacity statements" sheetId="6" r:id="rId12"/>
    <sheet name="Minimum size CNF config" sheetId="40" r:id="rId13"/>
    <sheet name="Maximum size CNF config" sheetId="41" r:id="rId14"/>
  </sheets>
  <externalReferences>
    <externalReference r:id="rId15"/>
    <externalReference r:id="rId16"/>
    <externalReference r:id="rId17"/>
    <externalReference r:id="rId18"/>
    <externalReference r:id="rId19"/>
    <externalReference r:id="rId20"/>
    <externalReference r:id="rId21"/>
    <externalReference r:id="rId22"/>
  </externalReferences>
  <definedNames>
    <definedName name="____hc4" localSheetId="10" hidden="1">{"KPI EURO",#N/A,FALSE,"kpi";"INDICATORI EURO",#N/A,FALSE,"confronti";"DEACTIVATION",#N/A,FALSE,"deact";"OTHER EURO",#N/A,FALSE,"OTHER";"USAGE OUT VAR",#N/A,FALSE,"trend";"USAGE IN",#N/A,FALSE,"trend";"OUT MIN",#N/A,FALSE,"trend"}</definedName>
    <definedName name="____hc4" localSheetId="9" hidden="1">{"KPI EURO",#N/A,FALSE,"kpi";"INDICATORI EURO",#N/A,FALSE,"confronti";"DEACTIVATION",#N/A,FALSE,"deact";"OTHER EURO",#N/A,FALSE,"OTHER";"USAGE OUT VAR",#N/A,FALSE,"trend";"USAGE IN",#N/A,FALSE,"trend";"OUT MIN",#N/A,FALSE,"trend"}</definedName>
    <definedName name="____hc4" localSheetId="6" hidden="1">{"KPI EURO",#N/A,FALSE,"kpi";"INDICATORI EURO",#N/A,FALSE,"confronti";"DEACTIVATION",#N/A,FALSE,"deact";"OTHER EURO",#N/A,FALSE,"OTHER";"USAGE OUT VAR",#N/A,FALSE,"trend";"USAGE IN",#N/A,FALSE,"trend";"OUT MIN",#N/A,FALSE,"trend"}</definedName>
    <definedName name="____hc4" localSheetId="3" hidden="1">{"KPI EURO",#N/A,FALSE,"kpi";"INDICATORI EURO",#N/A,FALSE,"confronti";"DEACTIVATION",#N/A,FALSE,"deact";"OTHER EURO",#N/A,FALSE,"OTHER";"USAGE OUT VAR",#N/A,FALSE,"trend";"USAGE IN",#N/A,FALSE,"trend";"OUT MIN",#N/A,FALSE,"trend"}</definedName>
    <definedName name="____hc4" localSheetId="7" hidden="1">{"KPI EURO",#N/A,FALSE,"kpi";"INDICATORI EURO",#N/A,FALSE,"confronti";"DEACTIVATION",#N/A,FALSE,"deact";"OTHER EURO",#N/A,FALSE,"OTHER";"USAGE OUT VAR",#N/A,FALSE,"trend";"USAGE IN",#N/A,FALSE,"trend";"OUT MIN",#N/A,FALSE,"trend"}</definedName>
    <definedName name="____hc4" localSheetId="4" hidden="1">{"KPI EURO",#N/A,FALSE,"kpi";"INDICATORI EURO",#N/A,FALSE,"confronti";"DEACTIVATION",#N/A,FALSE,"deact";"OTHER EURO",#N/A,FALSE,"OTHER";"USAGE OUT VAR",#N/A,FALSE,"trend";"USAGE IN",#N/A,FALSE,"trend";"OUT MIN",#N/A,FALSE,"trend"}</definedName>
    <definedName name="____hc4" localSheetId="1" hidden="1">{"KPI EURO",#N/A,FALSE,"kpi";"INDICATORI EURO",#N/A,FALSE,"confronti";"DEACTIVATION",#N/A,FALSE,"deact";"OTHER EURO",#N/A,FALSE,"OTHER";"USAGE OUT VAR",#N/A,FALSE,"trend";"USAGE IN",#N/A,FALSE,"trend";"OUT MIN",#N/A,FALSE,"trend"}</definedName>
    <definedName name="____hc4" hidden="1">{"KPI EURO",#N/A,FALSE,"kpi";"INDICATORI EURO",#N/A,FALSE,"confronti";"DEACTIVATION",#N/A,FALSE,"deact";"OTHER EURO",#N/A,FALSE,"OTHER";"USAGE OUT VAR",#N/A,FALSE,"trend";"USAGE IN",#N/A,FALSE,"trend";"OUT MIN",#N/A,FALSE,"trend"}</definedName>
    <definedName name="__hc4" localSheetId="10" hidden="1">{"KPI EURO",#N/A,FALSE,"kpi";"INDICATORI EURO",#N/A,FALSE,"confronti";"DEACTIVATION",#N/A,FALSE,"deact";"OTHER EURO",#N/A,FALSE,"OTHER";"USAGE OUT VAR",#N/A,FALSE,"trend";"USAGE IN",#N/A,FALSE,"trend";"OUT MIN",#N/A,FALSE,"trend"}</definedName>
    <definedName name="__hc4" localSheetId="9" hidden="1">{"KPI EURO",#N/A,FALSE,"kpi";"INDICATORI EURO",#N/A,FALSE,"confronti";"DEACTIVATION",#N/A,FALSE,"deact";"OTHER EURO",#N/A,FALSE,"OTHER";"USAGE OUT VAR",#N/A,FALSE,"trend";"USAGE IN",#N/A,FALSE,"trend";"OUT MIN",#N/A,FALSE,"trend"}</definedName>
    <definedName name="__hc4" localSheetId="6" hidden="1">{"KPI EURO",#N/A,FALSE,"kpi";"INDICATORI EURO",#N/A,FALSE,"confronti";"DEACTIVATION",#N/A,FALSE,"deact";"OTHER EURO",#N/A,FALSE,"OTHER";"USAGE OUT VAR",#N/A,FALSE,"trend";"USAGE IN",#N/A,FALSE,"trend";"OUT MIN",#N/A,FALSE,"trend"}</definedName>
    <definedName name="__hc4" localSheetId="3" hidden="1">{"KPI EURO",#N/A,FALSE,"kpi";"INDICATORI EURO",#N/A,FALSE,"confronti";"DEACTIVATION",#N/A,FALSE,"deact";"OTHER EURO",#N/A,FALSE,"OTHER";"USAGE OUT VAR",#N/A,FALSE,"trend";"USAGE IN",#N/A,FALSE,"trend";"OUT MIN",#N/A,FALSE,"trend"}</definedName>
    <definedName name="__hc4" localSheetId="7" hidden="1">{"KPI EURO",#N/A,FALSE,"kpi";"INDICATORI EURO",#N/A,FALSE,"confronti";"DEACTIVATION",#N/A,FALSE,"deact";"OTHER EURO",#N/A,FALSE,"OTHER";"USAGE OUT VAR",#N/A,FALSE,"trend";"USAGE IN",#N/A,FALSE,"trend";"OUT MIN",#N/A,FALSE,"trend"}</definedName>
    <definedName name="__hc4" localSheetId="4" hidden="1">{"KPI EURO",#N/A,FALSE,"kpi";"INDICATORI EURO",#N/A,FALSE,"confronti";"DEACTIVATION",#N/A,FALSE,"deact";"OTHER EURO",#N/A,FALSE,"OTHER";"USAGE OUT VAR",#N/A,FALSE,"trend";"USAGE IN",#N/A,FALSE,"trend";"OUT MIN",#N/A,FALSE,"trend"}</definedName>
    <definedName name="__hc4" localSheetId="1" hidden="1">{"KPI EURO",#N/A,FALSE,"kpi";"INDICATORI EURO",#N/A,FALSE,"confronti";"DEACTIVATION",#N/A,FALSE,"deact";"OTHER EURO",#N/A,FALSE,"OTHER";"USAGE OUT VAR",#N/A,FALSE,"trend";"USAGE IN",#N/A,FALSE,"trend";"OUT MIN",#N/A,FALSE,"trend"}</definedName>
    <definedName name="__hc4" hidden="1">{"KPI EURO",#N/A,FALSE,"kpi";"INDICATORI EURO",#N/A,FALSE,"confronti";"DEACTIVATION",#N/A,FALSE,"deact";"OTHER EURO",#N/A,FALSE,"OTHER";"USAGE OUT VAR",#N/A,FALSE,"trend";"USAGE IN",#N/A,FALSE,"trend";"OUT MIN",#N/A,FALSE,"trend"}</definedName>
    <definedName name="_2">#REF!</definedName>
    <definedName name="_xlnm._FilterDatabase" localSheetId="2" hidden="1">'Capacity and Performance Req.'!$A$2:$B$4</definedName>
    <definedName name="_xlnm._FilterDatabase" localSheetId="9" hidden="1">'cBOM '!$A$4:$AH$148</definedName>
    <definedName name="CAPEXOPEX">[1]Parameter!$E$16:$E$23</definedName>
    <definedName name="Category">[2]Picklist!$N$2:$N$9</definedName>
    <definedName name="Category_externalPT">[1]PreDefinedValues!$M$63:$N$75</definedName>
    <definedName name="CONFIGA" localSheetId="6">Table2[set1]</definedName>
    <definedName name="CONFIGA" localSheetId="3">[3]!Table2[set1]</definedName>
    <definedName name="CONFIGA" localSheetId="7">[4]!Table2[set1]</definedName>
    <definedName name="CONFIGA" localSheetId="4">[3]!Table2[set1]</definedName>
    <definedName name="CONFIGA">#REF!</definedName>
    <definedName name="Costperday">[1]PreDefinedValues!$C$61:$D$681</definedName>
    <definedName name="Criteria1" localSheetId="6">#REF!</definedName>
    <definedName name="Criteria1" localSheetId="3">#REF!</definedName>
    <definedName name="Criteria1" localSheetId="7">#REF!</definedName>
    <definedName name="Criteria1" localSheetId="4">#REF!</definedName>
    <definedName name="Criteria1">#REF!</definedName>
    <definedName name="Criteria10" localSheetId="6">#REF!</definedName>
    <definedName name="Criteria10" localSheetId="3">#REF!</definedName>
    <definedName name="Criteria10" localSheetId="7">#REF!</definedName>
    <definedName name="Criteria10" localSheetId="4">#REF!</definedName>
    <definedName name="Criteria10">#REF!</definedName>
    <definedName name="Criteria2" localSheetId="6">#REF!</definedName>
    <definedName name="Criteria2" localSheetId="3">#REF!</definedName>
    <definedName name="Criteria2" localSheetId="7">#REF!</definedName>
    <definedName name="Criteria2" localSheetId="4">#REF!</definedName>
    <definedName name="Criteria2">#REF!</definedName>
    <definedName name="Criteria3">#REF!</definedName>
    <definedName name="Criteria4">#REF!</definedName>
    <definedName name="Criteria5">#REF!</definedName>
    <definedName name="Criteria6">#REF!</definedName>
    <definedName name="Criteria7">#REF!</definedName>
    <definedName name="Criteria8">#REF!</definedName>
    <definedName name="Criteria9">#REF!</definedName>
    <definedName name="cvcvv">[5]PreDefinedValues!$A$6:$E$54</definedName>
    <definedName name="DaysMonth">30</definedName>
    <definedName name="Department">[2]Picklist!$C$2:$C$10</definedName>
    <definedName name="Disabled" localSheetId="6">Table2[set1]</definedName>
    <definedName name="Disabled" localSheetId="3">[3]!Table2[set1]</definedName>
    <definedName name="Disabled" localSheetId="7">[4]!Table2[set1]</definedName>
    <definedName name="Disabled" localSheetId="4">[3]!Table2[set1]</definedName>
    <definedName name="Disabled">#REF!</definedName>
    <definedName name="Driver">[2]Picklist!$M$2:$M$7</definedName>
    <definedName name="EDP" localSheetId="7">[4]!Table9[HTSet5]</definedName>
    <definedName name="EDP">Table9[HTSet5]</definedName>
    <definedName name="EDPDisabled" localSheetId="7">[4]!Table16[EDPDisabled]</definedName>
    <definedName name="EDPDisabled">Table16[EDPDisabled]</definedName>
    <definedName name="EDPDisabledNA_EDP_is_Enabled" localSheetId="7">[4]!Table27[EDPDisabledNA_EDP_is_Enabled]</definedName>
    <definedName name="EDPDisabledNA_EDP_is_Enabled">Table27[EDPDisabledNA_EDP_is_Enabled]</definedName>
    <definedName name="Efficiency">[2]Picklist!$P$2:$P$6</definedName>
    <definedName name="Enabled" localSheetId="6">Table5[Set2]</definedName>
    <definedName name="Enabled" localSheetId="3">[3]!Table5[Set2]</definedName>
    <definedName name="Enabled" localSheetId="7">[4]!Table5[Set2]</definedName>
    <definedName name="Enabled" localSheetId="4">[3]!Table5[Set2]</definedName>
    <definedName name="Enabled">#REF!</definedName>
    <definedName name="EndDate">42825</definedName>
    <definedName name="EV__LASTREFTIME__" hidden="1">39092.7755439815</definedName>
    <definedName name="fy">[2]Picklist!$B$2:$B$6</definedName>
    <definedName name="FYall">[1]Parameter!$E$4:$E$12</definedName>
    <definedName name="General_Purpose" localSheetId="7">[4]!Table7[HTSet3]</definedName>
    <definedName name="General_Purpose">Table7[HTSet3]</definedName>
    <definedName name="General_PurposeDisabled" localSheetId="7">[4]!Table13[General_PurposeDisabled]</definedName>
    <definedName name="General_PurposeDisabled">Table13[General_PurposeDisabled]</definedName>
    <definedName name="General_PurposeDisabledDisabled" localSheetId="7">[4]!Table12[General_PurposeDisabledDisabled]</definedName>
    <definedName name="General_PurposeDisabledDisabled">Table12[General_PurposeDisabledDisabled]</definedName>
    <definedName name="General_PurposeDisabledEnabled_POD_level_dimensioning_on_CPU_request" localSheetId="7">[4]!Table21[General_PurposeDisabledEnabled_POD_level_dimensioning_on_CPU_request]</definedName>
    <definedName name="General_PurposeDisabledEnabled_POD_level_dimensioning_on_CPU_request">Table21[General_PurposeDisabledEnabled_POD_level_dimensioning_on_CPU_request]</definedName>
    <definedName name="General_PurposeDisabledEnabled_WN_Level_2_to_1" localSheetId="7">[4]!Table22[General_PurposeDisabledEnabled_WN_Level_2_to_1]</definedName>
    <definedName name="General_PurposeDisabledEnabled_WN_Level_2_to_1">Table22[General_PurposeDisabledEnabled_WN_Level_2_to_1]</definedName>
    <definedName name="General_PurposeDisabledEnabled_WN_Level_3_to_1_only_for_non_service_affecting_nodepool" localSheetId="7">[4]!Table23[General_PurposeDisabledEnabled_WN_Level_3_to_1_only_for_non_service_affecting_nodepool]</definedName>
    <definedName name="General_PurposeDisabledEnabled_WN_Level_3_to_1_only_for_non_service_affecting_nodepool">Table23[General_PurposeDisabledEnabled_WN_Level_3_to_1_only_for_non_service_affecting_nodepool]</definedName>
    <definedName name="General_PurposeDisabledEnabled_WN_Level_4_to_1_only_for_non_service_affecting_nodepool" localSheetId="7">[4]!Table24[General_PurposeDisabledEnabled_WN_Level_4_to_1_only_for_non_service_affecting_nodepool]</definedName>
    <definedName name="General_PurposeDisabledEnabled_WN_Level_4_to_1_only_for_non_service_affecting_nodepool">Table24[General_PurposeDisabledEnabled_WN_Level_4_to_1_only_for_non_service_affecting_nodepool]</definedName>
    <definedName name="General_PurposeDisabledPOD_Level_Dimensioning_on_CPU_Request" localSheetId="7">[4]!Table21[General_PurposeDisabledEnabled_POD_level_dimensioning_on_CPU_request]</definedName>
    <definedName name="General_PurposeDisabledPOD_Level_Dimensioning_on_CPU_Request">Table21[General_PurposeDisabledEnabled_POD_level_dimensioning_on_CPU_request]</definedName>
    <definedName name="General_PurposeDisabledWN_Level_oversubscription_at_host_level" localSheetId="7">[4]!Table22[General_PurposeDisabledEnabled_WN_Level_2_to_1]</definedName>
    <definedName name="General_PurposeDisabledWN_Level_oversubscription_at_host_level">Table22[General_PurposeDisabledEnabled_WN_Level_2_to_1]</definedName>
    <definedName name="General_PurposeEnabled" localSheetId="7">[4]!Table14[General_PurposeEnabled]</definedName>
    <definedName name="General_PurposeEnabled">Table14[General_PurposeEnabled]</definedName>
    <definedName name="General_PurposeEnabledDisabled" localSheetId="7">[4]!Table25[General_PurposeEnabledDisabled]</definedName>
    <definedName name="General_PurposeEnabledDisabled">Table25[General_PurposeEnabledDisabled]</definedName>
    <definedName name="General_PurposeEnabledEnabled_WN_Level_3_to_1_only_for_non_service_affecting_nodepool">DataSheet!$I$47</definedName>
    <definedName name="General_PurposeEnabledNA_HT_is_already_Enabled" localSheetId="7">[4]!Table23[General_PurposeDisabledEnabled_WN_Level_3_to_1_only_for_non_service_affecting_nodepool]</definedName>
    <definedName name="General_PurposeEnabledNA_HT_is_already_Enabled">Table23[General_PurposeDisabledEnabled_WN_Level_3_to_1_only_for_non_service_affecting_nodepool]</definedName>
    <definedName name="HT" localSheetId="6">Table3[Hyperthreading]</definedName>
    <definedName name="HT" localSheetId="3">[3]!Table3[Hyperthreading]</definedName>
    <definedName name="HT" localSheetId="7">[4]!Table3[Hyperthreading]</definedName>
    <definedName name="HT" localSheetId="4">[3]!Table3[Hyperthreading]</definedName>
    <definedName name="HT">#REF!</definedName>
    <definedName name="Huge_Pages" localSheetId="7">[4]!Table10[HTset6]</definedName>
    <definedName name="Huge_Pages">Table10[HTset6]</definedName>
    <definedName name="Huge_PagesDisabled" localSheetId="7">[4]!Table17[Huge_PagesDisabled]</definedName>
    <definedName name="Huge_PagesDisabled">Table17[Huge_PagesDisabled]</definedName>
    <definedName name="Huge_PagesDisabledDisabled" localSheetId="7">[4]!Table28[Huge_PagesDisabledDisabled]</definedName>
    <definedName name="Huge_PagesDisabledDisabled">Table28[Huge_PagesDisabledDisabled]</definedName>
    <definedName name="Huge_PagesDisabledDisabledEnabled_POD_level_dimensioning_on_CPU_request" localSheetId="7">[4]!Table29[Huge_PagesDisabledEnabled_POD_level_dimensioning_on_CPU_request]</definedName>
    <definedName name="Huge_PagesDisabledDisabledEnabled_POD_level_dimensioning_on_CPU_request">Table29[Huge_PagesDisabledEnabled_POD_level_dimensioning_on_CPU_request]</definedName>
    <definedName name="Huge_PagesDisabledDisabledEnabled_WN_Level_2_to_1" localSheetId="7">[4]!Table30[Huge_PagesDisabledEnabled_WN_Level_2_to_1]</definedName>
    <definedName name="Huge_PagesDisabledDisabledEnabled_WN_Level_2_to_1">Table30[Huge_PagesDisabledEnabled_WN_Level_2_to_1]</definedName>
    <definedName name="Huge_PagesDisabledDisabledEnabled_WN_Level_3_to_1_only_for_non_service_affecting_nodepool">DataSheet!$Y$47</definedName>
    <definedName name="Huge_PagesDisabledDisabledEnabled_WN_Level_4_to_1_only_for_non_service_affecting_nodepool">DataSheet!$AA$47</definedName>
    <definedName name="Huge_PagesDisabledEnabled_POD_level_dimensioning_on_CPU_request" localSheetId="7">[4]!Table29[Huge_PagesDisabledEnabled_POD_level_dimensioning_on_CPU_request]</definedName>
    <definedName name="Huge_PagesDisabledEnabled_POD_level_dimensioning_on_CPU_request">Table29[Huge_PagesDisabledEnabled_POD_level_dimensioning_on_CPU_request]</definedName>
    <definedName name="Huge_PagesDisabledEnabled_WN_Level_2_to_1" localSheetId="7">[4]!Table30[Huge_PagesDisabledEnabled_WN_Level_2_to_1]</definedName>
    <definedName name="Huge_PagesDisabledEnabled_WN_Level_2_to_1">Table30[Huge_PagesDisabledEnabled_WN_Level_2_to_1]</definedName>
    <definedName name="Huge_PagesDisabledEnabled_WN_Level_3_to_1_only_for_non_service_affecting_nodepool">DataSheet!$Y$47</definedName>
    <definedName name="Huge_PagesDisabledEnabled_WN_Level_4_to_1_only_for_non_service_affecting_nodepool">DataSheet!$AA$47</definedName>
    <definedName name="Huge_PagesEnabled" localSheetId="7">[4]!Table18[Huge_PagesEnabled]</definedName>
    <definedName name="Huge_PagesEnabled">Table18[Huge_PagesEnabled]</definedName>
    <definedName name="Huge_PagesEnabledDisabled" localSheetId="7">[4]!Table33[Huge_PagesEnabledDisabled]</definedName>
    <definedName name="Huge_PagesEnabledDisabled">Table33[Huge_PagesEnabledDisabled]</definedName>
    <definedName name="Huge_PagesEnabledNA_HT_is_already_Enabled" localSheetId="7">[4]!Table30[Huge_PagesDisabledEnabled_WN_Level_2_to_1]</definedName>
    <definedName name="Huge_PagesEnabledNA_HT_is_already_Enabled">Table30[Huge_PagesDisabledEnabled_WN_Level_2_to_1]</definedName>
    <definedName name="HugePages" localSheetId="7">[4]!Table10[HTset6]</definedName>
    <definedName name="HugePages">Table10[HTset6]</definedName>
    <definedName name="IT_CB_A" localSheetId="9">OFFSET(#REF!,#REF!+1,#REF!,1,#REF!)</definedName>
    <definedName name="IT_CB_A" localSheetId="3">OFFSET(#REF!,#REF!+1,#REF!,1,#REF!)</definedName>
    <definedName name="IT_CB_A" localSheetId="1">OFFSET(#REF!,#REF!+1,#REF!,1,#REF!)</definedName>
    <definedName name="IT_CB_A">OFFSET(#REF!,#REF!+1,#REF!,1,#REF!)</definedName>
    <definedName name="IT_CB_D" localSheetId="9">OFFSET(#REF!,#REF!+3,#REF!,1,#REF!)</definedName>
    <definedName name="IT_CB_D" localSheetId="3">OFFSET(#REF!,#REF!+3,#REF!,1,#REF!)</definedName>
    <definedName name="IT_CB_D" localSheetId="1">OFFSET(#REF!,#REF!+3,#REF!,1,#REF!)</definedName>
    <definedName name="IT_CB_D">OFFSET(#REF!,#REF!+3,#REF!,1,#REF!)</definedName>
    <definedName name="IT_CB_F">OFFSET(#REF!,#REF!,#REF!,1,#REF!)</definedName>
    <definedName name="IT_CB_V">OFFSET(#REF!,#REF!+2,#REF!,1,#REF!)</definedName>
    <definedName name="IT_D_A">OFFSET(#REF!,#REF!+9,#REF!,1,#REF!)</definedName>
    <definedName name="IT_D_F">OFFSET(#REF!,#REF!+8,#REF!,1,#REF!)</definedName>
    <definedName name="IT_V_A">OFFSET(#REF!,#REF!+6,#REF!,1,#REF!)</definedName>
    <definedName name="IT_V_F">OFFSET(#REF!,#REF!+5,#REF!,1,#REF!)</definedName>
    <definedName name="Launch">[6]Configuration!$G$8</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esi" localSheetId="9">OFFSET(#REF!,#REF!-1,#REF!,1,#REF!)</definedName>
    <definedName name="mesi" localSheetId="3">OFFSET(#REF!,#REF!-1,#REF!,1,#REF!)</definedName>
    <definedName name="mesi" localSheetId="4">OFFSET(#REF!,#REF!-1,#REF!,1,#REF!)</definedName>
    <definedName name="mesi" localSheetId="1">OFFSET(#REF!,#REF!-1,#REF!,1,#REF!)</definedName>
    <definedName name="mesi">OFFSET(#REF!,#REF!-1,#REF!,1,#REF!)</definedName>
    <definedName name="MinsHour">60</definedName>
    <definedName name="OneMil">1000000</definedName>
    <definedName name="OP_1" localSheetId="7">[4]!Table4[OP_1]</definedName>
    <definedName name="OP_1">Table4[OP_1]</definedName>
    <definedName name="OP_2" localSheetId="7">[4]!Table6[OP_2]</definedName>
    <definedName name="OP_2">Table6[OP_2]</definedName>
    <definedName name="OP_HT" localSheetId="7">[4]!Table34[OP_HT]</definedName>
    <definedName name="OP_HT">Table34[OP_HT]</definedName>
    <definedName name="OpCo">[2]Picklist!$A$2:$A$14</definedName>
    <definedName name="Others" localSheetId="7">[4]!Table11[HTset7]</definedName>
    <definedName name="Others">Table11[HTset7]</definedName>
    <definedName name="OthersDisabled" localSheetId="7">[4]!Table19[OthersDisabled]</definedName>
    <definedName name="OthersDisabled">Table19[OthersDisabled]</definedName>
    <definedName name="OthersDisabledDisabled">DataSheet!$AE$47:$AE$51</definedName>
    <definedName name="OthersDisabledEnabled_POD_level_dimensioning_on_CPU_request">DataSheet!$AG$47:$AG$51</definedName>
    <definedName name="OthersDisabledEnabled_WN_Level_2_to_1">DataSheet!$AI$47:$AI$51</definedName>
    <definedName name="OthersDisabledEnabled_WN_Level_3_to_1_only_for_non_service_affecting_nodepool">DataSheet!$AK$47:$AK$50</definedName>
    <definedName name="OthersDisabledEnabled_WN_Level_4_to_1_only_for_non_service_affecting_nodepool">DataSheet!$AM$47:$AM$50</definedName>
    <definedName name="OthersEnabled" localSheetId="7">[4]!Table20[OthersEnabled]</definedName>
    <definedName name="OthersEnabled">Table20[OthersEnabled]</definedName>
    <definedName name="OthersEnabledDisabled">DataSheet!$AO$47:$AO$51</definedName>
    <definedName name="PredefinedValueMatrix">[1]PreDefinedValues!$A$6:$E$54</definedName>
    <definedName name="Priority">[2]Picklist!$L$2:$L$5</definedName>
    <definedName name="Project___undergoing_from_NEP">[2]Picklist!$J$2:$J$94</definedName>
    <definedName name="Regiones">[7]DiscountRates!$A$2:$A$133</definedName>
    <definedName name="Requirement" localSheetId="7">[4]!Table1[Requirement]</definedName>
    <definedName name="Requirement">Table1[Requirement]</definedName>
    <definedName name="rollingUpgrades">[8]Dimensioning!$F$31</definedName>
    <definedName name="sd">[5]Parameter!$E$8:$E$12</definedName>
    <definedName name="SecsHour">3600</definedName>
    <definedName name="SecsMinute">60</definedName>
    <definedName name="SRIOV" localSheetId="7">[4]!Table8[HTSet4]</definedName>
    <definedName name="SRIOV">Table8[HTSet4]</definedName>
    <definedName name="SRIOVDisabled" localSheetId="7">[4]!Table15[SRIOVDisabled]</definedName>
    <definedName name="SRIOVDisabled">Table15[SRIOVDisabled]</definedName>
    <definedName name="SRIOVDisabledNA_SRIOV_is_Enabled" localSheetId="7">[4]!Table26[SRIOVDisabledNA_SRIOV_is_Enabled]</definedName>
    <definedName name="SRIOVDisabledNA_SRIOV_is_Enabled">Table26[SRIOVDisabledNA_SRIOV_is_Enabled]</definedName>
    <definedName name="Standardcostperday">[1]PreDefinedValues!$D$59</definedName>
    <definedName name="StartDate">41759</definedName>
    <definedName name="Status">[2]Picklist!$K$2:$K$5</definedName>
    <definedName name="Team">[2]Picklist!$F$2:$F$111</definedName>
    <definedName name="Total_MMS" localSheetId="6">#REF!</definedName>
    <definedName name="Total_MMS" localSheetId="3">#REF!</definedName>
    <definedName name="Total_MMS" localSheetId="7">#REF!</definedName>
    <definedName name="Total_MMS" localSheetId="4">#REF!</definedName>
    <definedName name="Total_MMS">#REF!</definedName>
    <definedName name="Total_SMS" localSheetId="6">#REF!</definedName>
    <definedName name="Total_SMS" localSheetId="3">#REF!</definedName>
    <definedName name="Total_SMS" localSheetId="7">#REF!</definedName>
    <definedName name="Total_SMS" localSheetId="4">#REF!</definedName>
    <definedName name="Total_SMS">#REF!</definedName>
    <definedName name="Type_of_Vendor">[2]Picklist!$Q$2:$Q$5</definedName>
    <definedName name="Units_Project">[1]PreDefinedValues!$A$6:$A$54</definedName>
    <definedName name="vb">[5]PreDefinedValues!$A$6:$A$54</definedName>
    <definedName name="VM_ActiveSubs" localSheetId="6">#REF!</definedName>
    <definedName name="VM_ActiveSubs" localSheetId="3">#REF!</definedName>
    <definedName name="VM_ActiveSubs" localSheetId="7">#REF!</definedName>
    <definedName name="VM_ActiveSubs" localSheetId="4">#REF!</definedName>
    <definedName name="VM_ActiveSubs">#REF!</definedName>
    <definedName name="VM_Min_Volume" localSheetId="6">#REF!</definedName>
    <definedName name="VM_Min_Volume" localSheetId="3">#REF!</definedName>
    <definedName name="VM_Min_Volume" localSheetId="7">#REF!</definedName>
    <definedName name="VM_Min_Volume" localSheetId="4">#REF!</definedName>
    <definedName name="VM_Min_Volume">#REF!</definedName>
    <definedName name="VM_Registered" localSheetId="6">#REF!</definedName>
    <definedName name="VM_Registered" localSheetId="3">#REF!</definedName>
    <definedName name="VM_Registered" localSheetId="7">#REF!</definedName>
    <definedName name="VM_Registered" localSheetId="4">#REF!</definedName>
    <definedName name="VM_Registered">#REF!</definedName>
    <definedName name="Voice_Billable">#REF!</definedName>
    <definedName name="WBS_MainArea">[1]PreDefinedValues!$F$6:$G$54</definedName>
    <definedName name="WBS_NAME_TABLE">[1]PreDefinedValues!$I$6:$J$28</definedName>
    <definedName name="WBS_ProvidingUnit">[1]PreDefinedValues!$F$62:$G$683</definedName>
    <definedName name="we">[5]Parameter!$E$4:$E$12</definedName>
    <definedName name="wrn.Project._.Status._.Report." localSheetId="10"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9"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6"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3"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7"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4"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localSheetId="1"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 name="wrn.Project._.Status._.Report." hidden="1">{#N/A,#N/A,FALSE,"Cover";#N/A,#N/A,FALSE,"Project Status Report";#N/A,#N/A,FALSE,"Cost-Schedule Trend Analysis";#N/A,#N/A,FALSE,"Cost Account";#N/A,#N/A,FALSE,"KPIs";#N/A,#N/A,FALSE,"Actions &amp; Issues";#N/A,#N/A,FALSE,"Dependencies";#N/A,#N/A,FALSE,"Risk Register";#N/A,#N/A,FALSE,"Changes";#N/A,#N/A,FALSE,"RAM";#N/A,#N/A,FALSE,"Project History";#N/A,#N/A,FALSE,"Directory"}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55" l="1"/>
  <c r="H27" i="55"/>
  <c r="I26" i="55"/>
  <c r="H26" i="55"/>
  <c r="I25" i="55"/>
  <c r="H25" i="55"/>
  <c r="G24" i="55"/>
  <c r="F24" i="55"/>
  <c r="G23" i="55"/>
  <c r="F23" i="55"/>
  <c r="G22" i="55"/>
  <c r="F22" i="55"/>
  <c r="G21" i="55"/>
  <c r="F21" i="55"/>
  <c r="G20" i="55"/>
  <c r="F20" i="55"/>
  <c r="G19" i="55"/>
  <c r="F19" i="55"/>
  <c r="G18" i="55"/>
  <c r="F18" i="55"/>
  <c r="G17" i="55"/>
  <c r="F17" i="55"/>
  <c r="G16" i="55"/>
  <c r="F16" i="55"/>
  <c r="G15" i="55"/>
  <c r="F15" i="55"/>
  <c r="G14" i="55"/>
  <c r="F14" i="55"/>
  <c r="G13" i="55"/>
  <c r="F13" i="55"/>
  <c r="G12" i="55"/>
  <c r="F12" i="55"/>
  <c r="G11" i="55"/>
  <c r="F11" i="55"/>
  <c r="G10" i="55"/>
  <c r="F10" i="55"/>
  <c r="G9" i="55"/>
  <c r="F9" i="55"/>
  <c r="G8" i="55"/>
  <c r="F8" i="55"/>
  <c r="G7" i="55"/>
  <c r="G6" i="55"/>
  <c r="G5" i="55"/>
  <c r="F5" i="55"/>
  <c r="G4" i="55"/>
  <c r="F4" i="55"/>
  <c r="G3" i="55"/>
  <c r="F3" i="55"/>
  <c r="G2" i="55"/>
  <c r="F2" i="55"/>
  <c r="A116" i="41"/>
  <c r="B57" i="41"/>
  <c r="A57" i="41"/>
  <c r="E111" i="41"/>
  <c r="C111" i="41"/>
  <c r="A116" i="40"/>
  <c r="B57" i="40"/>
  <c r="A57" i="40"/>
  <c r="E111" i="40"/>
  <c r="C111" i="40"/>
  <c r="C52" i="41" l="1"/>
  <c r="E52" i="41"/>
  <c r="C52" i="40"/>
  <c r="E52" i="40"/>
  <c r="C6" i="6"/>
  <c r="C7" i="6"/>
  <c r="C8" i="6"/>
  <c r="C9" i="6"/>
  <c r="C10" i="6"/>
  <c r="C11" i="6"/>
  <c r="E131" i="41"/>
  <c r="G138" i="41" s="1"/>
  <c r="C131" i="41"/>
  <c r="F137" i="41" s="1"/>
  <c r="A59" i="41" l="1"/>
  <c r="G118" i="41"/>
  <c r="F118" i="41"/>
  <c r="E118" i="41"/>
  <c r="D118" i="41"/>
  <c r="C118" i="41"/>
  <c r="A118" i="41"/>
  <c r="B118" i="41"/>
  <c r="G58" i="41"/>
  <c r="F117" i="41"/>
  <c r="E117" i="41"/>
  <c r="D117" i="41"/>
  <c r="C117" i="41"/>
  <c r="G117" i="41"/>
  <c r="A117" i="41"/>
  <c r="B117" i="41"/>
  <c r="G118" i="40"/>
  <c r="A118" i="40"/>
  <c r="B118" i="40"/>
  <c r="G117" i="40"/>
  <c r="B117" i="40"/>
  <c r="A117" i="40"/>
  <c r="A59" i="40"/>
  <c r="G58" i="40"/>
  <c r="G59" i="40"/>
  <c r="G59" i="41"/>
  <c r="F58" i="41"/>
  <c r="F59" i="41"/>
  <c r="E58" i="41"/>
  <c r="E59" i="41"/>
  <c r="D58" i="41"/>
  <c r="D59" i="41"/>
  <c r="C58" i="41"/>
  <c r="B58" i="40"/>
  <c r="C59" i="41"/>
  <c r="B58" i="41"/>
  <c r="B59" i="40"/>
  <c r="A58" i="40"/>
  <c r="B59" i="41"/>
  <c r="A58" i="41"/>
  <c r="D137" i="41"/>
  <c r="D138" i="41"/>
  <c r="C137" i="41"/>
  <c r="G137" i="41"/>
  <c r="A138" i="41"/>
  <c r="E138" i="41"/>
  <c r="A137" i="41"/>
  <c r="E137" i="41"/>
  <c r="B138" i="41"/>
  <c r="F138" i="41"/>
  <c r="B137" i="41"/>
  <c r="C138"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Debdoot Bhattacharyya</author>
  </authors>
  <commentList>
    <comment ref="AE99" authorId="0" shapeId="0" xr:uid="{8C6E65FF-D3AA-43DA-8EC7-CA05F3B0E36A}">
      <text>
        <r>
          <rPr>
            <b/>
            <sz val="9"/>
            <color indexed="81"/>
            <rFont val="Tahoma"/>
            <family val="2"/>
          </rPr>
          <t>Debdoot Bhattacharyya:</t>
        </r>
        <r>
          <rPr>
            <sz val="9"/>
            <color indexed="81"/>
            <rFont val="Tahoma"/>
            <family val="2"/>
          </rPr>
          <t xml:space="preserve">
per POD instance
18M KSAU*100( signalling per HR)*10 kb per signalling procedure*8/3600/1000 / #Workers ( X workers)  less than 1 gbps per worker</t>
        </r>
      </text>
    </comment>
    <comment ref="AF99" authorId="0" shapeId="0" xr:uid="{F17A5500-6011-4757-977B-F217095BE320}">
      <text>
        <r>
          <rPr>
            <b/>
            <sz val="9"/>
            <color indexed="81"/>
            <rFont val="Tahoma"/>
            <family val="2"/>
          </rPr>
          <t>Debdoot Bhattacharyya:</t>
        </r>
        <r>
          <rPr>
            <sz val="9"/>
            <color indexed="81"/>
            <rFont val="Tahoma"/>
            <family val="2"/>
          </rPr>
          <t xml:space="preserve">
per POD instance
18M KSAU*100( signalling per HR)*10 kb per signalling procedure*8/3600/1000 / #Workers ( X workers)  less than 1 gbps per worker</t>
        </r>
      </text>
    </comment>
  </commentList>
</comments>
</file>

<file path=xl/sharedStrings.xml><?xml version="1.0" encoding="utf-8"?>
<sst xmlns="http://schemas.openxmlformats.org/spreadsheetml/2006/main" count="736" uniqueCount="404">
  <si>
    <t>Version</t>
  </si>
  <si>
    <t>Updates</t>
  </si>
  <si>
    <t>1.0.6</t>
  </si>
  <si>
    <t>1) Scenario "B" Removed from "Infra assumptions" TAB. Only One Scenario "A" for assesment now.
2) Updated Scenario "A" in "Infra assumptions" as per revised dimensioning
3) Revised CPU and Memory Limits in "Definitions &amp; Rules" TAB.
4) Corrections in "Capacity and Performance Req." TAB to alig with above changes.
5) Corrections in "cBOM - Site X" TAB to align with above changes.</t>
  </si>
  <si>
    <t>1.0.7</t>
  </si>
  <si>
    <t>1) Column 1 added "request Type"
2) Column 2 added Site
3) Column 3 added "Vertical domain owner"
4) Column 4 added "sub domain"
5) Column 5 added "k8 cluster"
6) Column 10 added "Inter Pod AAF/AFF Rules"
7) Column 13 added "Persistant storage flag"
8) Correction in Column 27, 28
9) Changes made accordingly in "Definitions and Rules" Tab
10) limits and color formatting added in CPU and RAM tab(Q,R,S)</t>
  </si>
  <si>
    <t>1.0.8</t>
  </si>
  <si>
    <t>Vodafone internal version</t>
  </si>
  <si>
    <t>1.0.9</t>
  </si>
  <si>
    <t>1.1.0</t>
  </si>
  <si>
    <t>1.1.1</t>
  </si>
  <si>
    <t>1.1.2</t>
  </si>
  <si>
    <t>1) "Infra assumptions" TAB updated
2) "Definations and rules" TAB updated with new definitions
3) HT guidelines added under "Infra assumptions" TAB
4) RM dimesnsioning added under "Infra assumptions" TAB
5) A new TAB called "CNF_Info" added. To be filled by vendor
6) A new TAB called "DataSheet" added.(internal vodafone use)
7) Column G"Priority" added
8) Column K "Telemetry POD" added
9) Column V "PCPU Limit for POD type" added
10) Input to Column T, U, V changed to milicores.
1) Correction in CNF_info tab on Hyperthreading Note
2) additional info in Cbom Tab on CPU limit request headers</t>
  </si>
  <si>
    <t>1.1.3</t>
  </si>
  <si>
    <t>Revision in throughput guidelines with RMS in "Infra Assumptions" tab</t>
  </si>
  <si>
    <t>1.1.4</t>
  </si>
  <si>
    <t>Typo correction, no changes in rules or addition of any new data</t>
  </si>
  <si>
    <t>versioning schema changed to to match the series of cindox tool version, hence the next version after 1.1.4 is 3.15</t>
  </si>
  <si>
    <t>3.5.1</t>
  </si>
  <si>
    <t>new hardware details added uder "infra assumptions"</t>
  </si>
  <si>
    <t>3.6.1</t>
  </si>
  <si>
    <t>Hardware_Profile Tab added to give more flexibility to change hardware profiles</t>
  </si>
  <si>
    <t>NFV TRS capacity and performance requirements</t>
  </si>
  <si>
    <t>Requirement Title</t>
  </si>
  <si>
    <t>Requirement details</t>
  </si>
  <si>
    <t>Vendor comments</t>
  </si>
  <si>
    <t>cBOM calculation</t>
  </si>
  <si>
    <t xml:space="preserve">For each OpCo and for all relevant CNFs in scope, based on the OpCo-specific traffic model, the vendor shall provide the detailed Bill of Materials for the PODs composing the Application (CNF), i.e. the cBOM, using the following sheets:
- the cBOM shall be described in full detail using the templates in "cBOM -YRx" sheets
- Infrastructure assumptions in "Infrastructure Assumptions" sheet
- "Definitions &amp; Rules" sheet
- Please also fill in sheet "Please Complete" as per the instructions contained in that sheet
- Please also fill in sheet "Supplier Settings" as per the instructions contained in that sheet
cBOM shall be provided for infrastructure Scenarios A/Scenario B  in sheet "Infra assumptions",   
Please note that the cBOMs need to include only the CNFs provided by the vendor, i.e. the CNFs but not the CaaS/VIM.
Please assume POD resiliency schemes with full session resiliency in case of single blade/RM failure and the appropriate antiaffinity rules among PODs of the same type.
The POD sizing shall be performed based for each OpCo on that OpCo's traffic model. PODs are to be used at the % level of utilization of an active POD's processing resources that is indicated in the deployment models of each CNF for each OpCo (that is contained in the OpCo's FSD document) and the capacity statements that are stated for each OpCo and CNF in sheet "Capacity statements" shall be at that same % level of utilization.
</t>
  </si>
  <si>
    <t>Capacity Statements</t>
  </si>
  <si>
    <t xml:space="preserve">For each OpCo and for every POD type composing the CNF, the Vendor shall fill the provided capacity template in sheet “Capacity statements” providing the value of the needed KPIs, based on the OpCo traffic model and at the % level of utilization of an active POD's processing resources that is indicated in the deployment models of each CNF for each OpCo (as described in the OpCo's FSD document). This shall be done for all the capacity parameters that matter for each CNF.
For pre-5G network functions, capacity parameters are defined in sheet "Capacity KPIs".
For 5G network functions, the Vendor shall provide the capacity parameters that matter for each CNF.
Just like cBOMs, capacity statements shall be provided for each of infrastructure Scenarios A in sheet "Infra assumptions"
The vendor shall state which further important assumptions have been made in case the OpCos' traffic models are incomplete.
The vendor shall explain if the provided capacity statements are based on theoretical calculations, computer supported modelling, lab measurements or live network measurements.
Whenever available, the vendor shall provide test reports either from lab measurements like load and performance tests or from any real live network in order to support its capacity statements.
The vendor shall list all the assumptions considered in providing the performance statement (e.g. pinning if applicable), moreover it shall be specified any optimization methods adopted
</t>
  </si>
  <si>
    <t>Min and Max CNF instance cBOMs and capacity</t>
  </si>
  <si>
    <t>The vendor shall provide detailed POD breakdowns i.e. cBOMs for each of the following CNF configuration:
Minimum Size Single Instance CNF with template in tab “Minimum size CNF Configuration”
Maximum Size Single Instance CNF with template in tab “Maximum size CNF Configuration”
In the same sheets the vendor shall also provide the overall capacity figures for the Minimum and Maximum CNF instance, using table "CNF capacity &amp; performance" in the lower part of each sheet, at the same % level of utilization as explained for the requirements above. The capacity parameters that matter for the specific CNFs are defined in sheet "Capacity KPI" for pre-5G network functions and instead shall be proposed by the vendor for 5G network functions.
Both cBOMs and capacity figures shall be provided considering the traffic profiles for each OpCo and CNF.</t>
  </si>
  <si>
    <t>Definition/Rule:</t>
  </si>
  <si>
    <t>Accepted values/guidelines:</t>
  </si>
  <si>
    <t>Remarks:</t>
  </si>
  <si>
    <t>VCPU Request / Limit
(per Pod Type in milicores)</t>
  </si>
  <si>
    <t xml:space="preserve">0 &lt;=10000 millicores
(recommended)
(In multiples of 50 millicores)
10000 &lt;=20000/ 22000/24000/26000 (please check infra assumptions tab)
(in exception cases with justification)
</t>
  </si>
  <si>
    <t>Oversized pods are highly discouraged, cloud-native apps should generally be created as microservices.
CPU requests and limits should be specified at the singular pod level - i.e. per POD TYPE in milicores
If a basic application contains 'N' identical pods of a certain type, then CPU values (columns J &amp; K) should be entered for just a single pod corresponding to that pod type, and the number of pod type (column E), or equivalently the number of replicas, should be specified as 'N'. For example, if the basic application is comprised of 6 identical pods with each pod requiring 2000-26000 CPU milicores(please check infra tab to get to correct limit), the CPU request/limit = 2000, and the 'Number of Pod Type per CNF instance' = 6.
Pods requiring over 10000 VCPUs milicores are not recommended. However, with proper justification POD sizes uptil 20000 VCPU Milicores can be accepted. Special case: if a Pod Type has an AFF (affinity requirement), whereby multiple replicas of the same pod must reside on the same worker node, then the maximum CPU Request/Limit is lower, and equal to 20 divided by the max number of replicas for that pod type. (E.g. max 2 CPU for a Pod Type with AFF requirement, and replicas = 10).</t>
  </si>
  <si>
    <t>Memory Request / Limit
(per Pod Type)</t>
  </si>
  <si>
    <t xml:space="preserve">0 &lt;= 100
(In GB)
(for smaller PODs i.e CPU less than 10000 milicores)
0 &lt;= 200
(In GB)
(for bigger PODs i.e CPU less than 20000 milicores)
</t>
  </si>
  <si>
    <t>Oversized pods are highly discouraged, cloud-native apps should generally be created as microservices.
Memory requests and limits should be specified at the singular pod level - i.e. per POD TYPE. 
If a basic application contains 'N' identical pods of a certain type, then Memory values (columns L &amp; M) should be entered for just a single pod corresponding to that pod type, and the number of pod type (column E), or equivalently the number of replicas, should be specified as 'N'. For example, if the basic application is comprised of 6 identical pods with each pod requiring 4 GB of memory, the Memory request/limit = 4, and the 'Number of Pod Type per CNF instance' = 6.
Pods requiring over 100 GB of RAM are not Recommended,However, with proper justification POD sizes uptil 200 GB can be accepted. . Special case: if a Pod Type has an AFF (affinity requirement), whereby multiple replicas of the same pod must reside on the same worker node, then the maximum Memory Request/Limit is lower, and equal to 128 divided by the max number of replicas for that pod type. (E.g. max 16GB for a Pod Type with AFF requirement, and replicas = 8).</t>
  </si>
  <si>
    <t>Site</t>
  </si>
  <si>
    <t>Site Name</t>
  </si>
  <si>
    <t>Enter the name of the Site for which the Cbom is submitted, Please note that only one site should be entered in one Cbom. For a different site a different Cbom must be filled</t>
  </si>
  <si>
    <t>Request Type</t>
  </si>
  <si>
    <t>Feasibility, Committed</t>
  </si>
  <si>
    <t>Feasibility. This is for high level cost analysis. The demand can be treated as greenfield and won't be retained and integrated to the NVI estate.( Feasibility is the Default value)
Committed. This is for firm demands that will be built. These will be modelled in conjunction with the existing planned/deployed hardware.</t>
  </si>
  <si>
    <t>K8 cluster</t>
  </si>
  <si>
    <t>Name of the cluster</t>
  </si>
  <si>
    <t>Self Explanatory</t>
  </si>
  <si>
    <t>Node Pool</t>
  </si>
  <si>
    <t>Name of the Node pool</t>
  </si>
  <si>
    <t>Priority</t>
  </si>
  <si>
    <t>Defining priority class for the POD</t>
  </si>
  <si>
    <t>Please refer to the priority table below(line 19-28) to assign the right priorty to the POD. Higher priorty POD will be placed instantiated first and alos placed first by the script.</t>
  </si>
  <si>
    <t>DaemonSet POD</t>
  </si>
  <si>
    <t>"yes" if the POD is a DaemonSet POD and needs to be on all the worker nodes
"No" I f POD is not a DaemonSet POD</t>
  </si>
  <si>
    <t>The resources of a DaemonSet POD will be reserved on every WN, since one instance of the Telemetry POD will be required on each WN.</t>
  </si>
  <si>
    <t>Intra Pod AAF/AFF Rules</t>
  </si>
  <si>
    <t>Either 'None', 'AFF' or 'AAF'</t>
  </si>
  <si>
    <t>Currently only simple AFF/AAF relationships between pods of the same pod type are supported by VINO. Complex Operators (e.g. Exists, Does Not Exist, LT &amp; GT) affinity operators are OOS (Out of Scope). Please only insert pod affinity/anti-affinity requirement if absolutely required by the application, as this has a large CPU overhead in large K8s clusters.</t>
  </si>
  <si>
    <t>Inter Pod AAF/AFF Rules</t>
  </si>
  <si>
    <t>AFF{CNFA.PodA, CNFA.PodB, CNFB.PodC}= Affinity between CNFA.PodA, CNFA.PodB, CNFB.PodC
AAF{CNFC.PodC, CNFC.PodA}=antiaffinity between PodC and PodA of CNF C)</t>
  </si>
  <si>
    <t>To define affinity rules inbetween different PODs</t>
  </si>
  <si>
    <t>Enhanced HA Required? (Default = FALSE)</t>
  </si>
  <si>
    <t>TRUE, FALSE</t>
  </si>
  <si>
    <t>Relevant for CNFs with strict HA requirements. – in case the components (certain pods/pod-types) of a CNF have strict HA requirements. 
As the target platform is likely to be a virtualized container platform, enacting simple anti-affinity rules may not guarantee that a group of pods are scheduled onto different underlying physical hosts (even if they may be running on different K8s worker nodes).
In case strict high-availability is required for a grouping of pods, please consider changing the value in this column from false to true, this will ensure that the pods are scheduled across different availability zones and/or fault-domains (note: this only applies if anti-affinity is requested for a pod-type). Please note that this may result in increased costs, as individual fault domains (requiring non-shared hardware) will need to be sized up to accomodate the application resource requirements.</t>
  </si>
  <si>
    <t>Persistant storage flag</t>
  </si>
  <si>
    <t>Any Flag inbetween[A-Z]
In case more flags required bigger set can be used [AA-ZZ]</t>
  </si>
  <si>
    <t>Same flag to be marked against all the PODs sharing the same persistant volume(PV). E.g if POD A and POD B have access to same shared volume, Same flag (e.g. "A" flag) should be marked against PV of both the PODs. The next set of PODs sharing PV should be alloted a different flag ( "B" flag). similarly all the different set of  PODs sharing different PVs will have different flags inbetween [A-Z] or [AA-ZZ].
Note: this is only applicable to PVs that are RWX(read/Write Many)</t>
  </si>
  <si>
    <t>[STORE] Persistent Volume Access Mode</t>
  </si>
  <si>
    <t>Different storage providers have different capabilities and access modes for persistent volumes can vary (even for a single storage provider - e.g. NFS supports multiple read/write clients, but can also be exported as read only).
Access modes in K8s are:
ReadWriteOnce – the volume can be mounted as read-write by a single node
ReadOnlyMany – the volume can be mounted read-only by many nodes
ReadWriteMany – the volume can be mounted as read-write by many nodes
In the vBOM template, the access modes are abbreviated to:
RWO - ReadWriteOnce
ROX - ReadOnlyMany
RWX - ReadWriteMany</t>
  </si>
  <si>
    <t>[NTWK]
North/South 
bandwidth 
requirement for Pod Type
[PPS x Packet size]</t>
  </si>
  <si>
    <t>n/a</t>
  </si>
  <si>
    <t>North/South bandwidth = the amount of traffic entering or leaving the Pod from outside the datacenter (or another legacy node in the datacenter).
East/West bandwidth = the amount of traffic entering or leaving the Pod from another Pod within the datacenter.</t>
  </si>
  <si>
    <t>[NTWK]
East/West 
bandwidth 
requirement for Pod Type
[PPS x Packet size]</t>
  </si>
  <si>
    <t>List of Special Requirements</t>
  </si>
  <si>
    <r>
      <t xml:space="preserve">Example special requirements:
</t>
    </r>
    <r>
      <rPr>
        <u/>
        <sz val="11"/>
        <color theme="1"/>
        <rFont val="Calibri"/>
        <family val="2"/>
        <scheme val="minor"/>
      </rPr>
      <t xml:space="preserve">Storage:
</t>
    </r>
    <r>
      <rPr>
        <sz val="11"/>
        <color theme="1"/>
        <rFont val="Calibri"/>
        <family val="2"/>
        <scheme val="minor"/>
      </rPr>
      <t xml:space="preserve">Here shall be added the amount of storage to host the containers template/images. 
</t>
    </r>
    <r>
      <rPr>
        <u/>
        <sz val="11"/>
        <color theme="1"/>
        <rFont val="Calibri"/>
        <family val="2"/>
        <scheme val="minor"/>
      </rPr>
      <t xml:space="preserve">Networking:
</t>
    </r>
    <r>
      <rPr>
        <sz val="11"/>
        <color theme="1"/>
        <rFont val="Calibri"/>
        <family val="2"/>
        <scheme val="minor"/>
      </rPr>
      <t xml:space="preserve">- E.g. multiple network/eth interfaces per pod
- E.g. manually-assigned IP addresses (k8s typically allocates addresses automatically from a pool)
- E.g. DPDK/SR-IOV support
- E.g. NIC bonding
- E.g. non-standard K8s networking protocols (e.g. SCTP, in addition to TCP/UDP)
- E.g. dual stack IPv4/IPv6 support (i.e. the ability to configure both IPv4 and IPv6 addresses within the same K8s pod)
</t>
    </r>
    <r>
      <rPr>
        <u/>
        <sz val="11"/>
        <color theme="1"/>
        <rFont val="Calibri"/>
        <family val="2"/>
        <scheme val="minor"/>
      </rPr>
      <t>Compute:</t>
    </r>
    <r>
      <rPr>
        <sz val="11"/>
        <color theme="1"/>
        <rFont val="Calibri"/>
        <family val="2"/>
        <scheme val="minor"/>
      </rPr>
      <t xml:space="preserve">
- NUMA affinity
- CPU pinning
- inter-pod affinity and anti-affinity
- node affinity
- baremetal container/cluster support
- GPU acceleration
- Huge Page support</t>
    </r>
  </si>
  <si>
    <t>Priority Table</t>
  </si>
  <si>
    <t>name</t>
  </si>
  <si>
    <t>Priority/value</t>
  </si>
  <si>
    <t>preemptionPolicy</t>
  </si>
  <si>
    <t>globalDefault</t>
  </si>
  <si>
    <t>preemptive-high-priority</t>
  </si>
  <si>
    <t>PreemptLowerPriority</t>
  </si>
  <si>
    <t>nonPreemptive-high-priority</t>
  </si>
  <si>
    <t>Never</t>
  </si>
  <si>
    <t>preemptive-medium-high-priority</t>
  </si>
  <si>
    <t>nonPreemptive-medium-high-priority</t>
  </si>
  <si>
    <t>preemptive-medium-priority</t>
  </si>
  <si>
    <t>nonPreemptive-medium-priority</t>
  </si>
  <si>
    <t>preemptive-low-priority</t>
  </si>
  <si>
    <t>nonPreemptive--low-priority</t>
  </si>
  <si>
    <t>CPU --kube-reserved=[cpu=500m]</t>
  </si>
  <si>
    <t>Default reservation for kubelet in our dimensioning tool is 500m, it can be max up to 1 cpu</t>
  </si>
  <si>
    <t>https://kubernetes.io/docs/tasks/administer-cluster/reserve-compute-resources/</t>
  </si>
  <si>
    <t>CPU --system-reserved=[cpu=500m]</t>
  </si>
  <si>
    <t>Default reservation for system in our dimensioning tool is 500m, it can be max up to 1 cpu</t>
  </si>
  <si>
    <t>Mem --kube-reserved=[memory=1000Mi]</t>
  </si>
  <si>
    <t>Default reservation for kubelet in our dimensioning tool is 1Gi, it can be max up to 4Gi</t>
  </si>
  <si>
    <t>Mem --system-reserved=[memory=1000Mi]</t>
  </si>
  <si>
    <t>Default reservation for system in our dimensioning tool is 1Gi, it can be max up to 4Gi</t>
  </si>
  <si>
    <t>CNF Sizing, Capacity and Performance</t>
  </si>
  <si>
    <t>Requirements in this section have been defined in order to understand supported capacities and performance of the CNF in relation to its sizing and scalability. Furthermore, limitations have to be understood impacting scalability and maximum capacities.
The focus is on the HW independent scaling of CNFs. But for benchmarking purposes a HW configuration has been defined in detail in order to get a better understanding what a particular CNF running on a particular HW can deliver in terms of capacity and performance.
The assumptions in this tab may be subject to change.</t>
  </si>
  <si>
    <t>Vodafone Container BOM (cBOM) Template</t>
  </si>
  <si>
    <t>Document Info:</t>
  </si>
  <si>
    <t>Document Version:</t>
  </si>
  <si>
    <t>Author:</t>
  </si>
  <si>
    <t>Vodafone Group (O.U - VINO LCM)</t>
  </si>
  <si>
    <t>Supplier To Complete:</t>
  </si>
  <si>
    <t>Supplier Name:</t>
  </si>
  <si>
    <t>Ericsson</t>
  </si>
  <si>
    <t>Supplier Contact (Email Address):</t>
  </si>
  <si>
    <t>sean.rowland@ericsson.com</t>
  </si>
  <si>
    <t>Date of submission:</t>
  </si>
  <si>
    <t>Supplier cBOM Version:</t>
  </si>
  <si>
    <t>Rev AB</t>
  </si>
  <si>
    <t>OpCo Site Name:</t>
  </si>
  <si>
    <t>OM</t>
  </si>
  <si>
    <t>Supplier Instructions:</t>
  </si>
  <si>
    <r>
      <t>1)</t>
    </r>
    <r>
      <rPr>
        <b/>
        <sz val="11"/>
        <color rgb="FFFF0000"/>
        <rFont val="Calibri"/>
        <family val="2"/>
        <scheme val="minor"/>
      </rPr>
      <t xml:space="preserve"> Please complete the section labelled 'Supplier To Complete' above</t>
    </r>
    <r>
      <rPr>
        <sz val="11"/>
        <color theme="1"/>
        <rFont val="Calibri"/>
        <family val="2"/>
        <scheme val="minor"/>
      </rPr>
      <t xml:space="preserve">, by indicating cBOM version (and date of the file), and providing your contact details.
2) </t>
    </r>
    <r>
      <rPr>
        <b/>
        <sz val="18"/>
        <color rgb="FFFF0000"/>
        <rFont val="Calibri"/>
        <family val="2"/>
        <scheme val="minor"/>
      </rPr>
      <t>Please provide a copy of this cBOM template PER site</t>
    </r>
    <r>
      <rPr>
        <sz val="11"/>
        <color theme="1"/>
        <rFont val="Calibri"/>
        <family val="2"/>
        <scheme val="minor"/>
      </rPr>
      <t xml:space="preserve"> (i.e. physical deployment - e.g. datacenter). If multiple sites have the exact same requirements for all years, you only need to complete this template ONCE, and you must inform us that it applies for multiple sites. </t>
    </r>
    <r>
      <rPr>
        <b/>
        <sz val="11"/>
        <color theme="1"/>
        <rFont val="Calibri"/>
        <family val="2"/>
        <scheme val="minor"/>
      </rPr>
      <t>Please do not submit information applicable to multiple sites within a single template.</t>
    </r>
    <r>
      <rPr>
        <sz val="11"/>
        <color theme="1"/>
        <rFont val="Calibri"/>
        <family val="2"/>
        <scheme val="minor"/>
      </rPr>
      <t xml:space="preserve">
3) Mandatory tabs that must be completed are coloured in red below ('Please Complete', 'Supplier Settings', 'cBOM - YR1', 'cBOM - YR2',...'cBOM-YR5'.) However </t>
    </r>
    <r>
      <rPr>
        <b/>
        <sz val="11"/>
        <color rgb="FFFF0000"/>
        <rFont val="Calibri"/>
        <family val="2"/>
        <scheme val="minor"/>
      </rPr>
      <t xml:space="preserve">please start by completing the 'Supplier Settings' tab first.
</t>
    </r>
    <r>
      <rPr>
        <sz val="11"/>
        <rFont val="Calibri"/>
        <family val="2"/>
        <scheme val="minor"/>
      </rPr>
      <t>4)</t>
    </r>
    <r>
      <rPr>
        <b/>
        <sz val="11"/>
        <color rgb="FFFF0000"/>
        <rFont val="Calibri"/>
        <family val="2"/>
        <scheme val="minor"/>
      </rPr>
      <t xml:space="preserve"> </t>
    </r>
    <r>
      <rPr>
        <b/>
        <sz val="18"/>
        <color rgb="FFFF0000"/>
        <rFont val="Calibri"/>
        <family val="2"/>
        <scheme val="minor"/>
      </rPr>
      <t>Please do not modify any sheet/tab names.</t>
    </r>
  </si>
  <si>
    <t>SW Versions Considered in this Revision</t>
  </si>
  <si>
    <t>SC 1.13</t>
  </si>
  <si>
    <t>EDA 2.17</t>
  </si>
  <si>
    <t>Hyperthreading</t>
  </si>
  <si>
    <t>set1</t>
  </si>
  <si>
    <t>Set2</t>
  </si>
  <si>
    <t>Enabled</t>
  </si>
  <si>
    <t>Auto</t>
  </si>
  <si>
    <t>Disabled</t>
  </si>
  <si>
    <t>Config-1</t>
  </si>
  <si>
    <t>Config-3-(HT)</t>
  </si>
  <si>
    <t>Config-2</t>
  </si>
  <si>
    <t>Config-4-(HT)</t>
  </si>
  <si>
    <t>Requirement</t>
  </si>
  <si>
    <t>HTSet3</t>
  </si>
  <si>
    <t>HTSet4</t>
  </si>
  <si>
    <t>HTSet5</t>
  </si>
  <si>
    <t>HTset6</t>
  </si>
  <si>
    <t>HTset7</t>
  </si>
  <si>
    <t>General_Purpose</t>
  </si>
  <si>
    <t>SRIOV</t>
  </si>
  <si>
    <t>EDP</t>
  </si>
  <si>
    <t>Others</t>
  </si>
  <si>
    <t>OP_HT</t>
  </si>
  <si>
    <t>OP_1</t>
  </si>
  <si>
    <t>OP_2</t>
  </si>
  <si>
    <t>Not Used</t>
  </si>
  <si>
    <t>Used</t>
  </si>
  <si>
    <t>Enabled_POD_level_dimensioning_on_CPU_request</t>
  </si>
  <si>
    <t>Enabled_WN_Level_2_to_1</t>
  </si>
  <si>
    <t>Enabled_WN_Level_3_to_1_only_for_non_service_affecting_nodepool</t>
  </si>
  <si>
    <t>Enabled_WN_Level_4_to_1_only_for_non_service_affecting_nodepool</t>
  </si>
  <si>
    <t>General_PurposeDisabled</t>
  </si>
  <si>
    <t>General_PurposeEnabled</t>
  </si>
  <si>
    <t>SRIOVDisabled</t>
  </si>
  <si>
    <t>EDPDisabled</t>
  </si>
  <si>
    <t>Huge_PagesDisabled</t>
  </si>
  <si>
    <t>Huge_PagesEnabled</t>
  </si>
  <si>
    <t>OthersDisabled</t>
  </si>
  <si>
    <t>OthersEnabled</t>
  </si>
  <si>
    <t>NA_SRIOV_is_Enabled</t>
  </si>
  <si>
    <t>NA_EDP_is_Enabled</t>
  </si>
  <si>
    <t>Throughput</t>
  </si>
  <si>
    <t>RMS High_Perf-EDP-NoProbing: 50000,</t>
  </si>
  <si>
    <t>RMS High_Perf-EDP-Probing: 30000,</t>
  </si>
  <si>
    <t>RMS High_Perf-NoProbing: 30000,</t>
  </si>
  <si>
    <t>RMS High_Perf-Probing: 20000,</t>
  </si>
  <si>
    <t>RMS Standard-EDP-NoProbing : 25000</t>
  </si>
  <si>
    <t>RMS Standard-EDP-Probing: 15000,</t>
  </si>
  <si>
    <t>RMS Standard-NoProbing : 15000,</t>
  </si>
  <si>
    <t>EDPDisabledNA_EDP_is_Enabled</t>
  </si>
  <si>
    <t>RMS Standard-Probing: 10000,</t>
  </si>
  <si>
    <t>Synergy Hig_Perf(100GB termination): 20000,</t>
  </si>
  <si>
    <t>Synergy Standard((100GB termination) : 10000,</t>
  </si>
  <si>
    <t>SRIOVDisabledNA_SRIOV_is_Enabled</t>
  </si>
  <si>
    <t>Synergy Hig_Perf(40GB termination): 16000,</t>
  </si>
  <si>
    <t>OthersDisabledDisabled</t>
  </si>
  <si>
    <t>Synergy Standard((40GB termination): 8000,</t>
  </si>
  <si>
    <t>OthersEnabledNA_HT_is_already_Enabled</t>
  </si>
  <si>
    <t>C7K High_Perf : 12000,</t>
  </si>
  <si>
    <t>C7k Standard : 6000</t>
  </si>
  <si>
    <t>General_PurposeDisabledDisabled</t>
  </si>
  <si>
    <t>General_PurposeDisabledEnabled_POD_level_dimensioning_on_CPU_request</t>
  </si>
  <si>
    <t>General_PurposeDisabledEnabled_WN_Level_2_to_1</t>
  </si>
  <si>
    <t>General_PurposeDisabledEnabled_WN_Level_3_to_1_only_for_non_service_affecting_nodepool</t>
  </si>
  <si>
    <t>General_PurposeDisabledEnabled_WN_Level_4_to_1_only_for_non_service_affecting_nodepool</t>
  </si>
  <si>
    <t>General_PurposeEnabledDisabled</t>
  </si>
  <si>
    <t>Huge_PagesDisabledDisabled</t>
  </si>
  <si>
    <t>Huge_PagesDisabledEnabled_POD_level_dimensioning_on_CPU_request</t>
  </si>
  <si>
    <t>Huge_PagesDisabledEnabled_WN_Level_2_to_1</t>
  </si>
  <si>
    <t>Huge_PagesDisabledEnabled_WN_Level_3_to_1_only_for_non_service_affecting_nodepool</t>
  </si>
  <si>
    <t>Huge_PagesDisabledEnabled_WN_Level_4_to_1_only_for_non_service_affecting_nodepool</t>
  </si>
  <si>
    <t>Huge_PagesEnabledDisabled</t>
  </si>
  <si>
    <t>OthersDisabledEnabled_POD_level_dimensioning_on_CPU_request</t>
  </si>
  <si>
    <t>OthersDisabledEnabled_WN_Level_2_to_1</t>
  </si>
  <si>
    <t>OthersDisabledEnabled_WN_Level_3_to_1_only_for_non_service_affecting_nodepool</t>
  </si>
  <si>
    <t>OthersDisabledEnabled_WN_Level_4_to_1_only_for_non_service_affecting_nodepool</t>
  </si>
  <si>
    <t>OthersEnabledDisabled</t>
  </si>
  <si>
    <t>Config3-Standard</t>
  </si>
  <si>
    <t>Config7-OverProvisioning</t>
  </si>
  <si>
    <t>Config7-OverProvisioing</t>
  </si>
  <si>
    <t>Config5-HT</t>
  </si>
  <si>
    <t>Config8-SRIOV</t>
  </si>
  <si>
    <t>Config1-EDP</t>
  </si>
  <si>
    <t>Config4-Standard</t>
  </si>
  <si>
    <t>Custom-Config1</t>
  </si>
  <si>
    <t>Config6-HT</t>
  </si>
  <si>
    <t>Config2-EDP</t>
  </si>
  <si>
    <t>Custom-Config2</t>
  </si>
  <si>
    <t>Custom-Config3</t>
  </si>
  <si>
    <t>RMS_Sapphire_Rapid_100GB: 100000</t>
  </si>
  <si>
    <t>RMS_Sapphire_Rapid_25GB: 50000</t>
  </si>
  <si>
    <t>RMS_AMD_100GB_High_RAM: 100000</t>
  </si>
  <si>
    <t>RMS_AMD_100GB_Low_RAM: 100000</t>
  </si>
  <si>
    <t>RMS_AMD_25GB_High_RAM: 50000</t>
  </si>
  <si>
    <t>RMS_AMD_25GB_Low_RAM: 50000</t>
  </si>
  <si>
    <t>Hardware</t>
  </si>
  <si>
    <t>Total CPU</t>
  </si>
  <si>
    <t xml:space="preserve">Total RAM </t>
  </si>
  <si>
    <t>Sockets</t>
  </si>
  <si>
    <t>CPU Reservation</t>
  </si>
  <si>
    <t>RAM Reservation</t>
  </si>
  <si>
    <t>Usable CPU</t>
  </si>
  <si>
    <t>Usable RAM</t>
  </si>
  <si>
    <t>CPU EDP Reservation</t>
  </si>
  <si>
    <t>RMS High_Perf-EDP-NoProbing</t>
  </si>
  <si>
    <t>RMS High_Perf-EDP-Probing</t>
  </si>
  <si>
    <t>RMS High_Perf-NoProbing</t>
  </si>
  <si>
    <t>RMS High_Perf-Probing</t>
  </si>
  <si>
    <t xml:space="preserve">RMS Standard-EDP-NoProbing </t>
  </si>
  <si>
    <t>RMS Standard-EDP-Probing</t>
  </si>
  <si>
    <t xml:space="preserve">RMS Standard-NoProbing </t>
  </si>
  <si>
    <t>RMS Standard-Probing</t>
  </si>
  <si>
    <t>Synergy Hig_Perf(100GB termination)</t>
  </si>
  <si>
    <t xml:space="preserve">Synergy Standard((100GB termination) </t>
  </si>
  <si>
    <t>Synergy Hig_Perf(40GB termination)</t>
  </si>
  <si>
    <t>Synergy Standard((40GB termination)</t>
  </si>
  <si>
    <t xml:space="preserve">C7K High_Perf </t>
  </si>
  <si>
    <t xml:space="preserve">C7k Standard </t>
  </si>
  <si>
    <t>Intel Sapphire Rapid EDP high perf(100 GB)</t>
  </si>
  <si>
    <t>intel Sapphire Rapid high Perf(100 GB)</t>
  </si>
  <si>
    <t>Intel Sapphire Rapid low perf(25 GB)</t>
  </si>
  <si>
    <t>AMD EDP High Perf-high RAM(100 GB)</t>
  </si>
  <si>
    <t>AMD EDP High Perf-low RAM(100 GB)</t>
  </si>
  <si>
    <t>AMD High Perf-high RAM(100 GB)</t>
  </si>
  <si>
    <t>AMD High Perf-low RAM(100 GB)</t>
  </si>
  <si>
    <t>AMD low Perf-high RAM(25 GB)</t>
  </si>
  <si>
    <t>AMD low Perf-low RAM(25 GB)</t>
  </si>
  <si>
    <t>Custom_HW_profile1</t>
  </si>
  <si>
    <t>Custom_HW_profile2</t>
  </si>
  <si>
    <t>Custom_HW_profile3</t>
  </si>
  <si>
    <t>K8 Cluster Name</t>
  </si>
  <si>
    <t>Nodepool Name</t>
  </si>
  <si>
    <t>Comments (This columns will not be processed by cindox)</t>
  </si>
  <si>
    <t>Nodepool Breakup
*(If "Yes" selected, VF may/maynot split the nodepool to achieve best possible hardware utilisation)</t>
  </si>
  <si>
    <t>Special Requirement.(Any special requiremet will create a separate physical cluster for the nodepool)</t>
  </si>
  <si>
    <t>Hyperthreading
*(Option only available for Control Plane)*</t>
  </si>
  <si>
    <t>OverProvisioning
(To be enabled only for control plane and if HT is disabled)</t>
  </si>
  <si>
    <t>Worker Node Configuration
(Note:To be filled by Vodafone not by vendor)</t>
  </si>
  <si>
    <t>Hardware
(Note:To be filled by Vodafone not by vendor)</t>
  </si>
  <si>
    <t>cpu kubelet (if empty, defaults to a reservation of 500m, does not accept values over 1)</t>
  </si>
  <si>
    <t>mem kubelet  (if empty assumes 2, cannot be more then 4)</t>
  </si>
  <si>
    <t>cpu system (if empty, defaults to a reservation of 500m, does not accept values over 1)</t>
  </si>
  <si>
    <t>mem system (if empty assumes 2, cannot be more then 4)</t>
  </si>
  <si>
    <t>*Note:Hyperthreading enabled does not mean double the cpu performance, only after discussion and approval with CNF vendor shoud it be enabled.</t>
  </si>
  <si>
    <t>Aggergate image size on k8 cluster(Note: if left empty default 10 GB will be assumed )</t>
  </si>
  <si>
    <r>
      <t xml:space="preserve">Container BOM </t>
    </r>
    <r>
      <rPr>
        <sz val="12"/>
        <color rgb="FFE60000"/>
        <rFont val="Vodafone Rg"/>
        <family val="2"/>
      </rPr>
      <t>Template</t>
    </r>
  </si>
  <si>
    <t xml:space="preserve">VNF Name </t>
  </si>
  <si>
    <t>Requirements - Y1 (FY 21/22)</t>
  </si>
  <si>
    <t>Request type</t>
  </si>
  <si>
    <t>Vertical domian owner</t>
  </si>
  <si>
    <t>Function Standard Name</t>
  </si>
  <si>
    <t xml:space="preserve">CNF Name </t>
  </si>
  <si>
    <t>Pod Type</t>
  </si>
  <si>
    <t>Description of each POD role</t>
  </si>
  <si>
    <t>Intra Pod AAF/AFF Rules
NOTE : In case of AFF (affinity) rules, the CPU limit should not exceed 20 for the entire group of PODS.</t>
  </si>
  <si>
    <t>Inter Pod AAF/AFF Rules
Note: these are the rules between different PODS</t>
  </si>
  <si>
    <t>Enhanced HA Required?
(Default = false, see Definitions Tab for Guidance)</t>
  </si>
  <si>
    <t>Pod Type QoS</t>
  </si>
  <si>
    <t xml:space="preserve">Persistant storage flag-To identify if two different PODs are using same PV.(only applicable for Read write many or Read only Many) </t>
  </si>
  <si>
    <t>Pod HPA (Horizontal Pod Autoscaler) Enabled?</t>
  </si>
  <si>
    <t>Number of CNF instances per Site</t>
  </si>
  <si>
    <r>
      <t xml:space="preserve">Number of Pods per Pod Type
</t>
    </r>
    <r>
      <rPr>
        <sz val="10.5"/>
        <rFont val="Calibri"/>
        <family val="2"/>
        <scheme val="minor"/>
      </rPr>
      <t xml:space="preserve">(Inc. maxReplicas if HPA is enabled) </t>
    </r>
  </si>
  <si>
    <t xml:space="preserve"> [CPU]
VCPU REQUEST for Pod Type
(Virtual cpu in Milicores, in multiples of 250)
*Value to be used in helm chart</t>
  </si>
  <si>
    <t xml:space="preserve"> [CPU]
VCPU LIMIT for Pod Type
(Virtual CPU in Milicores, in multiples of 250)
*Value to be used in helm chart</t>
  </si>
  <si>
    <t xml:space="preserve"> [CPU]
PCPU LIMIT for Pod Type
(Physical CPU in Milicores, in multiples of 250)</t>
  </si>
  <si>
    <r>
      <t xml:space="preserve">[MEM]
MEM </t>
    </r>
    <r>
      <rPr>
        <u/>
        <sz val="10.5"/>
        <rFont val="Calibri"/>
        <family val="2"/>
        <scheme val="minor"/>
      </rPr>
      <t>REQUEST</t>
    </r>
    <r>
      <rPr>
        <sz val="10.5"/>
        <rFont val="Calibri"/>
        <family val="2"/>
        <scheme val="minor"/>
      </rPr>
      <t xml:space="preserve"> for Pod Type
(Enter value in GB)</t>
    </r>
  </si>
  <si>
    <r>
      <t xml:space="preserve">[MEM]
MEM </t>
    </r>
    <r>
      <rPr>
        <u/>
        <sz val="10.5"/>
        <rFont val="Calibri"/>
        <family val="2"/>
        <scheme val="minor"/>
      </rPr>
      <t>LIMIT</t>
    </r>
    <r>
      <rPr>
        <sz val="10.5"/>
        <rFont val="Calibri"/>
        <family val="2"/>
        <scheme val="minor"/>
      </rPr>
      <t xml:space="preserve"> for Pod Type
(Enter value in GB)</t>
    </r>
  </si>
  <si>
    <t xml:space="preserve">[STORE]
Non-Persistent Storage for Pod Type
(Enter value in GB)
</t>
  </si>
  <si>
    <t>[STORE]
Persistent Volumes Required?</t>
  </si>
  <si>
    <t>[STORE]
Persistent Volume Access Mode</t>
  </si>
  <si>
    <t xml:space="preserve">[STORE]
Persistent Storage for Pod Type
(Enter value in GB)
</t>
  </si>
  <si>
    <t>[STORE]
Storage IOPS* 
for Pod Type</t>
  </si>
  <si>
    <t>[STORE]
Storage R/W Workload Distribution
(%/%)</t>
  </si>
  <si>
    <t>[NTWK]
North/South 
bandwidth 
requirement for Pod Type
[PPS x Packet size]
 (Mbit/s)</t>
  </si>
  <si>
    <t>[NTWK]
East/West 
bandwidth 
requirement for Pod Type
[PPS x Packet size]
 (Mbit/s)</t>
  </si>
  <si>
    <t>Any special requirement per POD type?
(refere to List of Special Requirements in "Definitions &amp; Rules" tab)</t>
  </si>
  <si>
    <t>List Special Requirements if applicable. Examples include: Storage for container Images, NodeSelector, NodeAffinity, Multiple Ethernet Interfaces per Pod, CPU Affinity, etc. See definitions Tab for further examples of special requirements.</t>
  </si>
  <si>
    <t>eric-cm-mediator</t>
  </si>
  <si>
    <t>eric-cm-mediator-key-init</t>
  </si>
  <si>
    <t>eric-cm-mediator-notifier</t>
  </si>
  <si>
    <t>eric-cm-yang-provider</t>
  </si>
  <si>
    <t>eric-ctrl-bro</t>
  </si>
  <si>
    <t>eric-data-coordinator-zk</t>
  </si>
  <si>
    <t>eric-data-distributed-coordinator-ed</t>
  </si>
  <si>
    <t>eric-data-distributed-coordinator-ed-agent</t>
  </si>
  <si>
    <t>eric-data-distributed-coordinator-ed-sc</t>
  </si>
  <si>
    <t>eric-data-document-database-pg</t>
  </si>
  <si>
    <t>eric-data-document-database-pg-bragent</t>
  </si>
  <si>
    <t>eric-data-message-bus-kf</t>
  </si>
  <si>
    <t>eric-data-search-engine-curator</t>
  </si>
  <si>
    <t>eric-data-search-engine-data</t>
  </si>
  <si>
    <t>eric-data-search-engine-ingest-tls</t>
  </si>
  <si>
    <t>eric-data-search-engine-master</t>
  </si>
  <si>
    <t>eric-data-wide-column-database-cd-operator</t>
  </si>
  <si>
    <t>eric-fh-alarm-handler</t>
  </si>
  <si>
    <t>eric-fh-snmp-alarm-provider</t>
  </si>
  <si>
    <t>eric-lm-combined-server-license-consumer-handler</t>
  </si>
  <si>
    <t>eric-lm-combined-server-license-server-client</t>
  </si>
  <si>
    <t>eric-log-transformer</t>
  </si>
  <si>
    <t>eric-odca-diagnostic-data-collector</t>
  </si>
  <si>
    <t>eric-odca-diagnostic-data-collector-manual</t>
  </si>
  <si>
    <t>eric-pm-bulk-reporter</t>
  </si>
  <si>
    <t>eric-pm-server</t>
  </si>
  <si>
    <t>eric-sec-admin-user-management</t>
  </si>
  <si>
    <t>eric-sec-certm</t>
  </si>
  <si>
    <t>eric-sec-key-management-main</t>
  </si>
  <si>
    <t>eric-sec-ldap-server</t>
  </si>
  <si>
    <t>eric-sec-ldap-server-proxy</t>
  </si>
  <si>
    <t>eric-sec-sip-tls-main</t>
  </si>
  <si>
    <t>eric-si-application-sys-info-handler</t>
  </si>
  <si>
    <t>eric-tm-ingress-controller-cr-contour</t>
  </si>
  <si>
    <t>eric-cnom-server</t>
  </si>
  <si>
    <t>eric-sc-hcagent</t>
  </si>
  <si>
    <t>eric-sc-manager</t>
  </si>
  <si>
    <t>eric-sc-monitor</t>
  </si>
  <si>
    <t>eric-log-shipper</t>
  </si>
  <si>
    <t>eric-tm-ingress-controller-cr-envoy</t>
  </si>
  <si>
    <t>eric-stm-diameter</t>
  </si>
  <si>
    <t>eric-data-wide-column-database-cd</t>
  </si>
  <si>
    <t>eric-bsf-diameter</t>
  </si>
  <si>
    <t>eric-bsf-manager</t>
  </si>
  <si>
    <t>eric-bsf-manager-vtap1</t>
  </si>
  <si>
    <t>eric-bsf-worker</t>
  </si>
  <si>
    <t>eric-probe-virtual-tap-broker-vtap2</t>
  </si>
  <si>
    <t>eric-scp-manager</t>
  </si>
  <si>
    <t>eric-scp-manager-vtap1</t>
  </si>
  <si>
    <t>eric-scp-worker</t>
  </si>
  <si>
    <t>eric-scp-worker-vtap2</t>
  </si>
  <si>
    <t>eric-sc-rlf</t>
  </si>
  <si>
    <t>Instructions</t>
  </si>
  <si>
    <t>Here below you can find a list of pre-5G NW functions object of this evaluation and for each one a list of KPIs for capacity statements</t>
  </si>
  <si>
    <t>For 5G network functions (e.g. UDM/UDR, 5G Signalling), the Vendor shall provide the capacity parameters that matters for each specific application</t>
  </si>
  <si>
    <t>Those in bold MUST be included by the vendor in the "Capacity statements" sheets, those not in bold are optional and the vendor is free to either provide them or provide alternative ones or nothing</t>
  </si>
  <si>
    <t>The vendor shall provide these KPIs at the % level of utilization of an active POD's processing resources that is indicated in the deployment models of each CNF for each OpCo (as described in the OpCo's FSD document)</t>
  </si>
  <si>
    <t>The vendor shall also state any other limiting KPI that could represent a bottleneck for each CNF/PODs in terms of dimensioning</t>
  </si>
  <si>
    <t>Network Function</t>
  </si>
  <si>
    <t>KPIs</t>
  </si>
  <si>
    <t>EPC</t>
  </si>
  <si>
    <r>
      <t xml:space="preserve">• 2G/3G Attached Users SAU [k] 
• 4G Attached Users  [k]  
• </t>
    </r>
    <r>
      <rPr>
        <b/>
        <sz val="11"/>
        <color theme="1"/>
        <rFont val="Calibri"/>
        <family val="2"/>
        <scheme val="minor"/>
      </rPr>
      <t xml:space="preserve">Total Attached Users[k] </t>
    </r>
    <r>
      <rPr>
        <sz val="11"/>
        <color theme="1"/>
        <rFont val="Calibri"/>
        <family val="2"/>
        <scheme val="minor"/>
      </rPr>
      <t xml:space="preserve">
• </t>
    </r>
    <r>
      <rPr>
        <b/>
        <sz val="11"/>
        <color theme="1"/>
        <rFont val="Calibri"/>
        <family val="2"/>
        <scheme val="minor"/>
      </rPr>
      <t xml:space="preserve">4G Active Users - SAAU [k]  </t>
    </r>
    <r>
      <rPr>
        <sz val="11"/>
        <color theme="1"/>
        <rFont val="Calibri"/>
        <family val="2"/>
        <scheme val="minor"/>
      </rPr>
      <t xml:space="preserve">
• </t>
    </r>
    <r>
      <rPr>
        <b/>
        <sz val="11"/>
        <color theme="1"/>
        <rFont val="Calibri"/>
        <family val="2"/>
        <scheme val="minor"/>
      </rPr>
      <t xml:space="preserve">Tput BH UL+DL[Mbps] Overall </t>
    </r>
    <r>
      <rPr>
        <sz val="11"/>
        <color theme="1"/>
        <rFont val="Calibri"/>
        <family val="2"/>
        <scheme val="minor"/>
      </rPr>
      <t xml:space="preserve">
• Tput BH UL+DL[Mbps] 2G/3G 
• Tput BH UL+DL[Mbps] 4G 
• 2G/3G PDP Context [k]  
• 4G PDP Context [k]  
• </t>
    </r>
    <r>
      <rPr>
        <b/>
        <sz val="11"/>
        <color theme="1"/>
        <rFont val="Calibri"/>
        <family val="2"/>
        <scheme val="minor"/>
      </rPr>
      <t>Total PDP context [k]</t>
    </r>
  </si>
  <si>
    <t>PCRF</t>
  </si>
  <si>
    <r>
      <t xml:space="preserve">max number of transactions </t>
    </r>
    <r>
      <rPr>
        <sz val="11"/>
        <color theme="1"/>
        <rFont val="Calibri"/>
        <family val="2"/>
        <scheme val="minor"/>
      </rPr>
      <t xml:space="preserve">(1 transaction = 1 message one way + 1 message the opposite way) </t>
    </r>
    <r>
      <rPr>
        <b/>
        <sz val="11"/>
        <color theme="1"/>
        <rFont val="Calibri"/>
        <family val="2"/>
        <scheme val="minor"/>
      </rPr>
      <t xml:space="preserve">per second </t>
    </r>
    <r>
      <rPr>
        <sz val="11"/>
        <color theme="1"/>
        <rFont val="Calibri"/>
        <family val="2"/>
        <scheme val="minor"/>
      </rPr>
      <t>on each of the Gx, Rx, Sy, Sd interfaces</t>
    </r>
    <r>
      <rPr>
        <b/>
        <sz val="11"/>
        <color theme="1"/>
        <rFont val="Calibri"/>
        <family val="2"/>
        <scheme val="minor"/>
      </rPr>
      <t xml:space="preserve">; max number of concurrent sessions </t>
    </r>
    <r>
      <rPr>
        <sz val="11"/>
        <color theme="1"/>
        <rFont val="Calibri"/>
        <family val="2"/>
        <scheme val="minor"/>
      </rPr>
      <t>on each of the Gx, Rx, Sy, Sd interfaces</t>
    </r>
    <r>
      <rPr>
        <b/>
        <sz val="11"/>
        <color theme="1"/>
        <rFont val="Calibri"/>
        <family val="2"/>
        <scheme val="minor"/>
      </rPr>
      <t>; max number of SPR provisioned subscribers</t>
    </r>
  </si>
  <si>
    <t>DRA</t>
  </si>
  <si>
    <r>
      <t xml:space="preserve">Diameter TPS: </t>
    </r>
    <r>
      <rPr>
        <sz val="11"/>
        <rFont val="Calibri"/>
        <family val="2"/>
        <scheme val="minor"/>
      </rPr>
      <t>One Diameter Transaction comprises one Diameter Request message and the appropriate Answer message (in Total 4 messages).</t>
    </r>
  </si>
  <si>
    <t>STP/SGW</t>
  </si>
  <si>
    <r>
      <t>MSU per second</t>
    </r>
    <r>
      <rPr>
        <sz val="11"/>
        <color rgb="FF000000"/>
        <rFont val="Calibri"/>
        <family val="2"/>
        <scheme val="minor"/>
      </rPr>
      <t>: 1 MSU = 1MSU transiting via the STP/SGW i.e. 1 MSU entering and 1 MSU exiting after routing</t>
    </r>
  </si>
  <si>
    <t>Please replace "parameter X" headings with the correponding KPI defined in the Capacity KPIs TAB for each domain/CNF</t>
  </si>
  <si>
    <t>POD Type</t>
  </si>
  <si>
    <t>TPS</t>
  </si>
  <si>
    <t>MPS</t>
  </si>
  <si>
    <t>KPI 3</t>
  </si>
  <si>
    <t>etc.</t>
  </si>
  <si>
    <t>Signaling Controller</t>
  </si>
  <si>
    <t xml:space="preserve">eric-data-wide-column-database-cd               </t>
  </si>
  <si>
    <t>NOTE: The capacity statement for a POD is intended at the % level of utilization of an active POD's processing resources that is indicated in the deployment models of each CNF for each OpCo (that is contained in the OpCo's FSD document)</t>
  </si>
  <si>
    <t>SC (BSF) Minimum Size CNF instance description</t>
  </si>
  <si>
    <t>Number of PODs per type</t>
  </si>
  <si>
    <t xml:space="preserve">Number of vCPU per POD </t>
  </si>
  <si>
    <t>RAM (GB) per POD</t>
  </si>
  <si>
    <t>Storage (GB) per POD</t>
  </si>
  <si>
    <t>eric-bsf-worker-vtap1</t>
  </si>
  <si>
    <t>Total</t>
  </si>
  <si>
    <t>CNF capacity &amp; performance</t>
  </si>
  <si>
    <t>BSF HTTP TPS</t>
  </si>
  <si>
    <t>BSF Diameter TPS</t>
  </si>
  <si>
    <t xml:space="preserve">Please write in this row the max capacity values for the minimum size CNF, for each parameter in the columns </t>
  </si>
  <si>
    <t>Unitary Figures per vCPU</t>
  </si>
  <si>
    <t>Unitary Figures per Storage Unit</t>
  </si>
  <si>
    <t>SC (SCP) Minimum Size CNF instance description</t>
  </si>
  <si>
    <t>SCP TPS</t>
  </si>
  <si>
    <t>SC(BSF) Maximum Size CNF instance description</t>
  </si>
  <si>
    <t xml:space="preserve">Please write in this row the max capacity values for the maximum size CNF, for each parameter in the columns </t>
  </si>
  <si>
    <t>Unitary figures per vCPU</t>
  </si>
  <si>
    <t>Unitary figures per Storage unit (GB)</t>
  </si>
  <si>
    <t>SC(SCP) Maximum Size CNF instance description</t>
  </si>
  <si>
    <t>Maximum Size CNF instance description</t>
  </si>
  <si>
    <t>Number of vCPU per POD</t>
  </si>
  <si>
    <t>POD Type 1</t>
  </si>
  <si>
    <t>POD Type 2</t>
  </si>
  <si>
    <t>POD Type n-1</t>
  </si>
  <si>
    <t>POD Type n</t>
  </si>
  <si>
    <t xml:space="preserve">parameter 1 </t>
  </si>
  <si>
    <t>parameter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</si>
</sst>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3">
    <numFmt numFmtId="164" formatCode="_-* #,##0_-;\-* #,##0_-;_-* &quot;-&quot;_-;_-@_-"/>
    <numFmt numFmtId="165" formatCode="_-&quot;£&quot;* #,##0.00_-;\-&quot;£&quot;* #,##0.00_-;_-&quot;£&quot;* &quot;-&quot;??_-;_-@_-"/>
    <numFmt numFmtId="166" formatCode="_-* #,##0.00_-;\-* #,##0.00_-;_-* &quot;-&quot;??_-;_-@_-"/>
    <numFmt numFmtId="167" formatCode="&quot;$&quot;#,##0_);\(&quot;$&quot;#,##0\)"/>
    <numFmt numFmtId="168" formatCode="&quot;$&quot;#,##0.00_);\(&quot;$&quot;#,##0.00\)"/>
    <numFmt numFmtId="169" formatCode="_(&quot;$&quot;* #,##0_);_(&quot;$&quot;* \(#,##0\);_(&quot;$&quot;* &quot;-&quot;_);_(@_)"/>
    <numFmt numFmtId="170" formatCode="_(* #,##0_);_(* \(#,##0\);_(* &quot;-&quot;_);_(@_)"/>
    <numFmt numFmtId="171" formatCode="_(&quot;$&quot;* #,##0.00_);_(&quot;$&quot;* \(#,##0.00\);_(&quot;$&quot;* &quot;-&quot;??_);_(@_)"/>
    <numFmt numFmtId="172" formatCode="_(* #,##0.00_);_(* \(#,##0.00\);_(* &quot;-&quot;??_);_(@_)"/>
    <numFmt numFmtId="173" formatCode="#,##0\ &quot;€&quot;;\-#,##0\ &quot;€&quot;"/>
    <numFmt numFmtId="174" formatCode="#,##0.00\ &quot;€&quot;;[Red]\-#,##0.00\ &quot;€&quot;"/>
    <numFmt numFmtId="175" formatCode="_-* #,##0.00\ _€_-;\-* #,##0.00\ _€_-;_-* &quot;-&quot;??\ _€_-;_-@_-"/>
    <numFmt numFmtId="176" formatCode="_-&quot;€&quot;* #,##0.00_-;\-&quot;€&quot;* #,##0.00_-;_-&quot;€&quot;* &quot;-&quot;??_-;_-@_-"/>
    <numFmt numFmtId="177" formatCode="_-* #,##0_-;\-* #,##0_-;_-* &quot;-&quot;??_-;_-@_-"/>
    <numFmt numFmtId="178" formatCode="0%;\(0%\)"/>
    <numFmt numFmtId="179" formatCode="#,##0;\(#,##0\)"/>
    <numFmt numFmtId="180" formatCode="_-* #,##0&quot; DM&quot;_-;\-* #,##0&quot; DM&quot;_-;_-* &quot;-&quot;&quot; DM&quot;_-;_-@_-"/>
    <numFmt numFmtId="181" formatCode="_(* #,##0_);_(* \(#,##0\);_(* &quot;- &quot;_);_(@_)"/>
    <numFmt numFmtId="182" formatCode=";;;"/>
    <numFmt numFmtId="183" formatCode="#,##0_);\(#,##0\);#,##0_);@_)"/>
    <numFmt numFmtId="184" formatCode="0.0_)\%;\(0.0\)\%;0.0_)\%;@_)_%"/>
    <numFmt numFmtId="185" formatCode="#,##0.0_)_%;\(#,##0.0\)_%;0.0_)_%;@_)_%"/>
    <numFmt numFmtId="186" formatCode="#,##0.0_);\(#,##0.0\)"/>
    <numFmt numFmtId="187" formatCode="#,##0.0_);\(#,##0.0\);#,##0.0_);@_)"/>
    <numFmt numFmtId="188" formatCode="\$#,##0\);\(\$#,##0\)"/>
    <numFmt numFmtId="189" formatCode="&quot;£&quot;_(#,##0.00_);&quot;£&quot;\(#,##0.00\)"/>
    <numFmt numFmtId="190" formatCode="&quot;$&quot;_(#,##0.00_);&quot;$&quot;\(#,##0.00\);&quot;$&quot;_(0.00_);@_)"/>
    <numFmt numFmtId="191" formatCode="0.0_)"/>
    <numFmt numFmtId="192" formatCode="#,##0_ ;\-#,##0\ "/>
    <numFmt numFmtId="193" formatCode="&quot;£ &quot;#,##0.00;\-&quot;£ &quot;#,##0.00"/>
    <numFmt numFmtId="194" formatCode="0.000%"/>
    <numFmt numFmtId="195" formatCode="#,##0.00_);\(#,##0.00\);0.00_);@_)"/>
    <numFmt numFmtId="196" formatCode="#,##0.00_ ;[Red]\-#,##0.00;\-"/>
    <numFmt numFmtId="197" formatCode="&quot;$&quot;#,##0.0_%_);\(&quot;$&quot;#,##0.0\)_%;&quot;$&quot;#,##0.0_%_);@_%_)"/>
    <numFmt numFmtId="198" formatCode="#,##0\ \ "/>
    <numFmt numFmtId="199" formatCode="0;\ \(0\)"/>
    <numFmt numFmtId="200" formatCode="&quot;$&quot;#,##0.0_);\(&quot;$&quot;#,##0.0\)"/>
    <numFmt numFmtId="201" formatCode="&quot;On&quot;;&quot;On&quot;;&quot;Off&quot;"/>
    <numFmt numFmtId="202" formatCode="&quot;$&quot;#,##0.00;[Red]\-&quot;$&quot;#,##0.00"/>
    <numFmt numFmtId="203" formatCode="0.0000000"/>
    <numFmt numFmtId="204" formatCode="0&quot;A&quot;"/>
    <numFmt numFmtId="205" formatCode="0.0%;\(#.#%\)"/>
    <numFmt numFmtId="206" formatCode="0_%_);\(0\)_%;0_%_);@_%_)"/>
    <numFmt numFmtId="207" formatCode="#,##0.0;\ \(#,##0.0\)"/>
    <numFmt numFmtId="208" formatCode="#,##0.0_)\x;\(#,##0.0\)\x"/>
    <numFmt numFmtId="209" formatCode="0.00&quot;x&quot;"/>
    <numFmt numFmtId="210" formatCode="#,##0.0&quot;x&quot;\ ;\(#,##0.0\)&quot;x&quot;"/>
    <numFmt numFmtId="211" formatCode="0.00_)"/>
    <numFmt numFmtId="212" formatCode="hh:mm\ AM/PM_)"/>
    <numFmt numFmtId="213" formatCode="#,##0.0_)_x;\(#,##0.0\)_x"/>
    <numFmt numFmtId="214" formatCode="#,##0.0_)"/>
    <numFmt numFmtId="215" formatCode="General_)"/>
    <numFmt numFmtId="216" formatCode="\ "/>
    <numFmt numFmtId="217" formatCode="#,##0\ ;\(#,##0\)"/>
    <numFmt numFmtId="218" formatCode="&quot;£m&quot;\ 0"/>
    <numFmt numFmtId="219" formatCode="#,##0.0_);[Red]\(#,##0.0\)"/>
    <numFmt numFmtId="220" formatCode="#,##0;\(###0\)_)"/>
    <numFmt numFmtId="221" formatCode="#,##0;[Red]\(#,##0\)"/>
    <numFmt numFmtId="222" formatCode="mm/dd/yy"/>
    <numFmt numFmtId="223" formatCode="#,##0.00;\ \(#,##0.00\)"/>
    <numFmt numFmtId="224" formatCode="0.0_)\%;\(0.0\)\%"/>
    <numFmt numFmtId="225" formatCode="&quot;£ &quot;#,##0.00;[Red]\-&quot;£ &quot;#,##0.00"/>
    <numFmt numFmtId="226" formatCode="#,##0.0_)_%;\(#,##0.0\)_%"/>
    <numFmt numFmtId="227" formatCode="0.0"/>
    <numFmt numFmtId="228" formatCode="0.0\ \x;\ \(0.0\ \x\)"/>
    <numFmt numFmtId="229" formatCode="#,##0;\(#,##0\);\-"/>
    <numFmt numFmtId="230" formatCode="0.0%_);\(0.0%\)"/>
    <numFmt numFmtId="231" formatCode="#,###,;\-#,###,"/>
    <numFmt numFmtId="232" formatCode="#,##0.0\ ;\(#,##0.0\)"/>
    <numFmt numFmtId="233" formatCode="#,##0.00\ ;\(#,##0.00\)"/>
    <numFmt numFmtId="234" formatCode="_(* #,##0.0_);_(* \(#,##0.0\);_(* &quot;-&quot;??_);_(@_)"/>
    <numFmt numFmtId="235" formatCode="\€\ #,##0_);[Red]\€\ \(#,##0\)"/>
    <numFmt numFmtId="236" formatCode="\€\ #,##0.0,_)\K;[Red]\ \€\ \(#,##0,\)\K;"/>
    <numFmt numFmtId="237" formatCode="\€\ #,##0.00_);[Red]\€\ \(#,##0.00\)"/>
    <numFmt numFmtId="238" formatCode="\€\ #,##0,\ \K;[Red]\€\ \(#,##0,\)\ \K;"/>
    <numFmt numFmtId="239" formatCode="m\-d\-yy"/>
    <numFmt numFmtId="240" formatCode="#,##0.0\x;\(#,##0.0\)"/>
    <numFmt numFmtId="241" formatCode="#,##0.0_);\(#,##0.0\);0.0_);* @_)"/>
    <numFmt numFmtId="242" formatCode="#,##0.00_);\(#,##0.00\);0.00_);* @_)"/>
    <numFmt numFmtId="243" formatCode="#,##0.000_);\(#,##0.000\);0.000_);* @_)"/>
    <numFmt numFmtId="244" formatCode="#,##0.0000_);\(#,##0.0000\);0.0000_);* @_)"/>
    <numFmt numFmtId="245" formatCode="_-* #,##0.0_-;\-\ #,##0.0_-;_-* &quot;-&quot;??_-;@"/>
    <numFmt numFmtId="246" formatCode="_-* #,##0.00_-;\-\ #,##0.00_-;_-* &quot;-&quot;??_-;@"/>
    <numFmt numFmtId="247" formatCode="_-* #,##0.000_-;\-\ #,##0.000_-;_-* &quot;-&quot;??_-;@"/>
    <numFmt numFmtId="248" formatCode="_-&quot;$&quot;* #,##0_-;\(&quot;$&quot;* #,##0\);_-&quot;$&quot;* &quot;-&quot;??_-;@"/>
    <numFmt numFmtId="249" formatCode="_-&quot;$&quot;* #,##0.00_-;\(&quot;$&quot;* #,##0.00\);_-&quot;$&quot;* &quot;-&quot;??_-;@"/>
    <numFmt numFmtId="250" formatCode="d\ mmm\ yyyy"/>
    <numFmt numFmtId="251" formatCode="[hh]:mm"/>
    <numFmt numFmtId="252" formatCode="&quot;$&quot;#,##0_%_);\(&quot;$&quot;#,##0\)_%;&quot;$&quot;#,##0_%_);@_%_)"/>
    <numFmt numFmtId="253" formatCode="&quot;$&quot;#,##0.00_%_);\(&quot;$&quot;#,##0.00\)_%;&quot;$&quot;#,##0.00_%_);@_%_)"/>
    <numFmt numFmtId="254" formatCode="[$$]#,##0.0_);\([$$]#,##0.0\);[$$]#,##0.0_);@_)"/>
    <numFmt numFmtId="255" formatCode="#,##0.0\ ;\(#,##0.0\);\ \-\ "/>
    <numFmt numFmtId="256" formatCode="0;\-0;0;* @"/>
    <numFmt numFmtId="257" formatCode="#,##0.00_);[Red]\-#,##0.00_);0.00_);@_)"/>
    <numFmt numFmtId="258" formatCode="#,##0.0;[Red]\(#,##0.0\);\-"/>
    <numFmt numFmtId="259" formatCode="m/d/yy_%_)"/>
    <numFmt numFmtId="260" formatCode="#,##0.0_%_);\(#,##0.0\)_%;#,##0.0_%_);@_%_)"/>
    <numFmt numFmtId="261" formatCode="0_);\(0\);0_)"/>
    <numFmt numFmtId="262" formatCode="#,##0.00_-;[Red]\-#,##0.00_-;\ &quot;-          &quot;_-;_-@"/>
    <numFmt numFmtId="263" formatCode="_-* #,##0_ _D_M_-;\-* #,##0_ _D_M_-;_-* &quot;-&quot;_ _D_M_-;_-@_-"/>
    <numFmt numFmtId="264" formatCode="0%;\-0%;0%;* @_%"/>
    <numFmt numFmtId="265" formatCode="0.00%;\-0.00%;0.00%;* @_%"/>
    <numFmt numFmtId="266" formatCode="0.000%;\-0.000%;0.000%;* @_%"/>
    <numFmt numFmtId="267" formatCode="_-* #,##0_-;\(#,##0\);_-* &quot;-&quot;??_-;@"/>
    <numFmt numFmtId="268" formatCode="_-* #,##0.00_-;\(#,##0.00\);_-* &quot;-&quot;??_-;@"/>
    <numFmt numFmtId="269" formatCode="#,##0%;\-\ #,##0%;_-* &quot;-&quot;??_-;@"/>
    <numFmt numFmtId="270" formatCode="#,##0.0%;\-\ #,##0.0%;_-* &quot;-&quot;??_-;@"/>
    <numFmt numFmtId="271" formatCode="#,##0.00%;\-\ #,##0.00%;_-* &quot;-&quot;??_-;@"/>
    <numFmt numFmtId="272" formatCode="#,##0.00_%_);\(#,##0.00\)_%;#,##0.00_%_);@_%_)"/>
    <numFmt numFmtId="273" formatCode="yyyy&quot;A&quot;"/>
    <numFmt numFmtId="274" formatCode="0.00_);\(0.00\);0.00"/>
    <numFmt numFmtId="275" formatCode="_-* #,##0_-;[Red]\-\ #,##0_-;_-* &quot;-&quot;??_-;@"/>
    <numFmt numFmtId="276" formatCode="_-* #,##0.00_-;[Red]\-\ #,##0.00_-;_-* &quot;-&quot;??_-;@"/>
    <numFmt numFmtId="277" formatCode="&quot;£&quot;#,###;\(&quot;£&quot;#,###\);\-"/>
    <numFmt numFmtId="278" formatCode="* _(#,##0.00_);[Red]* \(#,##0.00\);* _(&quot;-&quot;?_);@_)"/>
    <numFmt numFmtId="279" formatCode="\€\ * _(#,##0_);[Red]\€\ * \(#,##0\);\€\ * _(&quot;-&quot;?_);@_)"/>
    <numFmt numFmtId="280" formatCode="dd\ mmm\ yyyy"/>
    <numFmt numFmtId="281" formatCode="#,##0.000"/>
    <numFmt numFmtId="282" formatCode="#,##0.???_);\(#,##0.???\)"/>
    <numFmt numFmtId="283" formatCode="#,##0&quot; DM&quot;;[Red]\-#,##0&quot; DM&quot;"/>
    <numFmt numFmtId="284" formatCode="0.%"/>
    <numFmt numFmtId="285" formatCode="#,##0.0;\(#,##0.0\)"/>
    <numFmt numFmtId="286" formatCode="_ * #,##0_ ;_ * \(#,##0\);_ * &quot;-&quot;\ ;_ @_ "/>
    <numFmt numFmtId="287" formatCode="_-* #,##0.0000\ _D_M_-;\-* #,##0.0000\ _D_M_-;_-* &quot;-&quot;??\ _D_M_-;_-@_-"/>
    <numFmt numFmtId="288" formatCode="0.0%"/>
    <numFmt numFmtId="289" formatCode="0.0\%_);\(0.0\%\);0.0\%_);@_%_)"/>
    <numFmt numFmtId="290" formatCode="#,##0.00&quot; $&quot;;\-#,##0.00&quot; $&quot;"/>
    <numFmt numFmtId="291" formatCode="_-#,##0&quot; hours&quot;"/>
    <numFmt numFmtId="292" formatCode="d\ mmm"/>
    <numFmt numFmtId="293" formatCode="0&quot;P&quot;"/>
    <numFmt numFmtId="294" formatCode="#,##0_);[Red]\-#,##0_);0_);@_)"/>
    <numFmt numFmtId="295" formatCode="#,##0;\(#,##0\);\-_)"/>
    <numFmt numFmtId="296" formatCode="#,##0.0_);\(#,##0.0\);\-_)"/>
    <numFmt numFmtId="297" formatCode="#,##0.00_);\(#,##0.00\);\-_)"/>
    <numFmt numFmtId="298" formatCode="0.0%;\-0.0%;0.0%;* @_%"/>
    <numFmt numFmtId="299" formatCode="#\ ##\ ###"/>
    <numFmt numFmtId="300" formatCode="#,##0_);\(#,##0\);\-_)"/>
    <numFmt numFmtId="301" formatCode="#,##0.0\x_);\(#,##0.0\x\)"/>
    <numFmt numFmtId="302" formatCode="_-#,##0.0&quot; max&quot;"/>
    <numFmt numFmtId="303" formatCode="0.0\x"/>
    <numFmt numFmtId="304" formatCode="_-* #,##0\ _P_t_s_-;\-* #,##0\ _P_t_s_-;_-* &quot;-&quot;\ _P_t_s_-;_-@_-"/>
    <numFmt numFmtId="305" formatCode="_-* #,##0.00\ _P_t_s_-;\-* #,##0.00\ _P_t_s_-;_-* &quot;-&quot;??\ _P_t_s_-;_-@_-"/>
    <numFmt numFmtId="306" formatCode="_-* #,##0\ _F_-;\-* #,##0\ _F_-;_-* &quot;-&quot;\ _F_-;_-@_-"/>
    <numFmt numFmtId="307" formatCode="#.00,,_-;\-#.00,,_-;_-* &quot;-&quot;_-;_-@_-"/>
    <numFmt numFmtId="308" formatCode="#,###,,;\-#,###,,"/>
    <numFmt numFmtId="309" formatCode="_-* #,##0\ &quot;F&quot;_-;\-* #,##0\ &quot;F&quot;_-;_-* &quot;-&quot;\ &quot;F&quot;_-;_-@_-"/>
    <numFmt numFmtId="310" formatCode="_-* #,##0\ &quot;Pts&quot;_-;\-* #,##0\ &quot;Pts&quot;_-;_-* &quot;-&quot;\ &quot;Pts&quot;_-;_-@_-"/>
    <numFmt numFmtId="311" formatCode="_-* #,##0.00\ &quot;Pts&quot;_-;\-* #,##0.00\ &quot;Pts&quot;_-;_-* &quot;-&quot;??\ &quot;Pts&quot;_-;_-@_-"/>
    <numFmt numFmtId="312" formatCode="&quot;DM&quot;\ #,##0.00_);\(&quot;DM&quot;\ #,##0.00\)"/>
    <numFmt numFmtId="313" formatCode="_(&quot;DM&quot;\ * #,##0_);_(&quot;DM&quot;\ * \(#,##0\);_(&quot;DM&quot;\ * &quot;-&quot;_);_(@_)"/>
    <numFmt numFmtId="314" formatCode="_-#,##0&quot; months&quot;"/>
    <numFmt numFmtId="315" formatCode="#,##0.0000;[Red]\(#,##0.0000\)"/>
    <numFmt numFmtId="316" formatCode="0.0&quot;x&quot;;&quot;nm&quot;;\-_x"/>
    <numFmt numFmtId="317" formatCode="_-#,##0&quot;MW&quot;"/>
    <numFmt numFmtId="318" formatCode="#,##0.0;[Red]\(#,##0.0\)"/>
    <numFmt numFmtId="319" formatCode="#,###;\(#,###\);\-"/>
    <numFmt numFmtId="320" formatCode="0.0%;\(0.0%\)"/>
    <numFmt numFmtId="321" formatCode="#,##0_);\(#,##0\);&quot;-  &quot;"/>
    <numFmt numFmtId="322" formatCode="#,##0_ ;[Red]\-#,##0\ "/>
    <numFmt numFmtId="323" formatCode="0.0%_);[Red]\(0.0%\);0.0%_)"/>
    <numFmt numFmtId="324" formatCode="0%_);\(0%\);\-_%_)"/>
    <numFmt numFmtId="325" formatCode="0.0%_);\(0.0%\);\-_%_)"/>
    <numFmt numFmtId="326" formatCode="##0&quot;bp&quot;_);\(##0&quot;bp&quot;\);\-_b_p_)"/>
    <numFmt numFmtId="327" formatCode="#,##0.00%;[Red]\-#,##0.00%;0.00%;@_)"/>
    <numFmt numFmtId="328" formatCode="0%;[Red]\-0%"/>
    <numFmt numFmtId="329" formatCode="_-* #,##0.000_-;\-* #,##0.000_-;_-* &quot;-&quot;???_-;_-@_-"/>
    <numFmt numFmtId="330" formatCode="#,##0.0\x"/>
    <numFmt numFmtId="331" formatCode="#,##0.00_ ;[Red]\-#,##0.00\ "/>
    <numFmt numFmtId="332" formatCode="0.00%;[Red]\-0.00%"/>
    <numFmt numFmtId="333" formatCode="0;[Red]\(0\);"/>
    <numFmt numFmtId="334" formatCode="_(* #,##0_);_(* \(#,##0\);_(* &quot;-&quot;??_);_(@_)"/>
    <numFmt numFmtId="335" formatCode="_-#,##0&quot; t&quot;"/>
    <numFmt numFmtId="336" formatCode="0.00000000"/>
    <numFmt numFmtId="337" formatCode="#,##0_-;[Red]\-#,##0_-;\ &quot;-          &quot;_-;_-@"/>
    <numFmt numFmtId="338" formatCode="yyyy"/>
    <numFmt numFmtId="339" formatCode="yyyy&quot;E&quot;"/>
    <numFmt numFmtId="340" formatCode="###0_)"/>
    <numFmt numFmtId="341" formatCode="mm/dd/yy_)"/>
    <numFmt numFmtId="342" formatCode="&quot;\&quot;#,##0;[Red]&quot;\&quot;\-#,##0"/>
    <numFmt numFmtId="343" formatCode="0.0000000000000000"/>
    <numFmt numFmtId="344" formatCode="#,##0\ &quot;DM&quot;;[Red]\-#,##0\ &quot;DM&quot;"/>
    <numFmt numFmtId="345" formatCode="#,##0.00\ &quot;DM&quot;;[Red]\-#,##0.00\ &quot;DM&quot;"/>
    <numFmt numFmtId="346" formatCode="0\ &quot;GB&quot;"/>
  </numFmts>
  <fonts count="5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name val="Vodafone Rg"/>
      <family val="2"/>
      <charset val="161"/>
    </font>
    <font>
      <sz val="10"/>
      <name val="Arial"/>
      <family val="2"/>
      <charset val="161"/>
    </font>
    <font>
      <sz val="10"/>
      <name val="Arial"/>
      <family val="2"/>
    </font>
    <font>
      <sz val="8"/>
      <name val="Arial"/>
      <family val="2"/>
      <charset val="161"/>
    </font>
    <font>
      <sz val="10"/>
      <color indexed="8"/>
      <name val="Arial"/>
      <family val="2"/>
    </font>
    <font>
      <u/>
      <sz val="11"/>
      <color theme="10"/>
      <name val="Calibri"/>
      <family val="2"/>
    </font>
    <font>
      <sz val="12"/>
      <color theme="1"/>
      <name val="Calibri"/>
      <family val="2"/>
      <scheme val="minor"/>
    </font>
    <font>
      <sz val="12"/>
      <color indexed="8"/>
      <name val="Calibri"/>
      <family val="2"/>
    </font>
    <font>
      <sz val="11"/>
      <color indexed="20"/>
      <name val="Calibri"/>
      <family val="2"/>
    </font>
    <font>
      <i/>
      <sz val="11"/>
      <color theme="1"/>
      <name val="Calibri"/>
      <family val="2"/>
      <scheme val="minor"/>
    </font>
    <font>
      <sz val="11"/>
      <color theme="1"/>
      <name val="Calibri"/>
      <family val="2"/>
    </font>
    <font>
      <sz val="10"/>
      <color theme="1"/>
      <name val="Calibri"/>
      <family val="2"/>
      <scheme val="minor"/>
    </font>
    <font>
      <sz val="10.5"/>
      <color theme="1"/>
      <name val="Calibri"/>
      <family val="2"/>
      <scheme val="minor"/>
    </font>
    <font>
      <sz val="14"/>
      <color rgb="FFE60000"/>
      <name val="Calibri"/>
      <family val="2"/>
      <scheme val="minor"/>
    </font>
    <font>
      <sz val="16"/>
      <color rgb="FFE60000"/>
      <name val="Vodafone Rg"/>
      <family val="2"/>
    </font>
    <font>
      <b/>
      <sz val="10.5"/>
      <name val="Calibri"/>
      <family val="2"/>
    </font>
    <font>
      <sz val="10.5"/>
      <name val="Calibri"/>
      <family val="2"/>
      <scheme val="minor"/>
    </font>
    <font>
      <b/>
      <sz val="11"/>
      <name val="Calibri"/>
      <family val="2"/>
      <scheme val="minor"/>
    </font>
    <font>
      <sz val="12"/>
      <color rgb="FFE60000"/>
      <name val="Vodafone Rg"/>
      <family val="2"/>
    </font>
    <font>
      <sz val="12"/>
      <color theme="3" tint="-0.249977111117893"/>
      <name val="Calibri"/>
      <family val="3"/>
      <charset val="134"/>
      <scheme val="minor"/>
    </font>
    <font>
      <sz val="11"/>
      <name val="Calibri"/>
      <family val="2"/>
      <scheme val="minor"/>
    </font>
    <font>
      <b/>
      <sz val="14"/>
      <color indexed="9"/>
      <name val="Arial"/>
      <family val="2"/>
    </font>
    <font>
      <b/>
      <sz val="11"/>
      <color rgb="FFFF0000"/>
      <name val="Calibri"/>
      <family val="2"/>
      <scheme val="minor"/>
    </font>
    <font>
      <b/>
      <sz val="10.5"/>
      <color theme="0"/>
      <name val="Calibri"/>
      <family val="2"/>
      <scheme val="minor"/>
    </font>
    <font>
      <b/>
      <sz val="10.5"/>
      <name val="Calibri"/>
      <family val="2"/>
      <scheme val="minor"/>
    </font>
    <font>
      <u/>
      <sz val="10.5"/>
      <name val="Calibri"/>
      <family val="2"/>
      <scheme val="minor"/>
    </font>
    <font>
      <sz val="10.5"/>
      <color rgb="FFFF0000"/>
      <name val="Calibri"/>
      <family val="2"/>
      <scheme val="minor"/>
    </font>
    <font>
      <u/>
      <sz val="11"/>
      <color theme="1"/>
      <name val="Calibri"/>
      <family val="2"/>
      <scheme val="minor"/>
    </font>
    <font>
      <b/>
      <sz val="18"/>
      <color rgb="FFFF0000"/>
      <name val="Calibri"/>
      <family val="2"/>
      <scheme val="minor"/>
    </font>
    <font>
      <b/>
      <sz val="12"/>
      <color rgb="FFFF0000"/>
      <name val="Calibri"/>
      <family val="2"/>
      <scheme val="minor"/>
    </font>
    <font>
      <sz val="10"/>
      <name val="Calibri"/>
      <family val="2"/>
      <scheme val="minor"/>
    </font>
    <font>
      <b/>
      <sz val="11"/>
      <color rgb="FF000000"/>
      <name val="Calibri"/>
      <family val="2"/>
      <scheme val="minor"/>
    </font>
    <font>
      <sz val="11"/>
      <color rgb="FF000000"/>
      <name val="Calibri"/>
      <family val="2"/>
      <scheme val="minor"/>
    </font>
    <font>
      <b/>
      <sz val="10.5"/>
      <color rgb="FFFF0000"/>
      <name val="Calibri"/>
      <family val="2"/>
      <scheme val="minor"/>
    </font>
    <font>
      <sz val="8"/>
      <name val="Calibri"/>
      <family val="2"/>
      <scheme val="minor"/>
    </font>
    <font>
      <u/>
      <sz val="11"/>
      <color theme="10"/>
      <name val="Calibri"/>
      <family val="2"/>
      <scheme val="minor"/>
    </font>
    <font>
      <b/>
      <sz val="9"/>
      <color indexed="81"/>
      <name val="Tahoma"/>
      <family val="2"/>
    </font>
    <font>
      <sz val="9"/>
      <color indexed="81"/>
      <name val="Tahoma"/>
      <family val="2"/>
    </font>
    <font>
      <sz val="11"/>
      <color rgb="FF000000"/>
      <name val="Calibri"/>
      <family val="2"/>
    </font>
    <font>
      <sz val="11"/>
      <color rgb="FF000000"/>
      <name val="Times New Roman"/>
      <family val="1"/>
    </font>
    <font>
      <b/>
      <sz val="11"/>
      <color rgb="FF000000"/>
      <name val="Times New Roman"/>
      <family val="1"/>
    </font>
  </fonts>
  <fills count="10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22"/>
        <bgColor indexed="22"/>
      </patternFill>
    </fill>
    <fill>
      <patternFill patternType="solid">
        <fgColor indexed="26"/>
        <bgColor indexed="64"/>
      </patternFill>
    </fill>
    <fill>
      <patternFill patternType="solid">
        <fgColor indexed="43"/>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7"/>
        <bgColor indexed="64"/>
      </patternFill>
    </fill>
    <fill>
      <patternFill patternType="solid">
        <fgColor indexed="43"/>
      </patternFill>
    </fill>
    <fill>
      <patternFill patternType="solid">
        <fgColor indexed="31"/>
      </patternFill>
    </fill>
    <fill>
      <patternFill patternType="solid">
        <fgColor indexed="44"/>
        <bgColor indexed="64"/>
      </patternFill>
    </fill>
    <fill>
      <patternFill patternType="solid">
        <fgColor indexed="18"/>
        <bgColor indexed="64"/>
      </patternFill>
    </fill>
    <fill>
      <patternFill patternType="solid">
        <fgColor indexed="29"/>
        <bgColor indexed="64"/>
      </patternFill>
    </fill>
    <fill>
      <patternFill patternType="gray0625">
        <bgColor indexed="9"/>
      </patternFill>
    </fill>
    <fill>
      <patternFill patternType="solid">
        <fgColor indexed="31"/>
        <bgColor indexed="64"/>
      </patternFill>
    </fill>
    <fill>
      <patternFill patternType="solid">
        <fgColor indexed="22"/>
      </patternFill>
    </fill>
    <fill>
      <patternFill patternType="lightGray">
        <fgColor indexed="15"/>
      </patternFill>
    </fill>
    <fill>
      <patternFill patternType="solid">
        <fgColor indexed="41"/>
        <bgColor indexed="64"/>
      </patternFill>
    </fill>
    <fill>
      <patternFill patternType="lightGray">
        <fgColor indexed="12"/>
      </patternFill>
    </fill>
    <fill>
      <patternFill patternType="solid">
        <fgColor indexed="24"/>
        <bgColor indexed="64"/>
      </patternFill>
    </fill>
    <fill>
      <patternFill patternType="gray0625"/>
    </fill>
    <fill>
      <patternFill patternType="solid">
        <fgColor indexed="42"/>
        <bgColor indexed="64"/>
      </patternFill>
    </fill>
    <fill>
      <patternFill patternType="solid">
        <fgColor indexed="13"/>
        <bgColor indexed="15"/>
      </patternFill>
    </fill>
    <fill>
      <patternFill patternType="solid">
        <fgColor indexed="49"/>
        <bgColor indexed="64"/>
      </patternFill>
    </fill>
    <fill>
      <patternFill patternType="solid">
        <fgColor indexed="11"/>
        <bgColor indexed="64"/>
      </patternFill>
    </fill>
    <fill>
      <patternFill patternType="solid">
        <fgColor indexed="12"/>
        <bgColor indexed="64"/>
      </patternFill>
    </fill>
    <fill>
      <patternFill patternType="gray0625">
        <fgColor indexed="22"/>
      </patternFill>
    </fill>
    <fill>
      <patternFill patternType="solid">
        <fgColor indexed="13"/>
      </patternFill>
    </fill>
    <fill>
      <patternFill patternType="solid">
        <fgColor indexed="40"/>
        <bgColor indexed="64"/>
      </patternFill>
    </fill>
    <fill>
      <patternFill patternType="mediumGray">
        <fgColor indexed="22"/>
      </patternFill>
    </fill>
    <fill>
      <patternFill patternType="solid">
        <fgColor indexed="10"/>
        <bgColor indexed="64"/>
      </patternFill>
    </fill>
    <fill>
      <patternFill patternType="solid">
        <fgColor indexed="45"/>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23"/>
        <bgColor indexed="64"/>
      </patternFill>
    </fill>
    <fill>
      <patternFill patternType="solid">
        <fgColor indexed="22"/>
        <bgColor indexed="24"/>
      </patternFill>
    </fill>
    <fill>
      <patternFill patternType="gray125">
        <fgColor indexed="15"/>
        <bgColor indexed="9"/>
      </patternFill>
    </fill>
    <fill>
      <patternFill patternType="solid">
        <fgColor indexed="13"/>
        <bgColor indexed="64"/>
      </patternFill>
    </fill>
    <fill>
      <patternFill patternType="solid">
        <fgColor indexed="16"/>
        <bgColor indexed="64"/>
      </patternFill>
    </fill>
    <fill>
      <patternFill patternType="solid">
        <fgColor indexed="8"/>
        <bgColor indexed="64"/>
      </patternFill>
    </fill>
    <fill>
      <patternFill patternType="solid">
        <fgColor indexed="9"/>
      </patternFill>
    </fill>
    <fill>
      <patternFill patternType="lightGray"/>
    </fill>
    <fill>
      <patternFill patternType="lightGray">
        <fgColor indexed="13"/>
      </patternFill>
    </fill>
    <fill>
      <patternFill patternType="solid">
        <fgColor theme="0"/>
        <bgColor indexed="64"/>
      </patternFill>
    </fill>
    <fill>
      <patternFill patternType="solid">
        <fgColor rgb="FFFF0000"/>
        <bgColor indexed="64"/>
      </patternFill>
    </fill>
    <fill>
      <patternFill patternType="solid">
        <fgColor indexed="45"/>
        <bgColor indexed="29"/>
      </patternFill>
    </fill>
    <fill>
      <patternFill patternType="solid">
        <fgColor theme="4" tint="0.59996337778862885"/>
        <bgColor indexed="64"/>
      </patternFill>
    </fill>
    <fill>
      <patternFill patternType="solid">
        <fgColor theme="1"/>
        <bgColor indexed="64"/>
      </patternFill>
    </fill>
    <fill>
      <patternFill patternType="solid">
        <fgColor rgb="FFC00000"/>
        <bgColor indexed="64"/>
      </patternFill>
    </fill>
    <fill>
      <patternFill patternType="solid">
        <fgColor theme="2"/>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B8CCE4"/>
        <bgColor rgb="FF000000"/>
      </patternFill>
    </fill>
    <fill>
      <patternFill patternType="solid">
        <fgColor theme="0" tint="-0.499984740745262"/>
        <bgColor indexed="64"/>
      </patternFill>
    </fill>
    <fill>
      <patternFill patternType="solid">
        <fgColor theme="0" tint="-0.14999847407452621"/>
        <bgColor theme="0" tint="-0.14999847407452621"/>
      </patternFill>
    </fill>
    <fill>
      <patternFill patternType="solid">
        <fgColor rgb="FFFFC000"/>
        <bgColor indexed="64"/>
      </patternFill>
    </fill>
    <fill>
      <patternFill patternType="solid">
        <fgColor rgb="FFD9D9D9"/>
        <bgColor indexed="64"/>
      </patternFill>
    </fill>
    <fill>
      <patternFill patternType="solid">
        <fgColor theme="6" tint="-0.249977111117893"/>
        <bgColor indexed="64"/>
      </patternFill>
    </fill>
  </fills>
  <borders count="224">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right/>
      <top/>
      <bottom style="medium">
        <color auto="1"/>
      </bottom>
      <diagonal/>
    </border>
    <border>
      <left/>
      <right/>
      <top/>
      <bottom style="hair">
        <color indexed="22"/>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style="thin">
        <color auto="1"/>
      </left>
      <right style="thin">
        <color auto="1"/>
      </right>
      <top style="thin">
        <color auto="1"/>
      </top>
      <bottom/>
      <diagonal/>
    </border>
    <border>
      <left style="double">
        <color auto="1"/>
      </left>
      <right/>
      <top/>
      <bottom style="hair">
        <color auto="1"/>
      </bottom>
      <diagonal/>
    </border>
    <border>
      <left/>
      <right style="thin">
        <color indexed="18"/>
      </right>
      <top/>
      <bottom/>
      <diagonal/>
    </border>
    <border>
      <left style="medium">
        <color auto="1"/>
      </left>
      <right style="thin">
        <color auto="1"/>
      </right>
      <top style="medium">
        <color auto="1"/>
      </top>
      <bottom style="medium">
        <color auto="1"/>
      </bottom>
      <diagonal/>
    </border>
    <border>
      <left style="medium">
        <color indexed="9"/>
      </left>
      <right style="medium">
        <color indexed="9"/>
      </right>
      <top style="medium">
        <color indexed="9"/>
      </top>
      <bottom style="medium">
        <color indexed="9"/>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top style="thin">
        <color auto="1"/>
      </top>
      <bottom style="thin">
        <color auto="1"/>
      </bottom>
      <diagonal/>
    </border>
    <border>
      <left/>
      <right/>
      <top/>
      <bottom style="thin">
        <color indexed="22"/>
      </bottom>
      <diagonal/>
    </border>
    <border>
      <left/>
      <right/>
      <top style="thin">
        <color auto="1"/>
      </top>
      <bottom/>
      <diagonal/>
    </border>
    <border>
      <left/>
      <right/>
      <top/>
      <bottom style="hair">
        <color auto="1"/>
      </bottom>
      <diagonal/>
    </border>
    <border>
      <left/>
      <right/>
      <top style="hair">
        <color auto="1"/>
      </top>
      <bottom style="double">
        <color auto="1"/>
      </bottom>
      <diagonal/>
    </border>
    <border>
      <left style="thin">
        <color auto="1"/>
      </left>
      <right/>
      <top style="medium">
        <color auto="1"/>
      </top>
      <bottom style="medium">
        <color auto="1"/>
      </bottom>
      <diagonal/>
    </border>
    <border>
      <left style="thin">
        <color indexed="55"/>
      </left>
      <right style="thin">
        <color indexed="55"/>
      </right>
      <top style="thin">
        <color indexed="55"/>
      </top>
      <bottom style="thin">
        <color indexed="55"/>
      </bottom>
      <diagonal/>
    </border>
    <border>
      <left/>
      <right style="double">
        <color auto="1"/>
      </right>
      <top/>
      <bottom/>
      <diagonal/>
    </border>
    <border>
      <left/>
      <right/>
      <top style="thin">
        <color auto="1"/>
      </top>
      <bottom style="medium">
        <color auto="1"/>
      </bottom>
      <diagonal/>
    </border>
    <border>
      <left/>
      <right style="thin">
        <color indexed="8"/>
      </right>
      <top style="thin">
        <color indexed="8"/>
      </top>
      <bottom/>
      <diagonal/>
    </border>
    <border>
      <left/>
      <right style="medium">
        <color auto="1"/>
      </right>
      <top/>
      <bottom style="medium">
        <color auto="1"/>
      </bottom>
      <diagonal/>
    </border>
    <border>
      <left/>
      <right/>
      <top style="hair">
        <color auto="1"/>
      </top>
      <bottom/>
      <diagonal/>
    </border>
    <border>
      <left/>
      <right/>
      <top/>
      <bottom style="dotted">
        <color auto="1"/>
      </bottom>
      <diagonal/>
    </border>
    <border>
      <left/>
      <right/>
      <top/>
      <bottom style="medium">
        <color indexed="63"/>
      </bottom>
      <diagonal/>
    </border>
    <border>
      <left/>
      <right/>
      <top/>
      <bottom style="thin">
        <color indexed="23"/>
      </bottom>
      <diagonal/>
    </border>
    <border>
      <left/>
      <right/>
      <top style="thick">
        <color indexed="17"/>
      </top>
      <bottom/>
      <diagonal/>
    </border>
    <border>
      <left/>
      <right/>
      <top/>
      <bottom style="thick">
        <color indexed="18"/>
      </bottom>
      <diagonal/>
    </border>
    <border>
      <left/>
      <right/>
      <top/>
      <bottom style="thin">
        <color indexed="18"/>
      </bottom>
      <diagonal/>
    </border>
    <border>
      <left/>
      <right/>
      <top style="medium">
        <color auto="1"/>
      </top>
      <bottom style="medium">
        <color auto="1"/>
      </bottom>
      <diagonal/>
    </border>
    <border>
      <left/>
      <right/>
      <top/>
      <bottom style="thick">
        <color auto="1"/>
      </bottom>
      <diagonal/>
    </border>
    <border>
      <left style="double">
        <color auto="1"/>
      </left>
      <right style="double">
        <color auto="1"/>
      </right>
      <top style="double">
        <color auto="1"/>
      </top>
      <bottom style="double">
        <color auto="1"/>
      </bottom>
      <diagonal/>
    </border>
    <border>
      <left style="thin">
        <color indexed="9"/>
      </left>
      <right style="thin">
        <color indexed="9"/>
      </right>
      <top style="thin">
        <color indexed="9"/>
      </top>
      <bottom style="thin">
        <color indexed="9"/>
      </bottom>
      <diagonal/>
    </border>
    <border>
      <left style="dotted">
        <color indexed="57"/>
      </left>
      <right style="dotted">
        <color indexed="57"/>
      </right>
      <top style="dotted">
        <color indexed="57"/>
      </top>
      <bottom style="dotted">
        <color indexed="57"/>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auto="1"/>
      </left>
      <right style="thin">
        <color auto="1"/>
      </right>
      <top/>
      <bottom/>
      <diagonal/>
    </border>
    <border>
      <left style="hair">
        <color auto="1"/>
      </left>
      <right/>
      <top style="hair">
        <color auto="1"/>
      </top>
      <bottom/>
      <diagonal/>
    </border>
    <border>
      <left style="thin">
        <color indexed="8"/>
      </left>
      <right style="thin">
        <color indexed="8"/>
      </right>
      <top style="thin">
        <color indexed="8"/>
      </top>
      <bottom style="thin">
        <color indexed="8"/>
      </bottom>
      <diagonal/>
    </border>
    <border>
      <left/>
      <right style="hair">
        <color auto="1"/>
      </right>
      <top/>
      <bottom/>
      <diagonal/>
    </border>
    <border>
      <left style="thin">
        <color indexed="63"/>
      </left>
      <right style="thin">
        <color indexed="63"/>
      </right>
      <top style="thin">
        <color indexed="63"/>
      </top>
      <bottom style="thin">
        <color indexed="63"/>
      </bottom>
      <diagonal/>
    </border>
    <border>
      <left/>
      <right style="thin">
        <color auto="1"/>
      </right>
      <top/>
      <bottom/>
      <diagonal/>
    </border>
    <border>
      <left style="medium">
        <color auto="1"/>
      </left>
      <right/>
      <top style="medium">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right/>
      <top style="medium">
        <color indexed="41"/>
      </top>
      <bottom style="medium">
        <color indexed="41"/>
      </bottom>
      <diagonal/>
    </border>
    <border>
      <left/>
      <right/>
      <top style="medium">
        <color indexed="41"/>
      </top>
      <bottom/>
      <diagonal/>
    </border>
    <border>
      <left style="thin">
        <color indexed="9"/>
      </left>
      <right/>
      <top style="thin">
        <color indexed="9"/>
      </top>
      <bottom style="thin">
        <color indexed="23"/>
      </bottom>
      <diagonal/>
    </border>
    <border>
      <left style="thick">
        <color auto="1"/>
      </left>
      <right style="thin">
        <color auto="1"/>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style="thin">
        <color auto="1"/>
      </left>
      <right style="thin">
        <color auto="1"/>
      </right>
      <top/>
      <bottom style="thin">
        <color auto="1"/>
      </bottom>
      <diagonal/>
    </border>
    <border>
      <left/>
      <right/>
      <top/>
      <bottom style="thick">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medium">
        <color auto="1"/>
      </left>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style="thin">
        <color auto="1"/>
      </top>
      <bottom style="medium">
        <color auto="1"/>
      </bottom>
      <diagonal/>
    </border>
    <border>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style="thin">
        <color indexed="9"/>
      </left>
      <right/>
      <top style="thin">
        <color indexed="9"/>
      </top>
      <bottom style="thin">
        <color indexed="23"/>
      </bottom>
      <diagonal/>
    </border>
    <border>
      <left style="medium">
        <color indexed="64"/>
      </left>
      <right/>
      <top/>
      <bottom/>
      <diagonal/>
    </border>
    <border>
      <left style="thin">
        <color theme="0"/>
      </left>
      <right style="thin">
        <color theme="0"/>
      </right>
      <top/>
      <bottom/>
      <diagonal/>
    </border>
    <border>
      <left style="medium">
        <color indexed="64"/>
      </left>
      <right style="thin">
        <color indexed="64"/>
      </right>
      <top style="medium">
        <color indexed="64"/>
      </top>
      <bottom/>
      <diagonal/>
    </border>
    <border>
      <left style="thin">
        <color theme="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18"/>
      </right>
      <top/>
      <bottom/>
      <diagonal/>
    </border>
    <border>
      <left style="medium">
        <color auto="1"/>
      </left>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style="thin">
        <color auto="1"/>
      </top>
      <bottom style="medium">
        <color auto="1"/>
      </bottom>
      <diagonal/>
    </border>
    <border>
      <left/>
      <right style="thin">
        <color indexed="8"/>
      </right>
      <top style="thin">
        <color indexed="8"/>
      </top>
      <bottom/>
      <diagonal/>
    </border>
    <border>
      <left/>
      <right/>
      <top/>
      <bottom style="thick">
        <color indexed="18"/>
      </bottom>
      <diagonal/>
    </border>
    <border>
      <left/>
      <right/>
      <top/>
      <bottom style="thick">
        <color auto="1"/>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style="thin">
        <color auto="1"/>
      </right>
      <top/>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style="thin">
        <color indexed="9"/>
      </left>
      <right/>
      <top style="thin">
        <color indexed="9"/>
      </top>
      <bottom style="thin">
        <color indexed="23"/>
      </bottom>
      <diagonal/>
    </border>
    <border>
      <left style="thin">
        <color indexed="55"/>
      </left>
      <right style="thin">
        <color indexed="55"/>
      </right>
      <top style="thin">
        <color indexed="55"/>
      </top>
      <bottom style="thin">
        <color indexed="55"/>
      </bottom>
      <diagonal/>
    </border>
    <border>
      <left/>
      <right/>
      <top style="thin">
        <color auto="1"/>
      </top>
      <bottom style="medium">
        <color auto="1"/>
      </bottom>
      <diagonal/>
    </border>
    <border>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style="thin">
        <color indexed="9"/>
      </left>
      <right/>
      <top style="thin">
        <color indexed="9"/>
      </top>
      <bottom style="thin">
        <color indexed="23"/>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style="thin">
        <color auto="1"/>
      </top>
      <bottom style="medium">
        <color auto="1"/>
      </bottom>
      <diagonal/>
    </border>
    <border>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style="thin">
        <color indexed="9"/>
      </left>
      <right/>
      <top style="thin">
        <color indexed="9"/>
      </top>
      <bottom style="thin">
        <color indexed="23"/>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top style="medium">
        <color indexed="64"/>
      </top>
      <bottom/>
      <diagonal/>
    </border>
    <border>
      <left/>
      <right/>
      <top style="thin">
        <color theme="1"/>
      </top>
      <bottom style="thin">
        <color theme="1"/>
      </bottom>
      <diagonal/>
    </border>
    <border>
      <left/>
      <right/>
      <top/>
      <bottom style="thin">
        <color theme="1"/>
      </bottom>
      <diagonal/>
    </border>
    <border>
      <left style="medium">
        <color indexed="64"/>
      </left>
      <right style="medium">
        <color indexed="64"/>
      </right>
      <top/>
      <bottom/>
      <diagonal/>
    </border>
    <border>
      <left/>
      <right style="medium">
        <color indexed="64"/>
      </right>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55"/>
      </left>
      <right style="thin">
        <color indexed="55"/>
      </right>
      <top style="thin">
        <color indexed="55"/>
      </top>
      <bottom style="thin">
        <color indexed="55"/>
      </bottom>
      <diagonal/>
    </border>
    <border>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auto="1"/>
      </top>
      <bottom style="double">
        <color auto="1"/>
      </bottom>
      <diagonal/>
    </border>
    <border>
      <left style="thin">
        <color indexed="9"/>
      </left>
      <right/>
      <top style="thin">
        <color indexed="9"/>
      </top>
      <bottom style="thin">
        <color indexed="23"/>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style="thin">
        <color auto="1"/>
      </top>
      <bottom style="medium">
        <color auto="1"/>
      </bottom>
      <diagonal/>
    </border>
    <border>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style="thin">
        <color indexed="9"/>
      </left>
      <right/>
      <top style="thin">
        <color indexed="9"/>
      </top>
      <bottom style="thin">
        <color indexed="23"/>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style="thin">
        <color indexed="55"/>
      </left>
      <right style="thin">
        <color indexed="55"/>
      </right>
      <top style="thin">
        <color indexed="55"/>
      </top>
      <bottom style="thin">
        <color indexed="55"/>
      </bottom>
      <diagonal/>
    </border>
    <border>
      <left/>
      <right/>
      <top style="thin">
        <color auto="1"/>
      </top>
      <bottom style="medium">
        <color auto="1"/>
      </bottom>
      <diagonal/>
    </border>
    <border>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indexed="57"/>
      </left>
      <right style="thin">
        <color indexed="57"/>
      </right>
      <top style="thin">
        <color indexed="57"/>
      </top>
      <bottom style="thin">
        <color indexed="57"/>
      </bottom>
      <diagonal/>
    </border>
    <border>
      <left style="thin">
        <color indexed="53"/>
      </left>
      <right style="thin">
        <color indexed="53"/>
      </right>
      <top style="thin">
        <color indexed="53"/>
      </top>
      <bottom style="thin">
        <color indexed="53"/>
      </bottom>
      <diagonal/>
    </border>
    <border>
      <left style="thin">
        <color indexed="12"/>
      </left>
      <right style="thin">
        <color indexed="12"/>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style="medium">
        <color auto="1"/>
      </left>
      <right style="medium">
        <color auto="1"/>
      </right>
      <top style="thin">
        <color auto="1"/>
      </top>
      <bottom style="thin">
        <color auto="1"/>
      </bottom>
      <diagonal/>
    </border>
    <border>
      <left/>
      <right/>
      <top style="thin">
        <color auto="1"/>
      </top>
      <bottom style="double">
        <color auto="1"/>
      </bottom>
      <diagonal/>
    </border>
    <border>
      <left style="thin">
        <color indexed="9"/>
      </left>
      <right/>
      <top style="thin">
        <color indexed="9"/>
      </top>
      <bottom style="thin">
        <color indexed="23"/>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5204">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9" fillId="6" borderId="3" applyNumberFormat="0" applyAlignment="0" applyProtection="0"/>
    <xf numFmtId="0" fontId="10" fillId="6" borderId="2" applyNumberFormat="0" applyAlignment="0" applyProtection="0"/>
    <xf numFmtId="0" fontId="11" fillId="0" borderId="4" applyNumberFormat="0" applyFill="0" applyAlignment="0" applyProtection="0"/>
    <xf numFmtId="0" fontId="12" fillId="7" borderId="5" applyNumberFormat="0" applyAlignment="0" applyProtection="0"/>
    <xf numFmtId="0" fontId="13" fillId="0" borderId="0" applyNumberFormat="0" applyFill="0" applyBorder="0" applyAlignment="0" applyProtection="0"/>
    <xf numFmtId="0" fontId="1" fillId="8" borderId="6" applyNumberFormat="0" applyFont="0" applyAlignment="0" applyProtection="0"/>
    <xf numFmtId="0" fontId="14" fillId="0" borderId="0" applyNumberFormat="0" applyFill="0" applyBorder="0" applyAlignment="0" applyProtection="0"/>
    <xf numFmtId="0" fontId="15" fillId="0" borderId="7"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6" fillId="32" borderId="0" applyNumberFormat="0" applyBorder="0" applyAlignment="0" applyProtection="0"/>
    <xf numFmtId="9" fontId="18" fillId="0" borderId="0">
      <alignment horizontal="right"/>
    </xf>
    <xf numFmtId="0" fontId="18" fillId="0" borderId="0"/>
    <xf numFmtId="0" fontId="18" fillId="0" borderId="0"/>
    <xf numFmtId="0" fontId="18" fillId="0" borderId="0"/>
    <xf numFmtId="39" fontId="18" fillId="0" borderId="8">
      <alignment horizontal="right"/>
    </xf>
    <xf numFmtId="39" fontId="18" fillId="0" borderId="8">
      <alignment horizontal="right"/>
    </xf>
    <xf numFmtId="37" fontId="18" fillId="0" borderId="8">
      <alignment horizontal="right"/>
    </xf>
    <xf numFmtId="37" fontId="18" fillId="0" borderId="8">
      <alignment horizontal="right"/>
    </xf>
    <xf numFmtId="0" fontId="18" fillId="0" borderId="8">
      <alignment horizontal="right"/>
    </xf>
    <xf numFmtId="0" fontId="18" fillId="0" borderId="8">
      <alignment horizontal="right"/>
    </xf>
    <xf numFmtId="0" fontId="18" fillId="0" borderId="0">
      <alignment horizontal="right"/>
    </xf>
    <xf numFmtId="0" fontId="18" fillId="0" borderId="8">
      <alignment horizontal="right"/>
    </xf>
    <xf numFmtId="0" fontId="18" fillId="0" borderId="8">
      <alignment horizontal="right"/>
    </xf>
    <xf numFmtId="0" fontId="18" fillId="0" borderId="0" applyBorder="0"/>
    <xf numFmtId="178" fontId="18" fillId="0" borderId="0"/>
    <xf numFmtId="0" fontId="18" fillId="0" borderId="0"/>
    <xf numFmtId="0" fontId="18" fillId="0" borderId="0"/>
    <xf numFmtId="0" fontId="19" fillId="0" borderId="0"/>
    <xf numFmtId="179" fontId="18" fillId="33" borderId="0">
      <alignment horizontal="right"/>
    </xf>
    <xf numFmtId="0" fontId="18" fillId="33" borderId="0">
      <alignment horizontal="right"/>
    </xf>
    <xf numFmtId="179" fontId="18" fillId="33" borderId="0">
      <alignment horizontal="right"/>
    </xf>
    <xf numFmtId="178"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78" fontId="18" fillId="0" borderId="0"/>
    <xf numFmtId="178" fontId="18" fillId="0" borderId="0"/>
    <xf numFmtId="10" fontId="18" fillId="34" borderId="9" applyNumberFormat="0" applyBorder="0" applyAlignment="0">
      <alignment horizontal="center"/>
      <protection locked="0"/>
    </xf>
    <xf numFmtId="0" fontId="18" fillId="35" borderId="0" applyNumberFormat="0" applyFont="0" applyBorder="0" applyAlignment="0">
      <protection hidden="1"/>
    </xf>
    <xf numFmtId="180" fontId="18" fillId="36" borderId="0" applyNumberFormat="0" applyFont="0" applyBorder="0" applyAlignment="0">
      <alignment horizontal="center"/>
      <protection locked="0" hidden="1"/>
    </xf>
    <xf numFmtId="0" fontId="18" fillId="0" borderId="0" applyFont="0" applyFill="0" applyBorder="0" applyAlignment="0" applyProtection="0">
      <alignment horizontal="right"/>
    </xf>
    <xf numFmtId="181" fontId="18" fillId="0" borderId="0" applyFont="0" applyFill="0" applyBorder="0" applyAlignment="0" applyProtection="0"/>
    <xf numFmtId="0" fontId="18" fillId="0" borderId="0" applyNumberFormat="0" applyFont="0" applyFill="0" applyBorder="0" applyAlignment="0" applyProtection="0"/>
    <xf numFmtId="182" fontId="18" fillId="0" borderId="0" applyFont="0" applyFill="0" applyBorder="0" applyAlignment="0"/>
    <xf numFmtId="0" fontId="18" fillId="0" borderId="0" applyFont="0" applyFill="0" applyBorder="0" applyAlignment="0" applyProtection="0"/>
    <xf numFmtId="0" fontId="18" fillId="0" borderId="0" applyFont="0" applyFill="0" applyBorder="0" applyAlignment="0" applyProtection="0"/>
    <xf numFmtId="0" fontId="18" fillId="0" borderId="0"/>
    <xf numFmtId="172" fontId="18" fillId="0" borderId="0" applyFont="0" applyFill="0" applyBorder="0" applyAlignment="0" applyProtection="0"/>
    <xf numFmtId="183" fontId="18" fillId="0" borderId="0" applyFont="0" applyFill="0" applyBorder="0" applyAlignment="0" applyProtection="0"/>
    <xf numFmtId="0" fontId="18" fillId="0" borderId="0"/>
    <xf numFmtId="0" fontId="18" fillId="0" borderId="0" applyFont="0" applyFill="0" applyBorder="0" applyAlignment="0" applyProtection="0"/>
    <xf numFmtId="0"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0" fontId="18" fillId="0" borderId="0"/>
    <xf numFmtId="184" fontId="18" fillId="0" borderId="0" applyFont="0" applyFill="0" applyBorder="0" applyAlignment="0" applyProtection="0"/>
    <xf numFmtId="185" fontId="18" fillId="0" borderId="0" applyFont="0" applyFill="0" applyBorder="0" applyAlignment="0" applyProtection="0"/>
    <xf numFmtId="0" fontId="18" fillId="0" borderId="0" applyNumberFormat="0" applyFill="0">
      <alignment vertical="center"/>
    </xf>
    <xf numFmtId="0" fontId="18" fillId="0" borderId="0" applyNumberFormat="0" applyFill="0">
      <alignment vertical="center"/>
    </xf>
    <xf numFmtId="40" fontId="18" fillId="0" borderId="0">
      <alignment vertical="center"/>
    </xf>
    <xf numFmtId="3" fontId="18" fillId="0" borderId="0"/>
    <xf numFmtId="0" fontId="18"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xf numFmtId="0" fontId="18" fillId="0" borderId="0"/>
    <xf numFmtId="0" fontId="18" fillId="0" borderId="0"/>
    <xf numFmtId="172" fontId="18" fillId="0" borderId="0"/>
    <xf numFmtId="166" fontId="18" fillId="0" borderId="0"/>
    <xf numFmtId="166" fontId="18" fillId="0" borderId="0"/>
    <xf numFmtId="0" fontId="18" fillId="0" borderId="0"/>
    <xf numFmtId="166" fontId="18" fillId="0" borderId="0"/>
    <xf numFmtId="0" fontId="18" fillId="0" borderId="0"/>
    <xf numFmtId="172" fontId="18" fillId="0" borderId="0"/>
    <xf numFmtId="0" fontId="18" fillId="0" borderId="0"/>
    <xf numFmtId="0" fontId="18" fillId="0" borderId="0" applyNumberFormat="0" applyFill="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ill="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ill="0">
      <alignment vertical="center"/>
    </xf>
    <xf numFmtId="0" fontId="18" fillId="0" borderId="0" applyNumberFormat="0" applyFill="0">
      <alignment vertical="center"/>
    </xf>
    <xf numFmtId="0" fontId="18" fillId="0" borderId="0"/>
    <xf numFmtId="0" fontId="18" fillId="0" borderId="0"/>
    <xf numFmtId="0" fontId="18" fillId="0" borderId="0"/>
    <xf numFmtId="0" fontId="18" fillId="0" borderId="0" applyNumberFormat="0" applyFill="0">
      <alignment vertical="center"/>
    </xf>
    <xf numFmtId="0" fontId="18" fillId="0"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8" borderId="0"/>
    <xf numFmtId="0" fontId="18" fillId="38" borderId="0"/>
    <xf numFmtId="0" fontId="18" fillId="38" borderId="0"/>
    <xf numFmtId="0" fontId="18" fillId="38" borderId="0"/>
    <xf numFmtId="0" fontId="18" fillId="38" borderId="0"/>
    <xf numFmtId="0" fontId="18" fillId="37" borderId="0"/>
    <xf numFmtId="0" fontId="18" fillId="38" borderId="0"/>
    <xf numFmtId="0" fontId="18" fillId="38" borderId="0"/>
    <xf numFmtId="0" fontId="18" fillId="38" borderId="0"/>
    <xf numFmtId="0" fontId="18" fillId="37" borderId="0"/>
    <xf numFmtId="0" fontId="18" fillId="38" borderId="0"/>
    <xf numFmtId="0" fontId="18" fillId="38" borderId="0"/>
    <xf numFmtId="0" fontId="18" fillId="38" borderId="0"/>
    <xf numFmtId="0" fontId="18" fillId="38" borderId="0"/>
    <xf numFmtId="0" fontId="18" fillId="38" borderId="0"/>
    <xf numFmtId="0" fontId="18" fillId="37" borderId="0"/>
    <xf numFmtId="0" fontId="18" fillId="37" borderId="0"/>
    <xf numFmtId="0" fontId="18" fillId="38" borderId="0"/>
    <xf numFmtId="0" fontId="18" fillId="37" borderId="0"/>
    <xf numFmtId="0" fontId="18" fillId="39" borderId="0"/>
    <xf numFmtId="0" fontId="18" fillId="39" borderId="0"/>
    <xf numFmtId="0" fontId="18" fillId="39" borderId="0"/>
    <xf numFmtId="0" fontId="18" fillId="39" borderId="0"/>
    <xf numFmtId="0" fontId="18" fillId="39" borderId="0"/>
    <xf numFmtId="0" fontId="18" fillId="37" borderId="0"/>
    <xf numFmtId="0" fontId="18" fillId="39" borderId="0"/>
    <xf numFmtId="0" fontId="18" fillId="39" borderId="0"/>
    <xf numFmtId="0" fontId="18" fillId="39" borderId="0"/>
    <xf numFmtId="0" fontId="18" fillId="37" borderId="0"/>
    <xf numFmtId="0" fontId="18" fillId="39" borderId="0"/>
    <xf numFmtId="0" fontId="18" fillId="39" borderId="0"/>
    <xf numFmtId="0" fontId="18" fillId="39" borderId="0"/>
    <xf numFmtId="0" fontId="18" fillId="39" borderId="0"/>
    <xf numFmtId="0" fontId="18" fillId="39" borderId="0"/>
    <xf numFmtId="0" fontId="18" fillId="37" borderId="0"/>
    <xf numFmtId="0" fontId="18" fillId="37" borderId="0"/>
    <xf numFmtId="0" fontId="18" fillId="39" borderId="0"/>
    <xf numFmtId="0" fontId="18" fillId="37" borderId="0"/>
    <xf numFmtId="0" fontId="18" fillId="40" borderId="0"/>
    <xf numFmtId="0" fontId="18" fillId="40" borderId="0"/>
    <xf numFmtId="0" fontId="18" fillId="40" borderId="0"/>
    <xf numFmtId="0" fontId="18" fillId="40" borderId="0"/>
    <xf numFmtId="0" fontId="18" fillId="40" borderId="0"/>
    <xf numFmtId="0" fontId="18" fillId="37" borderId="0"/>
    <xf numFmtId="0" fontId="18" fillId="40" borderId="0"/>
    <xf numFmtId="0" fontId="18" fillId="40" borderId="0"/>
    <xf numFmtId="0" fontId="18" fillId="40" borderId="0"/>
    <xf numFmtId="0" fontId="18" fillId="37" borderId="0"/>
    <xf numFmtId="0" fontId="18" fillId="40" borderId="0"/>
    <xf numFmtId="0" fontId="18" fillId="40" borderId="0"/>
    <xf numFmtId="0" fontId="18" fillId="40" borderId="0"/>
    <xf numFmtId="0" fontId="18" fillId="40" borderId="0"/>
    <xf numFmtId="0" fontId="18" fillId="40" borderId="0"/>
    <xf numFmtId="0" fontId="18" fillId="37" borderId="0"/>
    <xf numFmtId="0" fontId="18" fillId="37" borderId="0"/>
    <xf numFmtId="0" fontId="18" fillId="40" borderId="0"/>
    <xf numFmtId="0" fontId="18" fillId="37" borderId="0"/>
    <xf numFmtId="0" fontId="18" fillId="37" borderId="0"/>
    <xf numFmtId="0" fontId="18" fillId="0" borderId="0"/>
    <xf numFmtId="0" fontId="18" fillId="0" borderId="0"/>
    <xf numFmtId="0" fontId="18" fillId="37" borderId="0"/>
    <xf numFmtId="0" fontId="18" fillId="37" borderId="0"/>
    <xf numFmtId="0" fontId="18" fillId="37" borderId="0"/>
    <xf numFmtId="0" fontId="18" fillId="37" borderId="0"/>
    <xf numFmtId="0" fontId="18" fillId="37"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37" borderId="0"/>
    <xf numFmtId="0" fontId="18" fillId="0" borderId="0"/>
    <xf numFmtId="186" fontId="18" fillId="0" borderId="0" applyFont="0" applyFill="0" applyBorder="0" applyAlignment="0" applyProtection="0"/>
    <xf numFmtId="187" fontId="18" fillId="0" borderId="0" applyFont="0" applyFill="0" applyBorder="0" applyAlignment="0" applyProtection="0"/>
    <xf numFmtId="188" fontId="18" fillId="0" borderId="0" applyFont="0" applyFill="0" applyBorder="0" applyAlignment="0" applyProtection="0"/>
    <xf numFmtId="186" fontId="18" fillId="0" borderId="0" applyFont="0" applyFill="0" applyBorder="0" applyAlignment="0" applyProtection="0"/>
    <xf numFmtId="0" fontId="18" fillId="0" borderId="0"/>
    <xf numFmtId="0" fontId="18" fillId="0" borderId="0"/>
    <xf numFmtId="167" fontId="18" fillId="0" borderId="0" applyFont="0" applyFill="0" applyBorder="0" applyAlignment="0" applyProtection="0"/>
    <xf numFmtId="0" fontId="18" fillId="0" borderId="0" applyFont="0" applyFill="0" applyBorder="0" applyAlignment="0" applyProtection="0"/>
    <xf numFmtId="189" fontId="18" fillId="0" borderId="0" applyFont="0" applyFill="0" applyBorder="0" applyAlignment="0" applyProtection="0"/>
    <xf numFmtId="167" fontId="18" fillId="0" borderId="0" applyFont="0" applyFill="0" applyBorder="0" applyAlignment="0" applyProtection="0"/>
    <xf numFmtId="190" fontId="18" fillId="0" borderId="0" applyFont="0" applyFill="0" applyBorder="0" applyAlignment="0" applyProtection="0"/>
    <xf numFmtId="191" fontId="18" fillId="0" borderId="0" applyFont="0" applyFill="0" applyBorder="0" applyAlignment="0" applyProtection="0"/>
    <xf numFmtId="0" fontId="18" fillId="0" borderId="0" applyFont="0" applyFill="0" applyBorder="0" applyAlignment="0" applyProtection="0"/>
    <xf numFmtId="172" fontId="18" fillId="0" borderId="0" applyFont="0" applyFill="0" applyBorder="0" applyAlignment="0" applyProtection="0"/>
    <xf numFmtId="0" fontId="18" fillId="0" borderId="0" applyFont="0" applyFill="0" applyBorder="0" applyAlignment="0" applyProtection="0"/>
    <xf numFmtId="192" fontId="18" fillId="0" borderId="0" applyFont="0" applyFill="0" applyBorder="0" applyAlignment="0" applyProtection="0"/>
    <xf numFmtId="193" fontId="18" fillId="0" borderId="0" applyFont="0" applyFill="0" applyBorder="0" applyAlignment="0" applyProtection="0"/>
    <xf numFmtId="194" fontId="18" fillId="0" borderId="0" applyFont="0" applyFill="0" applyBorder="0" applyAlignment="0" applyProtection="0"/>
    <xf numFmtId="166" fontId="18" fillId="0" borderId="0" applyFont="0" applyFill="0" applyBorder="0" applyAlignment="0" applyProtection="0"/>
    <xf numFmtId="0" fontId="18" fillId="0" borderId="0" applyFont="0" applyFill="0" applyBorder="0" applyAlignment="0" applyProtection="0"/>
    <xf numFmtId="195" fontId="18" fillId="0" borderId="0" applyFont="0" applyFill="0" applyBorder="0" applyAlignment="0" applyProtection="0"/>
    <xf numFmtId="195" fontId="18" fillId="0" borderId="0" applyFont="0" applyFill="0" applyBorder="0" applyAlignment="0" applyProtection="0"/>
    <xf numFmtId="39" fontId="18" fillId="0" borderId="0" applyFont="0" applyFill="0" applyBorder="0" applyAlignment="0" applyProtection="0"/>
    <xf numFmtId="186" fontId="18" fillId="0" borderId="0" applyFont="0" applyFill="0" applyBorder="0" applyAlignment="0" applyProtection="0"/>
    <xf numFmtId="186" fontId="18" fillId="0" borderId="0" applyFont="0" applyFill="0" applyBorder="0" applyAlignment="0" applyProtection="0"/>
    <xf numFmtId="186" fontId="18" fillId="0" borderId="0" applyFont="0" applyFill="0" applyBorder="0" applyAlignment="0" applyProtection="0"/>
    <xf numFmtId="186" fontId="18" fillId="0" borderId="0" applyFont="0" applyFill="0" applyBorder="0" applyAlignment="0" applyProtection="0"/>
    <xf numFmtId="39" fontId="18" fillId="0" borderId="0" applyFont="0" applyFill="0" applyBorder="0" applyAlignment="0" applyProtection="0"/>
    <xf numFmtId="39" fontId="18" fillId="0" borderId="0" applyFont="0" applyFill="0" applyBorder="0" applyAlignment="0" applyProtection="0"/>
    <xf numFmtId="39" fontId="18" fillId="0" borderId="0" applyFont="0" applyFill="0" applyBorder="0" applyAlignment="0" applyProtection="0"/>
    <xf numFmtId="186" fontId="18" fillId="0" borderId="0" applyFont="0" applyFill="0" applyBorder="0" applyAlignment="0" applyProtection="0"/>
    <xf numFmtId="39" fontId="18" fillId="0" borderId="0" applyFont="0" applyFill="0" applyBorder="0" applyAlignment="0" applyProtection="0"/>
    <xf numFmtId="196" fontId="18" fillId="35" borderId="10"/>
    <xf numFmtId="4" fontId="18" fillId="35" borderId="0"/>
    <xf numFmtId="4" fontId="18" fillId="35" borderId="0"/>
    <xf numFmtId="4" fontId="18" fillId="35" borderId="0"/>
    <xf numFmtId="4" fontId="18" fillId="35" borderId="0"/>
    <xf numFmtId="4" fontId="18" fillId="35" borderId="0"/>
    <xf numFmtId="4" fontId="18" fillId="35" borderId="0"/>
    <xf numFmtId="196" fontId="18" fillId="35" borderId="10"/>
    <xf numFmtId="4" fontId="18" fillId="35" borderId="0"/>
    <xf numFmtId="4" fontId="18" fillId="35" borderId="0"/>
    <xf numFmtId="197" fontId="18" fillId="35" borderId="10"/>
    <xf numFmtId="0" fontId="18" fillId="35" borderId="10"/>
    <xf numFmtId="198" fontId="18" fillId="35" borderId="10"/>
    <xf numFmtId="0" fontId="18" fillId="35" borderId="10"/>
    <xf numFmtId="198" fontId="18" fillId="35" borderId="10"/>
    <xf numFmtId="0" fontId="18" fillId="35" borderId="10"/>
    <xf numFmtId="199" fontId="18" fillId="35" borderId="10"/>
    <xf numFmtId="197" fontId="18" fillId="35" borderId="10"/>
    <xf numFmtId="197" fontId="18" fillId="35" borderId="10"/>
    <xf numFmtId="0" fontId="18" fillId="35" borderId="10"/>
    <xf numFmtId="200" fontId="18" fillId="35" borderId="10"/>
    <xf numFmtId="0" fontId="18" fillId="35" borderId="10"/>
    <xf numFmtId="201" fontId="18" fillId="35" borderId="10"/>
    <xf numFmtId="198" fontId="18" fillId="35" borderId="10"/>
    <xf numFmtId="4" fontId="18" fillId="35" borderId="0"/>
    <xf numFmtId="196" fontId="18" fillId="35" borderId="10"/>
    <xf numFmtId="4" fontId="18" fillId="35" borderId="0"/>
    <xf numFmtId="4" fontId="18" fillId="35" borderId="0"/>
    <xf numFmtId="4" fontId="18" fillId="35" borderId="0"/>
    <xf numFmtId="4" fontId="18" fillId="35" borderId="0"/>
    <xf numFmtId="4" fontId="18" fillId="35" borderId="0"/>
    <xf numFmtId="196" fontId="18" fillId="35" borderId="10"/>
    <xf numFmtId="196" fontId="18" fillId="35" borderId="10"/>
    <xf numFmtId="0" fontId="18" fillId="35" borderId="10"/>
    <xf numFmtId="4" fontId="18" fillId="35" borderId="0"/>
    <xf numFmtId="202" fontId="18" fillId="35" borderId="10"/>
    <xf numFmtId="203" fontId="18" fillId="35" borderId="10"/>
    <xf numFmtId="203" fontId="18" fillId="35" borderId="10"/>
    <xf numFmtId="203" fontId="18" fillId="35" borderId="10"/>
    <xf numFmtId="204" fontId="18" fillId="35" borderId="10"/>
    <xf numFmtId="197" fontId="18" fillId="35" borderId="10"/>
    <xf numFmtId="198" fontId="18" fillId="35" borderId="10"/>
    <xf numFmtId="197" fontId="18" fillId="35" borderId="10"/>
    <xf numFmtId="200" fontId="18" fillId="35" borderId="10"/>
    <xf numFmtId="198" fontId="18" fillId="35" borderId="10"/>
    <xf numFmtId="0" fontId="18" fillId="0" borderId="0" applyFont="0" applyFill="0" applyBorder="0" applyAlignment="0" applyProtection="0"/>
    <xf numFmtId="40" fontId="18" fillId="0" borderId="0">
      <alignment vertical="center"/>
    </xf>
    <xf numFmtId="3" fontId="18" fillId="0" borderId="0"/>
    <xf numFmtId="0" fontId="18" fillId="0" borderId="0" applyBorder="0"/>
    <xf numFmtId="182" fontId="18" fillId="0" borderId="0" applyFont="0" applyFill="0" applyBorder="0" applyAlignment="0" applyProtection="0"/>
    <xf numFmtId="205" fontId="18" fillId="0" borderId="0" applyFont="0" applyFill="0" applyBorder="0" applyAlignment="0" applyProtection="0"/>
    <xf numFmtId="0" fontId="18" fillId="0" borderId="0"/>
    <xf numFmtId="0" fontId="18" fillId="0" borderId="0"/>
    <xf numFmtId="0" fontId="18" fillId="0" borderId="0" applyNumberFormat="0" applyFill="0" applyBorder="0" applyAlignment="0" applyProtection="0"/>
    <xf numFmtId="172" fontId="18" fillId="0" borderId="0" applyFont="0" applyFill="0" applyBorder="0" applyAlignment="0" applyProtection="0"/>
    <xf numFmtId="0" fontId="18" fillId="0" borderId="0" applyFont="0" applyFill="0" applyBorder="0" applyAlignment="0" applyProtection="0"/>
    <xf numFmtId="206" fontId="18" fillId="0" borderId="0" applyFont="0" applyFill="0" applyBorder="0" applyAlignment="0" applyProtection="0"/>
    <xf numFmtId="206" fontId="18" fillId="0" borderId="0" applyFont="0" applyFill="0" applyBorder="0" applyAlignment="0" applyProtection="0"/>
    <xf numFmtId="206" fontId="18" fillId="0" borderId="0" applyFont="0" applyFill="0" applyBorder="0" applyAlignment="0" applyProtection="0"/>
    <xf numFmtId="206" fontId="18" fillId="0" borderId="0" applyFont="0" applyFill="0" applyBorder="0" applyAlignment="0" applyProtection="0"/>
    <xf numFmtId="166" fontId="18" fillId="0" borderId="0" applyFont="0" applyFill="0" applyBorder="0" applyAlignment="0" applyProtection="0"/>
    <xf numFmtId="20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Border="0"/>
    <xf numFmtId="0" fontId="18" fillId="0" borderId="0" applyNumberFormat="0" applyFill="0">
      <alignment vertical="center"/>
    </xf>
    <xf numFmtId="0" fontId="18" fillId="0" borderId="0" applyNumberFormat="0" applyFill="0">
      <alignment vertical="center"/>
    </xf>
    <xf numFmtId="0" fontId="18" fillId="0" borderId="0" applyNumberFormat="0" applyFill="0">
      <alignment vertical="center"/>
    </xf>
    <xf numFmtId="0" fontId="18" fillId="0" borderId="0"/>
    <xf numFmtId="0" fontId="18" fillId="0" borderId="0" applyBorder="0"/>
    <xf numFmtId="0" fontId="18" fillId="0" borderId="0"/>
    <xf numFmtId="0" fontId="18" fillId="0" borderId="0"/>
    <xf numFmtId="0" fontId="18" fillId="0" borderId="0"/>
    <xf numFmtId="0" fontId="18" fillId="0" borderId="0"/>
    <xf numFmtId="0" fontId="18" fillId="0" borderId="0"/>
    <xf numFmtId="0" fontId="18" fillId="0" borderId="0" applyNumberFormat="0" applyFill="0" applyBorder="0" applyAlignment="0" applyProtection="0"/>
    <xf numFmtId="0" fontId="18" fillId="0" borderId="0" applyNumberFormat="0" applyFont="0" applyFill="0" applyBorder="0" applyAlignment="0" applyProtection="0"/>
    <xf numFmtId="0" fontId="18" fillId="0" borderId="0"/>
    <xf numFmtId="0" fontId="18" fillId="0" borderId="0"/>
    <xf numFmtId="0" fontId="18" fillId="0" borderId="0"/>
    <xf numFmtId="0" fontId="18" fillId="0" borderId="0"/>
    <xf numFmtId="0" fontId="18" fillId="35" borderId="0"/>
    <xf numFmtId="0" fontId="18" fillId="41" borderId="0"/>
    <xf numFmtId="0" fontId="18" fillId="41" borderId="0"/>
    <xf numFmtId="0" fontId="18" fillId="41" borderId="0"/>
    <xf numFmtId="0" fontId="18" fillId="41" borderId="0"/>
    <xf numFmtId="0" fontId="18" fillId="41" borderId="0"/>
    <xf numFmtId="0" fontId="18" fillId="35" borderId="0"/>
    <xf numFmtId="0" fontId="18" fillId="41" borderId="0"/>
    <xf numFmtId="0" fontId="18" fillId="41" borderId="0"/>
    <xf numFmtId="0" fontId="18" fillId="41" borderId="0"/>
    <xf numFmtId="0" fontId="18" fillId="35" borderId="0"/>
    <xf numFmtId="0" fontId="18" fillId="41" borderId="0"/>
    <xf numFmtId="0" fontId="18" fillId="41" borderId="0"/>
    <xf numFmtId="0" fontId="18" fillId="41" borderId="0"/>
    <xf numFmtId="0" fontId="18" fillId="41" borderId="0"/>
    <xf numFmtId="0" fontId="18" fillId="41" borderId="0"/>
    <xf numFmtId="0" fontId="18" fillId="35" borderId="0"/>
    <xf numFmtId="0" fontId="18" fillId="35" borderId="0"/>
    <xf numFmtId="0" fontId="18" fillId="41"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42" borderId="0" applyNumberFormat="0" applyFont="0" applyAlignment="0" applyProtection="0"/>
    <xf numFmtId="0" fontId="18" fillId="0" borderId="0"/>
    <xf numFmtId="0" fontId="18" fillId="0" borderId="0" applyBorder="0"/>
    <xf numFmtId="0" fontId="18" fillId="0" borderId="0" applyBorder="0"/>
    <xf numFmtId="0" fontId="18" fillId="0" borderId="0"/>
    <xf numFmtId="0" fontId="18" fillId="0" borderId="0"/>
    <xf numFmtId="0" fontId="18" fillId="0" borderId="0" applyBorder="0"/>
    <xf numFmtId="0" fontId="18" fillId="0" borderId="0" applyBorder="0"/>
    <xf numFmtId="0" fontId="18" fillId="0" borderId="0"/>
    <xf numFmtId="0" fontId="18" fillId="0" borderId="0"/>
    <xf numFmtId="0" fontId="18" fillId="0" borderId="0"/>
    <xf numFmtId="0" fontId="18" fillId="0" borderId="0"/>
    <xf numFmtId="207" fontId="18" fillId="0" borderId="0" applyFont="0" applyFill="0" applyBorder="0" applyAlignment="0" applyProtection="0"/>
    <xf numFmtId="208" fontId="18" fillId="0" borderId="0" applyFont="0" applyFill="0" applyBorder="0" applyAlignment="0" applyProtection="0"/>
    <xf numFmtId="207" fontId="18" fillId="0" borderId="0" applyFont="0" applyFill="0" applyBorder="0" applyAlignment="0" applyProtection="0"/>
    <xf numFmtId="208" fontId="18" fillId="0" borderId="0" applyFont="0" applyFill="0" applyBorder="0" applyAlignment="0" applyProtection="0"/>
    <xf numFmtId="209" fontId="18" fillId="0" borderId="0" applyFont="0" applyFill="0" applyBorder="0" applyAlignment="0" applyProtection="0"/>
    <xf numFmtId="210" fontId="18" fillId="0" borderId="0" applyFont="0" applyFill="0" applyBorder="0" applyAlignment="0" applyProtection="0"/>
    <xf numFmtId="168" fontId="18" fillId="0" borderId="0" applyFont="0" applyFill="0" applyBorder="0" applyAlignment="0" applyProtection="0"/>
    <xf numFmtId="211" fontId="18" fillId="0" borderId="0" applyFont="0" applyFill="0" applyBorder="0" applyAlignment="0" applyProtection="0"/>
    <xf numFmtId="207" fontId="18" fillId="0" borderId="0" applyFont="0" applyFill="0" applyBorder="0" applyAlignment="0" applyProtection="0"/>
    <xf numFmtId="0" fontId="18" fillId="0" borderId="0" applyFont="0" applyFill="0" applyBorder="0" applyAlignment="0" applyProtection="0"/>
    <xf numFmtId="212" fontId="18" fillId="0" borderId="0" applyFont="0" applyFill="0" applyBorder="0" applyAlignment="0" applyProtection="0"/>
    <xf numFmtId="212" fontId="18" fillId="0" borderId="0" applyFont="0" applyFill="0" applyBorder="0" applyAlignment="0" applyProtection="0"/>
    <xf numFmtId="212" fontId="18" fillId="0" borderId="0" applyFont="0" applyFill="0" applyBorder="0" applyAlignment="0" applyProtection="0"/>
    <xf numFmtId="213" fontId="18" fillId="0" borderId="0" applyFont="0" applyFill="0" applyBorder="0" applyAlignment="0" applyProtection="0"/>
    <xf numFmtId="212" fontId="18" fillId="0" borderId="0" applyFont="0" applyFill="0" applyBorder="0" applyAlignment="0" applyProtection="0"/>
    <xf numFmtId="214" fontId="18" fillId="0" borderId="0" applyFont="0" applyFill="0" applyBorder="0" applyAlignment="0" applyProtection="0"/>
    <xf numFmtId="212" fontId="18" fillId="0" borderId="0" applyFont="0" applyFill="0" applyBorder="0" applyAlignment="0" applyProtection="0"/>
    <xf numFmtId="215" fontId="18" fillId="0" borderId="0" applyFont="0" applyFill="0" applyBorder="0" applyAlignment="0" applyProtection="0"/>
    <xf numFmtId="207" fontId="18" fillId="0" borderId="0" applyFont="0" applyFill="0" applyBorder="0" applyAlignment="0" applyProtection="0"/>
    <xf numFmtId="0" fontId="18" fillId="0" borderId="0" applyFont="0" applyFill="0" applyBorder="0" applyAlignment="0" applyProtection="0"/>
    <xf numFmtId="207" fontId="18" fillId="0" borderId="0" applyFont="0" applyFill="0" applyBorder="0" applyAlignment="0" applyProtection="0"/>
    <xf numFmtId="216" fontId="18" fillId="0" borderId="0" applyFont="0" applyFill="0" applyBorder="0" applyAlignment="0" applyProtection="0"/>
    <xf numFmtId="213" fontId="18" fillId="0" borderId="0" applyFont="0" applyFill="0" applyBorder="0" applyAlignment="0" applyProtection="0"/>
    <xf numFmtId="0" fontId="18" fillId="0" borderId="0" applyFont="0" applyFill="0" applyBorder="0" applyProtection="0">
      <alignment horizontal="right"/>
    </xf>
    <xf numFmtId="213" fontId="18" fillId="0" borderId="0" applyFont="0" applyFill="0" applyBorder="0" applyAlignment="0" applyProtection="0"/>
    <xf numFmtId="217" fontId="18" fillId="0" borderId="0" applyFont="0" applyFill="0" applyBorder="0" applyAlignment="0" applyProtection="0"/>
    <xf numFmtId="218" fontId="18" fillId="0" borderId="0" applyFont="0" applyFill="0" applyBorder="0" applyAlignment="0" applyProtection="0"/>
    <xf numFmtId="219" fontId="18" fillId="0" borderId="0" applyFont="0" applyFill="0" applyBorder="0" applyAlignment="0" applyProtection="0"/>
    <xf numFmtId="216" fontId="18" fillId="0" borderId="0" applyFont="0" applyFill="0" applyBorder="0" applyAlignment="0" applyProtection="0"/>
    <xf numFmtId="220" fontId="18" fillId="0" borderId="0" applyFont="0" applyFill="0" applyBorder="0" applyAlignment="0" applyProtection="0"/>
    <xf numFmtId="221" fontId="18" fillId="0" borderId="0" applyFont="0" applyFill="0" applyBorder="0" applyAlignment="0" applyProtection="0"/>
    <xf numFmtId="220" fontId="18" fillId="0" borderId="0" applyFont="0" applyFill="0" applyBorder="0" applyAlignment="0" applyProtection="0"/>
    <xf numFmtId="222" fontId="18" fillId="0" borderId="0" applyFont="0" applyFill="0" applyBorder="0" applyAlignment="0" applyProtection="0"/>
    <xf numFmtId="216" fontId="18" fillId="0" borderId="0" applyFont="0" applyFill="0" applyBorder="0" applyAlignment="0" applyProtection="0"/>
    <xf numFmtId="210" fontId="18" fillId="0" borderId="0" applyFont="0" applyFill="0" applyBorder="0" applyAlignment="0" applyProtection="0"/>
    <xf numFmtId="21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223" fontId="18" fillId="0" borderId="0" applyFont="0" applyFill="0" applyBorder="0" applyAlignment="0" applyProtection="0"/>
    <xf numFmtId="224" fontId="18" fillId="0" borderId="0" applyFont="0" applyFill="0" applyBorder="0" applyAlignment="0" applyProtection="0"/>
    <xf numFmtId="224" fontId="18" fillId="0" borderId="0" applyFont="0" applyFill="0" applyBorder="0" applyAlignment="0" applyProtection="0"/>
    <xf numFmtId="224" fontId="18" fillId="0" borderId="0" applyFont="0" applyFill="0" applyBorder="0" applyAlignment="0" applyProtection="0"/>
    <xf numFmtId="223" fontId="18" fillId="0" borderId="0" applyFont="0" applyFill="0" applyBorder="0" applyAlignment="0" applyProtection="0"/>
    <xf numFmtId="224" fontId="18" fillId="0" borderId="0" applyFont="0" applyFill="0" applyBorder="0" applyAlignment="0" applyProtection="0"/>
    <xf numFmtId="170" fontId="18" fillId="0" borderId="0" applyFont="0" applyFill="0" applyBorder="0" applyAlignment="0" applyProtection="0"/>
    <xf numFmtId="225" fontId="18" fillId="0" borderId="0" applyFont="0" applyFill="0" applyBorder="0" applyAlignment="0" applyProtection="0"/>
    <xf numFmtId="169" fontId="18" fillId="0" borderId="0" applyFont="0" applyFill="0" applyBorder="0" applyAlignment="0" applyProtection="0"/>
    <xf numFmtId="164" fontId="18" fillId="0" borderId="0" applyFont="0" applyFill="0" applyBorder="0" applyAlignment="0" applyProtection="0"/>
    <xf numFmtId="199" fontId="18" fillId="0" borderId="0" applyFont="0" applyFill="0" applyBorder="0" applyAlignment="0" applyProtection="0"/>
    <xf numFmtId="226" fontId="18" fillId="0" borderId="0" applyFont="0" applyFill="0" applyBorder="0" applyAlignment="0" applyProtection="0"/>
    <xf numFmtId="199" fontId="18" fillId="0" borderId="0" applyFont="0" applyFill="0" applyBorder="0" applyAlignment="0" applyProtection="0"/>
    <xf numFmtId="226"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ill="0">
      <alignment vertical="center"/>
    </xf>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8" borderId="0"/>
    <xf numFmtId="0" fontId="18" fillId="38" borderId="0"/>
    <xf numFmtId="0" fontId="18" fillId="38" borderId="0"/>
    <xf numFmtId="0" fontId="18" fillId="38" borderId="0"/>
    <xf numFmtId="0" fontId="18" fillId="37" borderId="0"/>
    <xf numFmtId="0" fontId="18" fillId="38" borderId="0"/>
    <xf numFmtId="0" fontId="18" fillId="38" borderId="0"/>
    <xf numFmtId="0" fontId="18" fillId="38" borderId="0"/>
    <xf numFmtId="0" fontId="18" fillId="37" borderId="0"/>
    <xf numFmtId="0" fontId="18" fillId="38" borderId="0"/>
    <xf numFmtId="0" fontId="18" fillId="38" borderId="0"/>
    <xf numFmtId="0" fontId="18" fillId="38" borderId="0"/>
    <xf numFmtId="0" fontId="18" fillId="38" borderId="0"/>
    <xf numFmtId="0" fontId="18" fillId="38" borderId="0"/>
    <xf numFmtId="0" fontId="18" fillId="37" borderId="0"/>
    <xf numFmtId="0" fontId="18" fillId="37" borderId="0"/>
    <xf numFmtId="0" fontId="18" fillId="38" borderId="0"/>
    <xf numFmtId="0" fontId="18" fillId="37" borderId="0"/>
    <xf numFmtId="0" fontId="18" fillId="39" borderId="0"/>
    <xf numFmtId="0" fontId="18" fillId="39" borderId="0"/>
    <xf numFmtId="0" fontId="18" fillId="39" borderId="0"/>
    <xf numFmtId="0" fontId="18" fillId="39" borderId="0"/>
    <xf numFmtId="0" fontId="18" fillId="37" borderId="0"/>
    <xf numFmtId="0" fontId="18" fillId="39" borderId="0"/>
    <xf numFmtId="0" fontId="18" fillId="39" borderId="0"/>
    <xf numFmtId="0" fontId="18" fillId="39" borderId="0"/>
    <xf numFmtId="0" fontId="18" fillId="37" borderId="0"/>
    <xf numFmtId="0" fontId="18" fillId="39" borderId="0"/>
    <xf numFmtId="0" fontId="18" fillId="39" borderId="0"/>
    <xf numFmtId="0" fontId="18" fillId="39" borderId="0"/>
    <xf numFmtId="0" fontId="18" fillId="39" borderId="0"/>
    <xf numFmtId="0" fontId="18" fillId="39" borderId="0"/>
    <xf numFmtId="0" fontId="18" fillId="37" borderId="0"/>
    <xf numFmtId="0" fontId="18" fillId="37" borderId="0"/>
    <xf numFmtId="0" fontId="18" fillId="39" borderId="0"/>
    <xf numFmtId="0" fontId="18" fillId="37" borderId="0"/>
    <xf numFmtId="0" fontId="18" fillId="40" borderId="0"/>
    <xf numFmtId="0" fontId="18" fillId="40" borderId="0"/>
    <xf numFmtId="0" fontId="18" fillId="40" borderId="0"/>
    <xf numFmtId="0" fontId="18" fillId="40" borderId="0"/>
    <xf numFmtId="0" fontId="18" fillId="37" borderId="0"/>
    <xf numFmtId="0" fontId="18" fillId="40" borderId="0"/>
    <xf numFmtId="0" fontId="18" fillId="40" borderId="0"/>
    <xf numFmtId="0" fontId="18" fillId="40" borderId="0"/>
    <xf numFmtId="0" fontId="18" fillId="37" borderId="0"/>
    <xf numFmtId="0" fontId="18" fillId="40" borderId="0"/>
    <xf numFmtId="0" fontId="18" fillId="40" borderId="0"/>
    <xf numFmtId="0" fontId="18" fillId="40" borderId="0"/>
    <xf numFmtId="0" fontId="18" fillId="40" borderId="0"/>
    <xf numFmtId="0" fontId="18" fillId="40" borderId="0"/>
    <xf numFmtId="0" fontId="18" fillId="37" borderId="0"/>
    <xf numFmtId="0" fontId="18" fillId="37" borderId="0"/>
    <xf numFmtId="0" fontId="18" fillId="40" borderId="0"/>
    <xf numFmtId="0" fontId="18" fillId="37" borderId="0"/>
    <xf numFmtId="0" fontId="18" fillId="37" borderId="0"/>
    <xf numFmtId="0" fontId="18" fillId="0" borderId="0"/>
    <xf numFmtId="0" fontId="18" fillId="37" borderId="0"/>
    <xf numFmtId="0" fontId="18" fillId="37" borderId="0"/>
    <xf numFmtId="0" fontId="18" fillId="37" borderId="0"/>
    <xf numFmtId="0" fontId="18" fillId="37" borderId="0"/>
    <xf numFmtId="0" fontId="18" fillId="37"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37" borderId="0"/>
    <xf numFmtId="0" fontId="18" fillId="0"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37" borderId="0"/>
    <xf numFmtId="0" fontId="18" fillId="0" borderId="0"/>
    <xf numFmtId="0" fontId="18" fillId="0" borderId="0"/>
    <xf numFmtId="0" fontId="18" fillId="0" borderId="0"/>
    <xf numFmtId="0" fontId="18" fillId="0" borderId="0"/>
    <xf numFmtId="0" fontId="18" fillId="0" borderId="0"/>
    <xf numFmtId="0" fontId="18" fillId="37" borderId="0"/>
    <xf numFmtId="0" fontId="18" fillId="37" borderId="0"/>
    <xf numFmtId="0" fontId="18" fillId="0" borderId="0"/>
    <xf numFmtId="0" fontId="18" fillId="0" borderId="0"/>
    <xf numFmtId="0" fontId="18" fillId="0" borderId="0"/>
    <xf numFmtId="0" fontId="18" fillId="0" borderId="0" applyNumberFormat="0" applyFill="0" applyBorder="0" applyAlignment="0" applyProtection="0"/>
    <xf numFmtId="0" fontId="18" fillId="0" borderId="0"/>
    <xf numFmtId="0" fontId="18" fillId="0" borderId="0" applyNumberFormat="0" applyFill="0">
      <alignmen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Protection="0">
      <alignment vertical="top"/>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Protection="0">
      <alignment vertical="top"/>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1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11" applyNumberFormat="0" applyFill="0" applyAlignment="0" applyProtection="0"/>
    <xf numFmtId="0" fontId="18" fillId="0" borderId="0" applyNumberFormat="0" applyFill="0" applyBorder="0" applyAlignment="0" applyProtection="0"/>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2" applyNumberFormat="0" applyFill="0" applyProtection="0">
      <alignment horizontal="center"/>
    </xf>
    <xf numFmtId="0" fontId="18" fillId="0" borderId="13" applyNumberFormat="0" applyFont="0" applyFill="0" applyAlignment="0" applyProtection="0"/>
    <xf numFmtId="0" fontId="18" fillId="0" borderId="13" applyNumberFormat="0" applyFont="0" applyFill="0" applyAlignment="0" applyProtection="0"/>
    <xf numFmtId="0" fontId="18" fillId="0" borderId="13" applyNumberFormat="0" applyFont="0" applyFill="0" applyAlignment="0" applyProtection="0"/>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left"/>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Protection="0">
      <alignment horizontal="centerContinuous"/>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Font="0" applyFill="0" applyBorder="0" applyAlignment="0" applyProtection="0"/>
    <xf numFmtId="0" fontId="18" fillId="0" borderId="0"/>
    <xf numFmtId="3" fontId="18" fillId="0" borderId="0"/>
    <xf numFmtId="0" fontId="18" fillId="0" borderId="0" applyNumberFormat="0" applyFill="0">
      <alignment vertical="center"/>
    </xf>
    <xf numFmtId="0" fontId="18" fillId="0" borderId="0" applyNumberFormat="0" applyFill="0">
      <alignment vertical="center"/>
    </xf>
    <xf numFmtId="0" fontId="18" fillId="0" borderId="0" applyNumberFormat="0" applyFill="0">
      <alignment vertical="center"/>
    </xf>
    <xf numFmtId="0" fontId="18" fillId="0" borderId="0"/>
    <xf numFmtId="0" fontId="18" fillId="0" borderId="0" applyFont="0" applyFill="0" applyBorder="0" applyAlignment="0" applyProtection="0"/>
    <xf numFmtId="0" fontId="18" fillId="0" borderId="0"/>
    <xf numFmtId="0" fontId="18" fillId="0" borderId="0"/>
    <xf numFmtId="0" fontId="20" fillId="0" borderId="0"/>
    <xf numFmtId="0" fontId="18" fillId="0" borderId="0" applyFont="0" applyFill="0" applyBorder="0" applyAlignment="0" applyProtection="0"/>
    <xf numFmtId="0" fontId="18" fillId="0" borderId="0" applyFont="0" applyFill="0" applyBorder="0" applyAlignment="0" applyProtection="0"/>
    <xf numFmtId="0" fontId="18" fillId="0" borderId="0"/>
    <xf numFmtId="3" fontId="18" fillId="0" borderId="8" applyFont="0" applyFill="0" applyBorder="0" applyAlignment="0" applyProtection="0">
      <alignment horizontal="right"/>
    </xf>
    <xf numFmtId="3" fontId="18" fillId="0" borderId="8" applyFont="0" applyFill="0" applyBorder="0" applyAlignment="0" applyProtection="0">
      <alignment horizontal="right"/>
    </xf>
    <xf numFmtId="0" fontId="18" fillId="0" borderId="0"/>
    <xf numFmtId="0" fontId="18" fillId="0" borderId="0"/>
    <xf numFmtId="227" fontId="18" fillId="0" borderId="8" applyFont="0" applyFill="0" applyBorder="0" applyAlignment="0" applyProtection="0">
      <alignment horizontal="right"/>
    </xf>
    <xf numFmtId="227" fontId="18" fillId="0" borderId="8" applyFont="0" applyFill="0" applyBorder="0" applyAlignment="0" applyProtection="0">
      <alignment horizontal="right"/>
    </xf>
    <xf numFmtId="228" fontId="18" fillId="0" borderId="14" applyBorder="0"/>
    <xf numFmtId="228" fontId="18" fillId="0" borderId="14" applyBorder="0"/>
    <xf numFmtId="228" fontId="18" fillId="0" borderId="14" applyBorder="0"/>
    <xf numFmtId="0" fontId="18" fillId="0" borderId="8" applyFont="0" applyFill="0" applyBorder="0" applyAlignment="0" applyProtection="0">
      <alignment horizontal="right"/>
    </xf>
    <xf numFmtId="2" fontId="18" fillId="0" borderId="8" applyFont="0" applyFill="0" applyBorder="0" applyAlignment="0" applyProtection="0">
      <alignment horizontal="right"/>
    </xf>
    <xf numFmtId="2" fontId="18" fillId="0" borderId="8" applyFont="0" applyFill="0" applyBorder="0" applyAlignment="0" applyProtection="0">
      <alignment horizontal="right"/>
    </xf>
    <xf numFmtId="229" fontId="18" fillId="0" borderId="0">
      <alignment horizontal="center"/>
    </xf>
    <xf numFmtId="230" fontId="18" fillId="0" borderId="0" applyFont="0" applyFill="0" applyBorder="0" applyAlignment="0" applyProtection="0"/>
    <xf numFmtId="231" fontId="18" fillId="0" borderId="0" applyFont="0" applyFill="0" applyBorder="0" applyAlignment="0" applyProtection="0"/>
    <xf numFmtId="232" fontId="18" fillId="0" borderId="0" applyFont="0" applyFill="0" applyBorder="0" applyAlignment="0" applyProtection="0">
      <alignment horizontal="right"/>
    </xf>
    <xf numFmtId="186" fontId="18" fillId="0" borderId="0"/>
    <xf numFmtId="217" fontId="18" fillId="0" borderId="0" applyFill="0" applyBorder="0" applyProtection="0"/>
    <xf numFmtId="233" fontId="18" fillId="0" borderId="0" applyFill="0" applyBorder="0" applyProtection="0"/>
    <xf numFmtId="0" fontId="18" fillId="0" borderId="0" applyFill="0" applyBorder="0" applyProtection="0">
      <alignment horizontal="left"/>
    </xf>
    <xf numFmtId="0" fontId="18" fillId="0" borderId="0" applyFill="0" applyBorder="0" applyAlignment="0" applyProtection="0">
      <alignment horizontal="center"/>
    </xf>
    <xf numFmtId="0" fontId="1" fillId="43" borderId="0" applyNumberFormat="0" applyBorder="0" applyAlignment="0" applyProtection="0"/>
    <xf numFmtId="234" fontId="18" fillId="0" borderId="0">
      <alignment vertical="center"/>
    </xf>
    <xf numFmtId="0" fontId="18" fillId="0" borderId="0">
      <alignment vertical="center"/>
    </xf>
    <xf numFmtId="234" fontId="18" fillId="0" borderId="0">
      <alignment vertical="center"/>
    </xf>
    <xf numFmtId="0" fontId="18" fillId="0" borderId="0">
      <alignment vertical="center"/>
    </xf>
    <xf numFmtId="0" fontId="18" fillId="0" borderId="0">
      <alignment horizontal="center"/>
    </xf>
    <xf numFmtId="217" fontId="18" fillId="0" borderId="0"/>
    <xf numFmtId="37" fontId="18" fillId="0" borderId="0"/>
    <xf numFmtId="37" fontId="18" fillId="0" borderId="0"/>
    <xf numFmtId="37" fontId="18" fillId="0" borderId="0"/>
    <xf numFmtId="0" fontId="18" fillId="0" borderId="0" applyFont="0" applyProtection="0">
      <alignment vertical="center"/>
      <protection locked="0"/>
    </xf>
    <xf numFmtId="0" fontId="18" fillId="0" borderId="0" applyFill="0" applyBorder="0" applyProtection="0">
      <alignment vertical="center"/>
      <protection locked="0"/>
    </xf>
    <xf numFmtId="235" fontId="18" fillId="0" borderId="0" applyFill="0" applyBorder="0" applyProtection="0">
      <alignment vertical="center"/>
      <protection locked="0"/>
    </xf>
    <xf numFmtId="236" fontId="18" fillId="0" borderId="0" applyFill="0" applyBorder="0" applyProtection="0">
      <alignment vertical="center"/>
      <protection locked="0"/>
    </xf>
    <xf numFmtId="237" fontId="18" fillId="0" borderId="0" applyFill="0" applyBorder="0" applyProtection="0">
      <alignment vertical="center"/>
      <protection locked="0"/>
    </xf>
    <xf numFmtId="238" fontId="18" fillId="0" borderId="0" applyFill="0" applyBorder="0" applyProtection="0">
      <alignment vertical="center"/>
      <protection locked="0"/>
    </xf>
    <xf numFmtId="0" fontId="18" fillId="0" borderId="0" applyFill="0" applyBorder="0" applyProtection="0">
      <alignment vertical="center"/>
      <protection locked="0"/>
    </xf>
    <xf numFmtId="239" fontId="18" fillId="44" borderId="15">
      <alignment horizontal="center" vertical="center"/>
    </xf>
    <xf numFmtId="0" fontId="18" fillId="0" borderId="0"/>
    <xf numFmtId="0" fontId="18" fillId="0" borderId="16" applyFont="0" applyFill="0" applyBorder="0" applyAlignment="0" applyProtection="0"/>
    <xf numFmtId="0" fontId="18" fillId="0" borderId="16" applyFont="0" applyFill="0" applyBorder="0" applyAlignment="0" applyProtection="0"/>
    <xf numFmtId="0" fontId="18" fillId="0" borderId="0">
      <alignment horizontal="right"/>
    </xf>
    <xf numFmtId="0" fontId="18" fillId="0" borderId="0">
      <alignment horizontal="center" wrapText="1"/>
      <protection locked="0"/>
    </xf>
    <xf numFmtId="0" fontId="18" fillId="0" borderId="0" applyNumberFormat="0" applyFill="0" applyBorder="0" applyAlignment="0" applyProtection="0"/>
    <xf numFmtId="0" fontId="18" fillId="0" borderId="0" applyNumberFormat="0" applyFill="0" applyBorder="0" applyAlignment="0" applyProtection="0"/>
    <xf numFmtId="0" fontId="18" fillId="35" borderId="0" applyBorder="0" applyAlignment="0" applyProtection="0"/>
    <xf numFmtId="0" fontId="18" fillId="0" borderId="0"/>
    <xf numFmtId="0" fontId="18" fillId="0" borderId="0" applyNumberFormat="0" applyFill="0" applyBorder="0" applyAlignment="0" applyProtection="0"/>
    <xf numFmtId="186" fontId="18" fillId="0" borderId="17" applyNumberFormat="0" applyFont="0" applyFill="0" applyBorder="0" applyAlignment="0"/>
    <xf numFmtId="0" fontId="18" fillId="45" borderId="18" applyNumberFormat="0" applyAlignment="0" applyProtection="0"/>
    <xf numFmtId="3" fontId="18" fillId="0" borderId="0"/>
    <xf numFmtId="0" fontId="18" fillId="0" borderId="0" applyNumberFormat="0" applyFill="0" applyBorder="0" applyAlignment="0" applyProtection="0">
      <alignment vertical="top"/>
      <protection locked="0"/>
    </xf>
    <xf numFmtId="240" fontId="18" fillId="0" borderId="0" applyFont="0" applyFill="0" applyBorder="0" applyAlignment="0" applyProtection="0">
      <alignment horizontal="center"/>
    </xf>
    <xf numFmtId="0" fontId="18" fillId="0" borderId="0" applyNumberFormat="0" applyFill="0" applyBorder="0" applyAlignment="0" applyProtection="0"/>
    <xf numFmtId="0" fontId="18" fillId="46" borderId="0"/>
    <xf numFmtId="227" fontId="18" fillId="47" borderId="19" applyNumberFormat="0" applyFont="0" applyBorder="0" applyAlignment="0" applyProtection="0">
      <alignment horizontal="centerContinuous"/>
    </xf>
    <xf numFmtId="227" fontId="18" fillId="47" borderId="19" applyNumberFormat="0" applyFont="0" applyBorder="0" applyAlignment="0" applyProtection="0">
      <alignment horizontal="centerContinuous"/>
    </xf>
    <xf numFmtId="227" fontId="18" fillId="47" borderId="19" applyNumberFormat="0" applyFont="0" applyBorder="0" applyAlignment="0" applyProtection="0">
      <alignment horizontal="centerContinuous"/>
    </xf>
    <xf numFmtId="227" fontId="18" fillId="47" borderId="19" applyNumberFormat="0" applyFont="0" applyBorder="0" applyAlignment="0" applyProtection="0">
      <alignment horizontal="centerContinuous"/>
    </xf>
    <xf numFmtId="0" fontId="18" fillId="0" borderId="20" applyNumberFormat="0" applyFont="0" applyFill="0" applyBorder="0" applyAlignment="0">
      <alignment horizontal="center"/>
    </xf>
    <xf numFmtId="0" fontId="18" fillId="0" borderId="20" applyNumberFormat="0" applyFont="0" applyFill="0" applyBorder="0" applyAlignment="0">
      <alignment horizontal="center"/>
    </xf>
    <xf numFmtId="0" fontId="18" fillId="0" borderId="0" applyNumberFormat="0" applyFill="0" applyBorder="0" applyAlignment="0" applyProtection="0"/>
    <xf numFmtId="168" fontId="18" fillId="0" borderId="0">
      <alignment horizontal="right"/>
      <protection locked="0"/>
    </xf>
    <xf numFmtId="0" fontId="18" fillId="0" borderId="0" applyNumberFormat="0" applyFill="0" applyBorder="0" applyAlignment="0" applyProtection="0"/>
    <xf numFmtId="0" fontId="18" fillId="0" borderId="0" applyNumberFormat="0"/>
    <xf numFmtId="0" fontId="18" fillId="0" borderId="21"/>
    <xf numFmtId="0" fontId="18" fillId="0" borderId="21"/>
    <xf numFmtId="0" fontId="18" fillId="37" borderId="22" applyNumberFormat="0" applyFill="0" applyBorder="0" applyAlignment="0" applyProtection="0">
      <alignment horizontal="left" vertical="center" wrapText="1"/>
    </xf>
    <xf numFmtId="0" fontId="18" fillId="0" borderId="0" applyNumberFormat="0"/>
    <xf numFmtId="37" fontId="18" fillId="0" borderId="9" applyNumberFormat="0" applyFont="0" applyFill="0" applyAlignment="0" applyProtection="0"/>
    <xf numFmtId="0" fontId="18" fillId="0" borderId="9" applyNumberFormat="0" applyFont="0" applyFill="0" applyAlignment="0" applyProtection="0"/>
    <xf numFmtId="0" fontId="18" fillId="0" borderId="23" applyNumberFormat="0" applyFont="0" applyFill="0" applyAlignment="0" applyProtection="0"/>
    <xf numFmtId="37" fontId="18" fillId="0" borderId="24" applyNumberFormat="0" applyFont="0" applyFill="0" applyAlignment="0" applyProtection="0"/>
    <xf numFmtId="37" fontId="18" fillId="0" borderId="24" applyNumberFormat="0" applyFont="0" applyFill="0" applyAlignment="0" applyProtection="0"/>
    <xf numFmtId="37" fontId="18" fillId="0" borderId="24" applyNumberFormat="0" applyFont="0" applyFill="0" applyAlignment="0" applyProtection="0"/>
    <xf numFmtId="37" fontId="18" fillId="0" borderId="24" applyNumberFormat="0" applyFont="0" applyFill="0" applyAlignment="0" applyProtection="0"/>
    <xf numFmtId="0" fontId="18" fillId="0" borderId="25">
      <alignment horizontal="right"/>
    </xf>
    <xf numFmtId="217" fontId="18" fillId="0" borderId="26" applyNumberFormat="0" applyFont="0" applyFill="0" applyAlignment="0" applyProtection="0"/>
    <xf numFmtId="0" fontId="18" fillId="0" borderId="0" applyFont="0" applyFill="0" applyBorder="0" applyAlignment="0" applyProtection="0"/>
    <xf numFmtId="0" fontId="18" fillId="48" borderId="27" applyNumberFormat="0" applyFont="0" applyBorder="0" applyAlignment="0" applyProtection="0">
      <alignment horizontal="left"/>
    </xf>
    <xf numFmtId="234" fontId="18" fillId="0" borderId="0" applyFill="0" applyBorder="0" applyAlignment="0"/>
    <xf numFmtId="0" fontId="18" fillId="0" borderId="0" applyFill="0" applyBorder="0" applyAlignment="0"/>
    <xf numFmtId="0" fontId="18" fillId="0" borderId="0" applyFill="0" applyBorder="0" applyAlignment="0"/>
    <xf numFmtId="0" fontId="18" fillId="0" borderId="28" applyNumberFormat="0" applyFill="0"/>
    <xf numFmtId="0" fontId="18" fillId="0" borderId="28" applyNumberFormat="0" applyFill="0"/>
    <xf numFmtId="0" fontId="18" fillId="0" borderId="28" applyNumberFormat="0" applyFill="0"/>
    <xf numFmtId="0" fontId="18" fillId="0" borderId="28" applyNumberFormat="0" applyFill="0"/>
    <xf numFmtId="0" fontId="18" fillId="50" borderId="0" applyNumberFormat="0" applyFont="0" applyBorder="0" applyAlignment="0">
      <protection locked="0"/>
    </xf>
    <xf numFmtId="186" fontId="18" fillId="0" borderId="17" applyFill="0"/>
    <xf numFmtId="0" fontId="18" fillId="0" borderId="0"/>
    <xf numFmtId="0" fontId="18" fillId="0" borderId="0" applyFill="0" applyBorder="0"/>
    <xf numFmtId="241" fontId="18" fillId="0" borderId="0" applyFill="0" applyBorder="0"/>
    <xf numFmtId="242" fontId="18" fillId="0" borderId="0" applyFill="0" applyBorder="0"/>
    <xf numFmtId="243" fontId="18" fillId="0" borderId="0" applyFill="0" applyBorder="0"/>
    <xf numFmtId="244" fontId="18" fillId="0" borderId="0" applyFill="0" applyBorder="0"/>
    <xf numFmtId="0" fontId="18" fillId="0" borderId="0" applyBorder="0">
      <alignment vertical="top"/>
    </xf>
    <xf numFmtId="245" fontId="18" fillId="0" borderId="0" applyBorder="0">
      <alignment vertical="top"/>
    </xf>
    <xf numFmtId="246" fontId="18" fillId="0" borderId="0" applyBorder="0">
      <alignment vertical="top"/>
    </xf>
    <xf numFmtId="247" fontId="18" fillId="0" borderId="0" applyBorder="0">
      <alignment vertical="top"/>
    </xf>
    <xf numFmtId="248" fontId="18" fillId="0" borderId="0" applyBorder="0">
      <alignment vertical="top"/>
    </xf>
    <xf numFmtId="249" fontId="18" fillId="0" borderId="0" applyBorder="0">
      <alignment vertical="top"/>
    </xf>
    <xf numFmtId="0" fontId="18" fillId="0" borderId="0">
      <alignment vertical="top"/>
    </xf>
    <xf numFmtId="250" fontId="18" fillId="0" borderId="0">
      <alignment vertical="top"/>
    </xf>
    <xf numFmtId="251" fontId="18" fillId="0" borderId="0">
      <alignment vertical="top"/>
    </xf>
    <xf numFmtId="17" fontId="18" fillId="0" borderId="0">
      <alignment vertical="top"/>
    </xf>
    <xf numFmtId="20" fontId="18" fillId="0" borderId="0">
      <alignment vertical="top"/>
    </xf>
    <xf numFmtId="0" fontId="18" fillId="0" borderId="0" applyFill="0" applyBorder="0"/>
    <xf numFmtId="252" fontId="18" fillId="0" borderId="0" applyFill="0" applyBorder="0"/>
    <xf numFmtId="253" fontId="18" fillId="0" borderId="0" applyFill="0" applyBorder="0"/>
    <xf numFmtId="254" fontId="18" fillId="0" borderId="0" applyFill="0" applyBorder="0"/>
    <xf numFmtId="255" fontId="18" fillId="0" borderId="0" applyFill="0" applyBorder="0"/>
    <xf numFmtId="0" fontId="18" fillId="0" borderId="0" applyFill="0" applyBorder="0">
      <alignment horizontal="center"/>
    </xf>
    <xf numFmtId="0" fontId="18" fillId="0" borderId="20" applyNumberFormat="0">
      <alignment horizontal="center" vertical="center"/>
    </xf>
    <xf numFmtId="0" fontId="18" fillId="0" borderId="20" applyNumberFormat="0">
      <alignment horizontal="center" vertical="center"/>
    </xf>
    <xf numFmtId="0" fontId="18" fillId="0" borderId="21" applyBorder="0">
      <alignment horizontal="centerContinuous"/>
    </xf>
    <xf numFmtId="0" fontId="18" fillId="0" borderId="21" applyBorder="0">
      <alignment horizontal="centerContinuous"/>
    </xf>
    <xf numFmtId="256" fontId="18" fillId="0" borderId="0" applyFill="0" applyBorder="0"/>
    <xf numFmtId="170" fontId="18" fillId="0" borderId="0" applyFont="0" applyFill="0" applyBorder="0" applyAlignment="0"/>
    <xf numFmtId="257" fontId="18" fillId="0" borderId="0" applyNumberFormat="0" applyAlignment="0">
      <alignment vertical="center"/>
    </xf>
    <xf numFmtId="258" fontId="18" fillId="0" borderId="0" applyFill="0" applyBorder="0"/>
    <xf numFmtId="259" fontId="18" fillId="0" borderId="0" applyFill="0" applyBorder="0"/>
    <xf numFmtId="0" fontId="18" fillId="0" borderId="0" applyNumberFormat="0" applyFill="0" applyBorder="0" applyAlignment="0" applyProtection="0"/>
    <xf numFmtId="0" fontId="18" fillId="0" borderId="21" applyNumberFormat="0" applyFill="0" applyBorder="0" applyAlignment="0" applyProtection="0">
      <alignment horizontal="center"/>
    </xf>
    <xf numFmtId="0" fontId="18" fillId="0" borderId="21" applyNumberFormat="0" applyFill="0" applyBorder="0" applyAlignment="0" applyProtection="0">
      <alignment horizontal="center"/>
    </xf>
    <xf numFmtId="0" fontId="18" fillId="0" borderId="21" applyNumberFormat="0" applyFill="0" applyProtection="0">
      <alignment horizontal="left" vertical="center"/>
    </xf>
    <xf numFmtId="0" fontId="18" fillId="0" borderId="0">
      <alignment horizontal="center" wrapText="1"/>
      <protection hidden="1"/>
    </xf>
    <xf numFmtId="37" fontId="18" fillId="0" borderId="0" applyNumberFormat="0" applyFill="0" applyBorder="0" applyProtection="0">
      <alignment horizontal="right" wrapText="1"/>
    </xf>
    <xf numFmtId="0" fontId="18" fillId="51" borderId="0" applyNumberFormat="0">
      <alignment horizontal="center" vertical="top" wrapText="1"/>
    </xf>
    <xf numFmtId="0" fontId="18" fillId="51" borderId="0" applyNumberFormat="0">
      <alignment horizontal="left" vertical="top" wrapText="1"/>
    </xf>
    <xf numFmtId="0" fontId="18" fillId="51" borderId="0" applyNumberFormat="0">
      <alignment horizontal="centerContinuous" vertical="top"/>
    </xf>
    <xf numFmtId="0" fontId="18" fillId="51" borderId="0" applyNumberFormat="0">
      <alignment horizontal="center" vertical="top" wrapText="1"/>
    </xf>
    <xf numFmtId="0" fontId="18" fillId="0" borderId="0">
      <alignment horizontal="right"/>
    </xf>
    <xf numFmtId="0" fontId="18" fillId="0" borderId="0" applyNumberFormat="0" applyFill="0" applyBorder="0" applyAlignment="0"/>
    <xf numFmtId="166" fontId="18" fillId="0" borderId="0" applyFont="0" applyFill="0" applyBorder="0" applyAlignment="0" applyProtection="0"/>
    <xf numFmtId="166" fontId="18" fillId="0" borderId="0" applyFont="0" applyFill="0" applyBorder="0" applyAlignment="0" applyProtection="0"/>
    <xf numFmtId="260" fontId="18" fillId="0" borderId="0"/>
    <xf numFmtId="260" fontId="18" fillId="0" borderId="0"/>
    <xf numFmtId="260" fontId="18" fillId="0" borderId="0"/>
    <xf numFmtId="260" fontId="18" fillId="0" borderId="0"/>
    <xf numFmtId="260" fontId="18" fillId="0" borderId="0"/>
    <xf numFmtId="260" fontId="18" fillId="0" borderId="0"/>
    <xf numFmtId="260" fontId="18" fillId="0" borderId="0"/>
    <xf numFmtId="260" fontId="18" fillId="0" borderId="0"/>
    <xf numFmtId="0" fontId="18" fillId="0" borderId="0" applyFont="0" applyFill="0" applyBorder="0" applyAlignment="0" applyProtection="0"/>
    <xf numFmtId="0" fontId="18" fillId="0" borderId="0" applyFont="0" applyFill="0" applyBorder="0" applyProtection="0">
      <alignment horizontal="right"/>
    </xf>
    <xf numFmtId="261" fontId="18" fillId="0" borderId="0" applyFont="0" applyFill="0" applyBorder="0" applyAlignment="0" applyProtection="0"/>
    <xf numFmtId="0" fontId="18" fillId="0" borderId="0" applyFont="0" applyFill="0" applyBorder="0" applyProtection="0">
      <alignment horizontal="right"/>
    </xf>
    <xf numFmtId="0" fontId="18" fillId="0" borderId="0" applyFont="0" applyFill="0" applyBorder="0" applyAlignment="0" applyProtection="0">
      <alignment horizontal="right"/>
    </xf>
    <xf numFmtId="166" fontId="17" fillId="0" borderId="0" applyFont="0" applyFill="0" applyBorder="0" applyAlignment="0" applyProtection="0"/>
    <xf numFmtId="175" fontId="17" fillId="0" borderId="0" applyFont="0" applyFill="0" applyBorder="0" applyAlignment="0" applyProtection="0"/>
    <xf numFmtId="175" fontId="18" fillId="0" borderId="0" applyFont="0" applyFill="0" applyBorder="0" applyAlignment="0" applyProtection="0"/>
    <xf numFmtId="166" fontId="18" fillId="0" borderId="0" applyFont="0" applyFill="0" applyBorder="0" applyAlignment="0" applyProtection="0"/>
    <xf numFmtId="3" fontId="18" fillId="0" borderId="0" applyFont="0" applyFill="0" applyBorder="0" applyAlignment="0" applyProtection="0"/>
    <xf numFmtId="0" fontId="18" fillId="0" borderId="0" applyFill="0" applyBorder="0" applyProtection="0">
      <alignment horizontal="left"/>
    </xf>
    <xf numFmtId="0" fontId="18" fillId="52" borderId="0">
      <alignment horizontal="center" vertical="center" wrapText="1"/>
    </xf>
    <xf numFmtId="186" fontId="18" fillId="0" borderId="0"/>
    <xf numFmtId="0" fontId="18" fillId="52" borderId="0">
      <alignment horizontal="center" vertical="center" wrapText="1"/>
    </xf>
    <xf numFmtId="179" fontId="18" fillId="0" borderId="20" applyBorder="0"/>
    <xf numFmtId="179" fontId="18" fillId="0" borderId="20" applyBorder="0"/>
    <xf numFmtId="0" fontId="18" fillId="0" borderId="0" applyNumberFormat="0" applyAlignment="0">
      <alignment horizontal="left"/>
    </xf>
    <xf numFmtId="3" fontId="18" fillId="37" borderId="0">
      <protection hidden="1"/>
    </xf>
    <xf numFmtId="262" fontId="18" fillId="37" borderId="0">
      <protection hidden="1"/>
    </xf>
    <xf numFmtId="168" fontId="18" fillId="37" borderId="0">
      <protection hidden="1"/>
    </xf>
    <xf numFmtId="263" fontId="18" fillId="37" borderId="0">
      <protection hidden="1"/>
    </xf>
    <xf numFmtId="0" fontId="18" fillId="51" borderId="29" applyProtection="0"/>
    <xf numFmtId="264" fontId="18" fillId="0" borderId="0" applyFill="0" applyBorder="0"/>
    <xf numFmtId="0" fontId="18" fillId="0" borderId="0" applyFill="0" applyBorder="0"/>
    <xf numFmtId="265" fontId="18" fillId="0" borderId="0" applyFill="0" applyBorder="0"/>
    <xf numFmtId="266" fontId="18" fillId="0" borderId="0" applyFill="0" applyBorder="0"/>
    <xf numFmtId="267" fontId="18" fillId="0" borderId="0" applyBorder="0">
      <alignment vertical="top"/>
    </xf>
    <xf numFmtId="268" fontId="18" fillId="0" borderId="0" applyBorder="0">
      <alignment vertical="top"/>
    </xf>
    <xf numFmtId="269" fontId="18" fillId="0" borderId="0" applyBorder="0">
      <alignment vertical="top"/>
    </xf>
    <xf numFmtId="270" fontId="18" fillId="0" borderId="0" applyBorder="0">
      <alignment vertical="top"/>
    </xf>
    <xf numFmtId="271" fontId="18" fillId="0" borderId="0" applyBorder="0">
      <alignment vertical="top"/>
    </xf>
    <xf numFmtId="272" fontId="18" fillId="0" borderId="0" applyFill="0" applyBorder="0"/>
    <xf numFmtId="262" fontId="18" fillId="0" borderId="0" applyFill="0" applyBorder="0"/>
    <xf numFmtId="263" fontId="18" fillId="0" borderId="0" applyFill="0" applyBorder="0"/>
    <xf numFmtId="273" fontId="18" fillId="0" borderId="0" applyFill="0" applyBorder="0"/>
    <xf numFmtId="274" fontId="18" fillId="0" borderId="0" applyFill="0" applyBorder="0"/>
    <xf numFmtId="275" fontId="18" fillId="0" borderId="0" applyBorder="0">
      <alignment vertical="top"/>
    </xf>
    <xf numFmtId="276" fontId="18" fillId="0" borderId="0" applyBorder="0">
      <alignment vertical="top"/>
    </xf>
    <xf numFmtId="0" fontId="18" fillId="0" borderId="0">
      <alignment vertical="top"/>
    </xf>
    <xf numFmtId="0" fontId="18" fillId="0" borderId="0">
      <alignment horizontal="center"/>
    </xf>
    <xf numFmtId="0" fontId="18" fillId="0" borderId="0">
      <alignment horizontal="center" vertical="top"/>
    </xf>
    <xf numFmtId="0" fontId="18" fillId="0" borderId="0">
      <alignment vertical="top" wrapText="1"/>
    </xf>
    <xf numFmtId="0" fontId="18" fillId="0" borderId="0">
      <alignment vertical="top"/>
    </xf>
    <xf numFmtId="0" fontId="18" fillId="0" borderId="0">
      <alignment vertical="top"/>
    </xf>
    <xf numFmtId="0" fontId="18" fillId="0" borderId="0">
      <alignment vertical="top" wrapText="1"/>
    </xf>
    <xf numFmtId="0" fontId="18" fillId="0" borderId="0">
      <alignment vertical="top"/>
    </xf>
    <xf numFmtId="186" fontId="18" fillId="0" borderId="0" applyFill="0" applyBorder="0" applyAlignment="0" applyProtection="0">
      <alignment horizontal="left"/>
    </xf>
    <xf numFmtId="4" fontId="18" fillId="0" borderId="0"/>
    <xf numFmtId="274" fontId="18" fillId="0" borderId="0" applyFill="0" applyBorder="0">
      <alignment horizontal="right"/>
      <protection locked="0"/>
    </xf>
    <xf numFmtId="277" fontId="18" fillId="0" borderId="0"/>
    <xf numFmtId="277" fontId="18" fillId="0" borderId="24"/>
    <xf numFmtId="277" fontId="18" fillId="0" borderId="24"/>
    <xf numFmtId="277" fontId="18" fillId="0" borderId="24"/>
    <xf numFmtId="277" fontId="18" fillId="0" borderId="24"/>
    <xf numFmtId="277" fontId="18" fillId="0" borderId="30"/>
    <xf numFmtId="277" fontId="18" fillId="0" borderId="0"/>
    <xf numFmtId="37" fontId="18" fillId="0" borderId="0" applyBorder="0" applyAlignment="0"/>
    <xf numFmtId="278" fontId="18" fillId="0" borderId="0" applyFont="0" applyFill="0" applyBorder="0" applyAlignment="0" applyProtection="0">
      <alignment vertical="center"/>
    </xf>
    <xf numFmtId="0" fontId="18" fillId="0" borderId="0" applyFont="0" applyFill="0" applyBorder="0" applyAlignment="0" applyProtection="0"/>
    <xf numFmtId="0" fontId="18" fillId="0" borderId="31">
      <protection locked="0"/>
    </xf>
    <xf numFmtId="0" fontId="18" fillId="0" borderId="31">
      <protection locked="0"/>
    </xf>
    <xf numFmtId="0" fontId="18" fillId="0" borderId="31">
      <protection locked="0"/>
    </xf>
    <xf numFmtId="0" fontId="18" fillId="0" borderId="31">
      <protection locked="0"/>
    </xf>
    <xf numFmtId="0" fontId="18" fillId="0" borderId="0" applyFont="0" applyFill="0" applyBorder="0" applyAlignment="0" applyProtection="0">
      <alignment horizontal="right"/>
    </xf>
    <xf numFmtId="253" fontId="18" fillId="0" borderId="0" applyFont="0" applyFill="0" applyBorder="0" applyAlignment="0" applyProtection="0">
      <alignment horizontal="right"/>
    </xf>
    <xf numFmtId="174" fontId="18" fillId="0" borderId="0" applyFont="0" applyFill="0" applyBorder="0" applyAlignment="0" applyProtection="0"/>
    <xf numFmtId="173" fontId="18" fillId="0" borderId="0" applyFont="0" applyFill="0" applyBorder="0" applyAlignment="0" applyProtection="0"/>
    <xf numFmtId="174" fontId="18" fillId="0" borderId="0" applyFont="0" applyFill="0" applyBorder="0" applyAlignment="0" applyProtection="0"/>
    <xf numFmtId="176" fontId="18" fillId="0" borderId="0" applyFont="0" applyFill="0" applyBorder="0" applyAlignment="0" applyProtection="0"/>
    <xf numFmtId="0" fontId="18" fillId="0" borderId="0" applyFont="0" applyFill="0" applyBorder="0" applyAlignment="0" applyProtection="0">
      <alignment vertical="center"/>
    </xf>
    <xf numFmtId="0" fontId="18" fillId="0" borderId="0" applyFont="0" applyFill="0" applyBorder="0" applyAlignment="0" applyProtection="0">
      <alignment vertical="center"/>
    </xf>
    <xf numFmtId="0" fontId="18" fillId="0" borderId="0" applyFont="0" applyFill="0" applyBorder="0" applyAlignment="0" applyProtection="0">
      <alignment vertical="center"/>
    </xf>
    <xf numFmtId="0" fontId="18" fillId="0" borderId="0" applyFont="0" applyFill="0" applyBorder="0" applyAlignment="0" applyProtection="0">
      <alignment vertical="center"/>
    </xf>
    <xf numFmtId="279" fontId="18" fillId="0" borderId="0" applyFont="0" applyFill="0" applyBorder="0" applyAlignment="0" applyProtection="0">
      <alignment vertical="center"/>
    </xf>
    <xf numFmtId="0" fontId="18" fillId="0" borderId="0" applyFont="0" applyFill="0" applyBorder="0" applyAlignment="0" applyProtection="0">
      <alignment vertical="center"/>
    </xf>
    <xf numFmtId="192" fontId="18" fillId="0" borderId="0" applyFont="0" applyFill="0" applyBorder="0" applyAlignment="0" applyProtection="0">
      <alignment vertical="center"/>
    </xf>
    <xf numFmtId="193" fontId="18" fillId="0" borderId="0" applyFont="0" applyFill="0" applyBorder="0" applyAlignment="0" applyProtection="0">
      <alignment vertical="center"/>
    </xf>
    <xf numFmtId="0" fontId="18" fillId="0" borderId="0" applyFont="0" applyFill="0" applyBorder="0" applyAlignment="0" applyProtection="0">
      <alignment vertical="center"/>
    </xf>
    <xf numFmtId="191" fontId="18" fillId="0" borderId="0" applyFont="0" applyFill="0" applyBorder="0" applyAlignment="0" applyProtection="0">
      <alignment vertical="center"/>
    </xf>
    <xf numFmtId="0" fontId="18" fillId="0" borderId="0" applyFont="0" applyFill="0" applyBorder="0" applyAlignment="0" applyProtection="0">
      <alignment vertical="center"/>
    </xf>
    <xf numFmtId="0" fontId="18" fillId="0" borderId="0" applyFont="0" applyFill="0" applyBorder="0" applyAlignment="0" applyProtection="0">
      <alignment vertical="center"/>
    </xf>
    <xf numFmtId="0" fontId="18" fillId="0" borderId="0" applyFont="0" applyFill="0" applyBorder="0" applyAlignment="0" applyProtection="0"/>
    <xf numFmtId="200" fontId="18" fillId="0" borderId="0"/>
    <xf numFmtId="0" fontId="18" fillId="0" borderId="0" applyFont="0" applyFill="0" applyBorder="0" applyAlignment="0">
      <protection locked="0"/>
    </xf>
    <xf numFmtId="3" fontId="18" fillId="46" borderId="20"/>
    <xf numFmtId="3" fontId="18" fillId="46" borderId="20"/>
    <xf numFmtId="15" fontId="18" fillId="0" borderId="0" applyFont="0" applyFill="0" applyBorder="0" applyAlignment="0" applyProtection="0"/>
    <xf numFmtId="0" fontId="18" fillId="0" borderId="0"/>
    <xf numFmtId="209" fontId="18" fillId="0" borderId="0" applyNumberFormat="0">
      <alignment horizontal="right"/>
    </xf>
    <xf numFmtId="0" fontId="18" fillId="36" borderId="20">
      <alignment horizontal="right"/>
    </xf>
    <xf numFmtId="0" fontId="18" fillId="36" borderId="20">
      <alignment horizontal="right"/>
    </xf>
    <xf numFmtId="0" fontId="18" fillId="0" borderId="0"/>
    <xf numFmtId="258" fontId="18" fillId="36" borderId="20">
      <protection locked="0"/>
    </xf>
    <xf numFmtId="0" fontId="18" fillId="0" borderId="0" applyFont="0" applyFill="0" applyBorder="0" applyAlignment="0" applyProtection="0"/>
    <xf numFmtId="196" fontId="18" fillId="0" borderId="0" applyFont="0" applyFill="0" applyBorder="0" applyAlignment="0" applyProtection="0">
      <alignment vertical="center"/>
    </xf>
    <xf numFmtId="197" fontId="18" fillId="0" borderId="0" applyFont="0" applyFill="0" applyBorder="0" applyAlignment="0" applyProtection="0">
      <alignment vertical="center"/>
    </xf>
    <xf numFmtId="259" fontId="18" fillId="0" borderId="0" applyFont="0" applyFill="0" applyBorder="0" applyAlignment="0" applyProtection="0"/>
    <xf numFmtId="14" fontId="18" fillId="0" borderId="0" applyFill="0" applyBorder="0" applyAlignment="0"/>
    <xf numFmtId="280" fontId="18" fillId="0" borderId="0" applyFill="0" applyBorder="0" applyProtection="0"/>
    <xf numFmtId="14" fontId="18" fillId="0" borderId="0" applyFill="0" applyBorder="0" applyProtection="0"/>
    <xf numFmtId="0" fontId="18" fillId="0" borderId="0" applyFont="0" applyFill="0" applyBorder="0" applyProtection="0">
      <alignment horizontal="right"/>
    </xf>
    <xf numFmtId="0" fontId="18" fillId="0" borderId="0" applyFill="0" applyBorder="0" applyProtection="0">
      <alignment horizontal="center"/>
      <protection locked="0"/>
    </xf>
    <xf numFmtId="281" fontId="18" fillId="0" borderId="0" applyFont="0" applyFill="0" applyBorder="0" applyAlignment="0" applyProtection="0">
      <alignment horizontal="right"/>
    </xf>
    <xf numFmtId="14" fontId="18" fillId="0" borderId="32" applyFill="0" applyBorder="0"/>
    <xf numFmtId="254" fontId="18" fillId="0" borderId="0" applyFont="0" applyFill="0" applyBorder="0" applyAlignment="0" applyProtection="0"/>
    <xf numFmtId="0" fontId="18" fillId="0" borderId="0"/>
    <xf numFmtId="0" fontId="18" fillId="0" borderId="0"/>
    <xf numFmtId="14" fontId="18" fillId="0" borderId="0" applyFill="0" applyBorder="0" applyAlignment="0" applyProtection="0"/>
    <xf numFmtId="0" fontId="18" fillId="0" borderId="0">
      <alignment horizontal="right"/>
    </xf>
    <xf numFmtId="4" fontId="18" fillId="0" borderId="0">
      <alignment horizontal="right"/>
    </xf>
    <xf numFmtId="282" fontId="18" fillId="0" borderId="0" applyFont="0" applyFill="0" applyBorder="0" applyAlignment="0" applyProtection="0"/>
    <xf numFmtId="283" fontId="18" fillId="0" borderId="0">
      <protection hidden="1"/>
    </xf>
    <xf numFmtId="262" fontId="18" fillId="0" borderId="0">
      <protection hidden="1"/>
    </xf>
    <xf numFmtId="284" fontId="18" fillId="0" borderId="0">
      <protection hidden="1"/>
    </xf>
    <xf numFmtId="186" fontId="18" fillId="0" borderId="0"/>
    <xf numFmtId="39" fontId="18" fillId="0" borderId="0"/>
    <xf numFmtId="285" fontId="18" fillId="0" borderId="0">
      <protection locked="0"/>
    </xf>
    <xf numFmtId="3" fontId="18" fillId="0" borderId="33"/>
    <xf numFmtId="4" fontId="18" fillId="0" borderId="0"/>
    <xf numFmtId="227" fontId="18" fillId="0" borderId="0"/>
    <xf numFmtId="0" fontId="18" fillId="0" borderId="0"/>
    <xf numFmtId="0" fontId="18" fillId="0" borderId="34" applyNumberFormat="0" applyFont="0" applyFill="0" applyAlignment="0" applyProtection="0"/>
    <xf numFmtId="0" fontId="18" fillId="0" borderId="0" applyFill="0" applyBorder="0" applyAlignment="0" applyProtection="0"/>
    <xf numFmtId="179" fontId="18" fillId="0" borderId="20"/>
    <xf numFmtId="179" fontId="18" fillId="0" borderId="20"/>
    <xf numFmtId="0" fontId="18" fillId="53" borderId="0">
      <alignment vertical="center"/>
    </xf>
    <xf numFmtId="0" fontId="18" fillId="0" borderId="0">
      <alignment vertical="center"/>
    </xf>
    <xf numFmtId="0" fontId="18" fillId="0" borderId="0">
      <alignment vertical="center"/>
    </xf>
    <xf numFmtId="0" fontId="18" fillId="33" borderId="35" applyNumberFormat="0" applyAlignment="0">
      <alignment horizontal="center" vertical="center"/>
    </xf>
    <xf numFmtId="0" fontId="18" fillId="33" borderId="0">
      <alignment horizontal="center" vertical="center"/>
    </xf>
    <xf numFmtId="14" fontId="18" fillId="33" borderId="0">
      <alignment horizontal="center" vertical="center"/>
    </xf>
    <xf numFmtId="17" fontId="18" fillId="33" borderId="0">
      <alignment horizontal="center" vertical="center"/>
    </xf>
    <xf numFmtId="0" fontId="18" fillId="0" borderId="0">
      <alignment vertical="center"/>
    </xf>
    <xf numFmtId="0" fontId="18" fillId="33" borderId="0">
      <alignment vertical="center"/>
    </xf>
    <xf numFmtId="0" fontId="18" fillId="33" borderId="0">
      <alignment vertical="center"/>
    </xf>
    <xf numFmtId="0" fontId="18" fillId="33" borderId="33">
      <alignment vertical="center"/>
    </xf>
    <xf numFmtId="0" fontId="18" fillId="33" borderId="33">
      <alignment vertical="center"/>
    </xf>
    <xf numFmtId="37" fontId="18" fillId="33" borderId="0">
      <alignment horizontal="left" vertical="center"/>
    </xf>
    <xf numFmtId="0" fontId="18" fillId="33" borderId="0">
      <alignment horizontal="center" vertical="center"/>
    </xf>
    <xf numFmtId="0" fontId="18" fillId="33" borderId="0">
      <alignment horizontal="right" vertical="center"/>
    </xf>
    <xf numFmtId="0" fontId="18" fillId="33" borderId="0">
      <alignment horizontal="right" vertical="center"/>
    </xf>
    <xf numFmtId="0" fontId="18" fillId="33" borderId="24">
      <alignment horizontal="right" vertical="center"/>
    </xf>
    <xf numFmtId="0" fontId="18" fillId="33" borderId="24">
      <alignment horizontal="right" vertical="center"/>
    </xf>
    <xf numFmtId="0" fontId="18" fillId="33" borderId="24">
      <alignment horizontal="right" vertical="center"/>
    </xf>
    <xf numFmtId="0" fontId="18" fillId="33" borderId="24">
      <alignment horizontal="right" vertical="center"/>
    </xf>
    <xf numFmtId="0" fontId="18" fillId="33" borderId="33">
      <alignment horizontal="right" vertical="center"/>
    </xf>
    <xf numFmtId="0" fontId="18" fillId="33" borderId="0">
      <alignment horizontal="right" vertical="center"/>
    </xf>
    <xf numFmtId="4" fontId="18" fillId="33" borderId="0">
      <alignment horizontal="right" vertical="center"/>
    </xf>
    <xf numFmtId="0" fontId="18" fillId="33" borderId="21">
      <alignment horizontal="right" vertical="center"/>
    </xf>
    <xf numFmtId="0" fontId="18" fillId="33" borderId="21">
      <alignment horizontal="right" vertical="center"/>
    </xf>
    <xf numFmtId="0" fontId="18" fillId="33" borderId="21">
      <alignment horizontal="right" vertical="center"/>
    </xf>
    <xf numFmtId="0" fontId="18" fillId="33" borderId="21">
      <alignment horizontal="right" vertical="center"/>
    </xf>
    <xf numFmtId="0" fontId="18" fillId="33" borderId="0">
      <alignment horizontal="right" vertical="center"/>
    </xf>
    <xf numFmtId="0" fontId="18" fillId="33" borderId="0">
      <alignment horizontal="right" vertical="center"/>
    </xf>
    <xf numFmtId="0" fontId="18" fillId="0" borderId="0">
      <alignment vertical="center"/>
    </xf>
    <xf numFmtId="0" fontId="18" fillId="33" borderId="21" applyBorder="0">
      <alignment horizontal="left" vertical="center"/>
    </xf>
    <xf numFmtId="0" fontId="18" fillId="33" borderId="21" applyBorder="0">
      <alignment horizontal="left" vertical="center"/>
    </xf>
    <xf numFmtId="0" fontId="18" fillId="33" borderId="0">
      <alignment horizontal="left" vertical="center"/>
    </xf>
    <xf numFmtId="0" fontId="18" fillId="33" borderId="36">
      <alignment horizontal="left"/>
    </xf>
    <xf numFmtId="0" fontId="18" fillId="33" borderId="37">
      <alignment vertical="center"/>
    </xf>
    <xf numFmtId="0" fontId="18" fillId="33" borderId="38">
      <alignment vertical="center"/>
    </xf>
    <xf numFmtId="0" fontId="18" fillId="33" borderId="24">
      <alignment vertical="center"/>
    </xf>
    <xf numFmtId="0" fontId="18" fillId="33" borderId="24">
      <alignment vertical="center"/>
    </xf>
    <xf numFmtId="0" fontId="18" fillId="33" borderId="24">
      <alignment vertical="center"/>
    </xf>
    <xf numFmtId="0" fontId="18" fillId="33" borderId="24">
      <alignment vertical="center"/>
    </xf>
    <xf numFmtId="0" fontId="18" fillId="33" borderId="39">
      <alignment horizontal="center" vertical="center"/>
    </xf>
    <xf numFmtId="0" fontId="18" fillId="0" borderId="0">
      <alignment vertical="center"/>
    </xf>
    <xf numFmtId="0" fontId="18" fillId="0" borderId="0" applyNumberFormat="0" applyAlignment="0">
      <alignment horizontal="left"/>
    </xf>
    <xf numFmtId="187" fontId="18" fillId="0" borderId="0" applyFont="0" applyFill="0" applyBorder="0" applyAlignment="0" applyProtection="0"/>
    <xf numFmtId="0" fontId="18" fillId="0" borderId="20"/>
    <xf numFmtId="0" fontId="18" fillId="0" borderId="20"/>
    <xf numFmtId="286" fontId="18" fillId="0" borderId="0" applyFill="0" applyBorder="0" applyProtection="0"/>
    <xf numFmtId="0" fontId="18" fillId="0" borderId="0" applyNumberFormat="0" applyAlignment="0" applyProtection="0"/>
    <xf numFmtId="0" fontId="18" fillId="0" borderId="0" applyNumberFormat="0" applyFill="0" applyBorder="0" applyAlignment="0" applyProtection="0"/>
    <xf numFmtId="287" fontId="18" fillId="0" borderId="0" applyFont="0" applyFill="0" applyBorder="0" applyAlignment="0" applyProtection="0"/>
    <xf numFmtId="2" fontId="18" fillId="0" borderId="0" applyFont="0" applyFill="0" applyBorder="0" applyAlignment="0" applyProtection="0"/>
    <xf numFmtId="0" fontId="18" fillId="0" borderId="0">
      <alignment vertical="center"/>
    </xf>
    <xf numFmtId="0" fontId="18" fillId="0" borderId="0" applyNumberFormat="0" applyFill="0" applyBorder="0" applyAlignment="0" applyProtection="0">
      <alignment vertical="top"/>
      <protection locked="0"/>
    </xf>
    <xf numFmtId="0" fontId="18" fillId="0" borderId="0" applyFill="0" applyBorder="0" applyProtection="0">
      <alignment horizontal="left"/>
    </xf>
    <xf numFmtId="0" fontId="18" fillId="0" borderId="0"/>
    <xf numFmtId="0" fontId="18" fillId="0" borderId="0">
      <protection hidden="1"/>
    </xf>
    <xf numFmtId="3" fontId="18" fillId="35" borderId="20"/>
    <xf numFmtId="3" fontId="18" fillId="35" borderId="20"/>
    <xf numFmtId="0" fontId="18" fillId="0" borderId="0" applyNumberFormat="0" applyFill="0" applyBorder="0" applyAlignment="0" applyProtection="0"/>
    <xf numFmtId="38" fontId="18" fillId="37" borderId="0" applyNumberFormat="0" applyBorder="0" applyAlignment="0" applyProtection="0"/>
    <xf numFmtId="0" fontId="18" fillId="0" borderId="0" applyNumberFormat="0">
      <alignment horizontal="right"/>
    </xf>
    <xf numFmtId="0" fontId="18" fillId="0" borderId="0" applyNumberFormat="0">
      <alignment horizontal="right"/>
    </xf>
    <xf numFmtId="0" fontId="18" fillId="0" borderId="0" applyNumberFormat="0">
      <alignment horizontal="left"/>
    </xf>
    <xf numFmtId="0" fontId="18" fillId="0" borderId="0" applyNumberFormat="0">
      <alignment horizontal="left"/>
    </xf>
    <xf numFmtId="0" fontId="18" fillId="0" borderId="0"/>
    <xf numFmtId="0" fontId="18" fillId="51" borderId="0" applyNumberFormat="0">
      <alignment vertical="center"/>
    </xf>
    <xf numFmtId="0" fontId="18" fillId="0" borderId="0" applyFill="0" applyBorder="0"/>
    <xf numFmtId="0" fontId="18" fillId="0" borderId="0" applyNumberFormat="0" applyFill="0" applyBorder="0" applyAlignment="0" applyProtection="0">
      <alignment vertical="center"/>
    </xf>
    <xf numFmtId="0" fontId="18" fillId="0" borderId="0" applyFill="0" applyBorder="0"/>
    <xf numFmtId="0" fontId="18" fillId="0" borderId="0" applyNumberFormat="0" applyFill="0" applyBorder="0" applyAlignment="0" applyProtection="0"/>
    <xf numFmtId="0" fontId="18" fillId="0" borderId="0" applyNumberFormat="0" applyFill="0" applyBorder="0" applyAlignment="0" applyProtection="0">
      <alignment vertical="center"/>
    </xf>
    <xf numFmtId="0" fontId="18" fillId="0" borderId="0" applyFill="0" applyBorder="0"/>
    <xf numFmtId="0" fontId="18" fillId="0" borderId="0" applyNumberFormat="0" applyFill="0" applyBorder="0" applyAlignment="0" applyProtection="0"/>
    <xf numFmtId="0" fontId="18" fillId="0" borderId="0" applyNumberFormat="0" applyFill="0" applyBorder="0" applyAlignment="0" applyProtection="0">
      <alignment horizontal="left" vertical="center"/>
    </xf>
    <xf numFmtId="0" fontId="18" fillId="0" borderId="0" applyFill="0" applyBorder="0"/>
    <xf numFmtId="0" fontId="18" fillId="0" borderId="0" applyNumberFormat="0" applyFill="0" applyBorder="0" applyAlignment="0" applyProtection="0"/>
    <xf numFmtId="0" fontId="18" fillId="0" borderId="0" applyNumberFormat="0" applyFill="0" applyBorder="0" applyAlignment="0" applyProtection="0">
      <alignment vertical="center"/>
    </xf>
    <xf numFmtId="2" fontId="18" fillId="54" borderId="0"/>
    <xf numFmtId="288" fontId="18" fillId="55" borderId="20" applyNumberFormat="0" applyFont="0" applyBorder="0" applyAlignment="0" applyProtection="0"/>
    <xf numFmtId="288" fontId="18" fillId="55" borderId="20" applyNumberFormat="0" applyFont="0" applyBorder="0" applyAlignment="0" applyProtection="0"/>
    <xf numFmtId="289" fontId="18" fillId="0" borderId="0" applyFont="0" applyFill="0" applyBorder="0" applyAlignment="0" applyProtection="0">
      <alignment horizontal="right"/>
    </xf>
    <xf numFmtId="186" fontId="18" fillId="55" borderId="0" applyNumberFormat="0" applyFont="0" applyAlignment="0"/>
    <xf numFmtId="0" fontId="18" fillId="54" borderId="20" applyNumberFormat="0" applyFont="0" applyBorder="0" applyAlignment="0" applyProtection="0"/>
    <xf numFmtId="0" fontId="18" fillId="54" borderId="20" applyNumberFormat="0" applyFont="0" applyBorder="0" applyAlignment="0" applyProtection="0"/>
    <xf numFmtId="0" fontId="18" fillId="0" borderId="0" applyProtection="0">
      <alignment horizontal="right"/>
    </xf>
    <xf numFmtId="0" fontId="18" fillId="0" borderId="40" applyNumberFormat="0" applyAlignment="0" applyProtection="0">
      <alignment horizontal="left" vertical="center"/>
    </xf>
    <xf numFmtId="0" fontId="18" fillId="0" borderId="19">
      <alignment horizontal="left" vertical="center"/>
    </xf>
    <xf numFmtId="0" fontId="18" fillId="0" borderId="19">
      <alignment horizontal="left" vertical="center"/>
    </xf>
    <xf numFmtId="0" fontId="18" fillId="0" borderId="19">
      <alignment horizontal="left" vertical="center"/>
    </xf>
    <xf numFmtId="0" fontId="18" fillId="0" borderId="19">
      <alignment horizontal="left" vertical="center"/>
    </xf>
    <xf numFmtId="0" fontId="18" fillId="0" borderId="0">
      <alignment horizontal="center"/>
    </xf>
    <xf numFmtId="0" fontId="18" fillId="36" borderId="0" applyNumberFormat="0" applyBorder="0" applyAlignment="0" applyProtection="0"/>
    <xf numFmtId="9" fontId="18" fillId="0" borderId="0" applyNumberFormat="0">
      <protection locked="0"/>
    </xf>
    <xf numFmtId="290" fontId="18" fillId="0" borderId="0">
      <protection locked="0"/>
    </xf>
    <xf numFmtId="37" fontId="18" fillId="0" borderId="21">
      <alignment horizontal="right"/>
    </xf>
    <xf numFmtId="37" fontId="18" fillId="0" borderId="21">
      <alignment horizontal="right"/>
    </xf>
    <xf numFmtId="0" fontId="18" fillId="0" borderId="41" applyNumberFormat="0" applyFill="0" applyBorder="0" applyAlignment="0" applyProtection="0">
      <alignment horizontal="left"/>
    </xf>
    <xf numFmtId="0" fontId="18" fillId="0" borderId="0">
      <alignment vertical="center"/>
    </xf>
    <xf numFmtId="0" fontId="18" fillId="0" borderId="0"/>
    <xf numFmtId="0" fontId="18" fillId="0" borderId="0"/>
    <xf numFmtId="0" fontId="18" fillId="37" borderId="0" applyBorder="0" applyAlignment="0"/>
    <xf numFmtId="0" fontId="18" fillId="37" borderId="21" applyNumberFormat="0" applyFill="0" applyBorder="0"/>
    <xf numFmtId="0" fontId="18" fillId="37" borderId="21" applyNumberFormat="0" applyFill="0" applyBorder="0"/>
    <xf numFmtId="37" fontId="18" fillId="0" borderId="0" applyNumberFormat="0" applyFill="0" applyBorder="0" applyAlignment="0" applyProtection="0"/>
    <xf numFmtId="37" fontId="18" fillId="0" borderId="0" applyNumberFormat="0" applyFill="0" applyBorder="0" applyAlignment="0" applyProtection="0"/>
    <xf numFmtId="3" fontId="18" fillId="0" borderId="0">
      <protection hidden="1"/>
    </xf>
    <xf numFmtId="0" fontId="18" fillId="0" borderId="42" applyNumberFormat="0" applyFill="0" applyAlignment="0" applyProtection="0"/>
    <xf numFmtId="0" fontId="18" fillId="0" borderId="0" applyNumberFormat="0" applyFill="0" applyBorder="0" applyAlignment="0" applyProtection="0"/>
    <xf numFmtId="291" fontId="18" fillId="0" borderId="0" applyFill="0" applyBorder="0"/>
    <xf numFmtId="0" fontId="18" fillId="0" borderId="0" applyFill="0" applyBorder="0">
      <alignment horizontal="left"/>
      <protection hidden="1"/>
    </xf>
    <xf numFmtId="0" fontId="18" fillId="0" borderId="0" applyFill="0" applyBorder="0">
      <alignment horizontal="left" indent="1"/>
      <protection hidden="1"/>
    </xf>
    <xf numFmtId="0" fontId="18" fillId="0" borderId="0" applyFill="0" applyBorder="0">
      <alignment horizontal="left" indent="2"/>
      <protection hidden="1"/>
    </xf>
    <xf numFmtId="0" fontId="18" fillId="0" borderId="0" applyFill="0" applyBorder="0">
      <alignment horizontal="left" indent="3"/>
      <protection hidden="1"/>
    </xf>
    <xf numFmtId="0" fontId="23" fillId="0" borderId="0" applyNumberFormat="0" applyFill="0" applyBorder="0" applyAlignment="0" applyProtection="0">
      <alignment vertical="top"/>
      <protection locked="0"/>
    </xf>
    <xf numFmtId="0" fontId="18" fillId="0" borderId="0" applyFill="0" applyBorder="0">
      <protection locked="0"/>
    </xf>
    <xf numFmtId="241" fontId="18" fillId="0" borderId="0" applyFill="0" applyBorder="0">
      <protection locked="0"/>
    </xf>
    <xf numFmtId="242" fontId="18" fillId="0" borderId="0" applyFill="0" applyBorder="0">
      <protection locked="0"/>
    </xf>
    <xf numFmtId="243" fontId="18" fillId="0" borderId="0" applyFill="0" applyBorder="0">
      <protection locked="0"/>
    </xf>
    <xf numFmtId="244" fontId="18" fillId="0" borderId="0" applyFill="0" applyBorder="0">
      <protection locked="0"/>
    </xf>
    <xf numFmtId="0" fontId="18" fillId="36" borderId="43">
      <alignment vertical="top"/>
      <protection locked="0"/>
    </xf>
    <xf numFmtId="0" fontId="18" fillId="36" borderId="43">
      <alignment vertical="top"/>
      <protection locked="0"/>
    </xf>
    <xf numFmtId="0" fontId="18" fillId="36" borderId="43">
      <alignment vertical="top"/>
      <protection locked="0"/>
    </xf>
    <xf numFmtId="0" fontId="18" fillId="36" borderId="43">
      <alignment vertical="top"/>
      <protection locked="0"/>
    </xf>
    <xf numFmtId="245" fontId="18" fillId="36" borderId="43">
      <alignment vertical="top"/>
      <protection locked="0"/>
    </xf>
    <xf numFmtId="245" fontId="18" fillId="36" borderId="43">
      <alignment vertical="top"/>
      <protection locked="0"/>
    </xf>
    <xf numFmtId="245" fontId="18" fillId="36" borderId="43">
      <alignment vertical="top"/>
      <protection locked="0"/>
    </xf>
    <xf numFmtId="245" fontId="18" fillId="36" borderId="43">
      <alignment vertical="top"/>
      <protection locked="0"/>
    </xf>
    <xf numFmtId="246" fontId="18" fillId="36" borderId="43">
      <alignment vertical="top"/>
      <protection locked="0"/>
    </xf>
    <xf numFmtId="246" fontId="18" fillId="36" borderId="43">
      <alignment vertical="top"/>
      <protection locked="0"/>
    </xf>
    <xf numFmtId="246" fontId="18" fillId="36" borderId="43">
      <alignment vertical="top"/>
      <protection locked="0"/>
    </xf>
    <xf numFmtId="246" fontId="18" fillId="36" borderId="43">
      <alignment vertical="top"/>
      <protection locked="0"/>
    </xf>
    <xf numFmtId="247" fontId="18" fillId="36" borderId="43">
      <alignment vertical="top"/>
      <protection locked="0"/>
    </xf>
    <xf numFmtId="247" fontId="18" fillId="36" borderId="43">
      <alignment vertical="top"/>
      <protection locked="0"/>
    </xf>
    <xf numFmtId="247" fontId="18" fillId="36" borderId="43">
      <alignment vertical="top"/>
      <protection locked="0"/>
    </xf>
    <xf numFmtId="247" fontId="18" fillId="36" borderId="43">
      <alignment vertical="top"/>
      <protection locked="0"/>
    </xf>
    <xf numFmtId="248" fontId="18" fillId="36" borderId="43">
      <alignment vertical="top"/>
      <protection locked="0"/>
    </xf>
    <xf numFmtId="248" fontId="18" fillId="36" borderId="43">
      <alignment vertical="top"/>
      <protection locked="0"/>
    </xf>
    <xf numFmtId="248" fontId="18" fillId="36" borderId="43">
      <alignment vertical="top"/>
      <protection locked="0"/>
    </xf>
    <xf numFmtId="248" fontId="18" fillId="36" borderId="43">
      <alignment vertical="top"/>
      <protection locked="0"/>
    </xf>
    <xf numFmtId="249" fontId="18" fillId="36" borderId="43">
      <alignment vertical="top"/>
      <protection locked="0"/>
    </xf>
    <xf numFmtId="249" fontId="18" fillId="36" borderId="43">
      <alignment vertical="top"/>
      <protection locked="0"/>
    </xf>
    <xf numFmtId="249" fontId="18" fillId="36" borderId="43">
      <alignment vertical="top"/>
      <protection locked="0"/>
    </xf>
    <xf numFmtId="249" fontId="18" fillId="36" borderId="43">
      <alignment vertical="top"/>
      <protection locked="0"/>
    </xf>
    <xf numFmtId="292" fontId="18" fillId="36" borderId="43">
      <alignment vertical="top"/>
      <protection locked="0"/>
    </xf>
    <xf numFmtId="292" fontId="18" fillId="36" borderId="43">
      <alignment vertical="top"/>
      <protection locked="0"/>
    </xf>
    <xf numFmtId="292" fontId="18" fillId="36" borderId="43">
      <alignment vertical="top"/>
      <protection locked="0"/>
    </xf>
    <xf numFmtId="292" fontId="18" fillId="36" borderId="43">
      <alignment vertical="top"/>
      <protection locked="0"/>
    </xf>
    <xf numFmtId="250" fontId="18" fillId="36" borderId="43">
      <alignment vertical="top"/>
      <protection locked="0"/>
    </xf>
    <xf numFmtId="250" fontId="18" fillId="36" borderId="43">
      <alignment vertical="top"/>
      <protection locked="0"/>
    </xf>
    <xf numFmtId="250" fontId="18" fillId="36" borderId="43">
      <alignment vertical="top"/>
      <protection locked="0"/>
    </xf>
    <xf numFmtId="250" fontId="18" fillId="36" borderId="43">
      <alignment vertical="top"/>
      <protection locked="0"/>
    </xf>
    <xf numFmtId="251" fontId="18" fillId="36" borderId="43">
      <alignment vertical="top"/>
      <protection locked="0"/>
    </xf>
    <xf numFmtId="251" fontId="18" fillId="36" borderId="43">
      <alignment vertical="top"/>
      <protection locked="0"/>
    </xf>
    <xf numFmtId="251" fontId="18" fillId="36" borderId="43">
      <alignment vertical="top"/>
      <protection locked="0"/>
    </xf>
    <xf numFmtId="251" fontId="18" fillId="36" borderId="43">
      <alignment vertical="top"/>
      <protection locked="0"/>
    </xf>
    <xf numFmtId="17" fontId="18" fillId="36" borderId="43">
      <alignment vertical="top"/>
      <protection locked="0"/>
    </xf>
    <xf numFmtId="17" fontId="18" fillId="36" borderId="43">
      <alignment vertical="top"/>
      <protection locked="0"/>
    </xf>
    <xf numFmtId="17" fontId="18" fillId="36" borderId="43">
      <alignment vertical="top"/>
      <protection locked="0"/>
    </xf>
    <xf numFmtId="17" fontId="18" fillId="36" borderId="43">
      <alignment vertical="top"/>
      <protection locked="0"/>
    </xf>
    <xf numFmtId="20" fontId="18" fillId="36" borderId="43">
      <alignment vertical="top"/>
      <protection locked="0"/>
    </xf>
    <xf numFmtId="20" fontId="18" fillId="36" borderId="43">
      <alignment vertical="top"/>
      <protection locked="0"/>
    </xf>
    <xf numFmtId="20" fontId="18" fillId="36" borderId="43">
      <alignment vertical="top"/>
      <protection locked="0"/>
    </xf>
    <xf numFmtId="20" fontId="18" fillId="36" borderId="43">
      <alignment vertical="top"/>
      <protection locked="0"/>
    </xf>
    <xf numFmtId="0" fontId="18" fillId="0" borderId="0" applyFill="0" applyBorder="0">
      <protection locked="0"/>
    </xf>
    <xf numFmtId="281" fontId="18" fillId="0" borderId="0" applyFill="0" applyBorder="0">
      <protection locked="0"/>
    </xf>
    <xf numFmtId="253" fontId="18" fillId="0" borderId="0" applyFill="0" applyBorder="0">
      <protection locked="0"/>
    </xf>
    <xf numFmtId="254" fontId="18" fillId="0" borderId="0" applyFill="0" applyBorder="0">
      <protection locked="0"/>
    </xf>
    <xf numFmtId="255" fontId="18" fillId="0" borderId="0" applyFill="0" applyBorder="0">
      <protection locked="0"/>
    </xf>
    <xf numFmtId="256" fontId="18" fillId="0" borderId="0" applyFill="0" applyBorder="0">
      <protection locked="0"/>
    </xf>
    <xf numFmtId="0" fontId="18" fillId="0" borderId="0" applyFill="0" applyBorder="0">
      <protection locked="0"/>
    </xf>
    <xf numFmtId="49" fontId="18" fillId="0" borderId="0" applyFill="0" applyBorder="0">
      <alignment vertical="top"/>
      <protection locked="0"/>
    </xf>
    <xf numFmtId="49" fontId="18" fillId="0" borderId="0" applyFill="0" applyBorder="0">
      <alignment vertical="top"/>
      <protection locked="0"/>
    </xf>
    <xf numFmtId="49" fontId="18" fillId="0" borderId="0" applyFill="0" applyBorder="0">
      <alignment vertical="top" wrapText="1"/>
      <protection locked="0"/>
    </xf>
    <xf numFmtId="258" fontId="18" fillId="0" borderId="0" applyFill="0" applyBorder="0">
      <protection locked="0"/>
    </xf>
    <xf numFmtId="259" fontId="18" fillId="0" borderId="0" applyFill="0" applyBorder="0">
      <protection locked="0"/>
    </xf>
    <xf numFmtId="37" fontId="18" fillId="0" borderId="0" applyBorder="0"/>
    <xf numFmtId="293" fontId="18" fillId="0" borderId="0" applyNumberFormat="0" applyFill="0" applyBorder="0" applyAlignment="0" applyProtection="0"/>
    <xf numFmtId="179" fontId="18" fillId="0" borderId="0"/>
    <xf numFmtId="288" fontId="18" fillId="37" borderId="0">
      <protection locked="0"/>
    </xf>
    <xf numFmtId="179" fontId="18" fillId="0" borderId="20">
      <alignment horizontal="right"/>
    </xf>
    <xf numFmtId="179" fontId="18" fillId="0" borderId="20">
      <alignment horizontal="right"/>
    </xf>
    <xf numFmtId="0" fontId="18" fillId="0" borderId="20"/>
    <xf numFmtId="0" fontId="18" fillId="0" borderId="20"/>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0" fontId="18" fillId="0" borderId="20">
      <alignment horizontal="right"/>
    </xf>
    <xf numFmtId="9" fontId="18" fillId="0" borderId="20"/>
    <xf numFmtId="9" fontId="18" fillId="0" borderId="20"/>
    <xf numFmtId="3" fontId="18" fillId="0" borderId="20"/>
    <xf numFmtId="3" fontId="18" fillId="0" borderId="20"/>
    <xf numFmtId="10" fontId="18" fillId="0" borderId="20"/>
    <xf numFmtId="10" fontId="18" fillId="0" borderId="20"/>
    <xf numFmtId="3" fontId="18" fillId="0" borderId="20"/>
    <xf numFmtId="3" fontId="18" fillId="0" borderId="20"/>
    <xf numFmtId="4" fontId="18" fillId="0" borderId="20"/>
    <xf numFmtId="4" fontId="18" fillId="0" borderId="20"/>
    <xf numFmtId="10" fontId="18" fillId="35" borderId="20" applyNumberFormat="0" applyBorder="0" applyAlignment="0" applyProtection="0"/>
    <xf numFmtId="10" fontId="18" fillId="35" borderId="20" applyNumberFormat="0" applyBorder="0" applyAlignment="0" applyProtection="0"/>
    <xf numFmtId="3" fontId="18" fillId="37" borderId="0">
      <alignment horizontal="right"/>
      <protection locked="0"/>
    </xf>
    <xf numFmtId="0" fontId="18" fillId="37" borderId="0" applyBorder="0">
      <alignment horizontal="right"/>
      <protection locked="0"/>
    </xf>
    <xf numFmtId="0" fontId="18" fillId="0" borderId="44" applyNumberFormat="0" applyAlignment="0">
      <alignment vertical="center"/>
    </xf>
    <xf numFmtId="0" fontId="18" fillId="0" borderId="45" applyNumberFormat="0" applyAlignment="0">
      <alignment vertical="center"/>
      <protection locked="0"/>
    </xf>
    <xf numFmtId="0" fontId="18" fillId="0" borderId="45" applyNumberFormat="0" applyAlignment="0">
      <alignment vertical="center"/>
      <protection locked="0"/>
    </xf>
    <xf numFmtId="0" fontId="18" fillId="0" borderId="45" applyNumberFormat="0" applyAlignment="0">
      <alignment vertical="center"/>
      <protection locked="0"/>
    </xf>
    <xf numFmtId="0" fontId="18" fillId="0" borderId="45" applyNumberFormat="0" applyAlignment="0">
      <alignment vertical="center"/>
      <protection locked="0"/>
    </xf>
    <xf numFmtId="3" fontId="18" fillId="36" borderId="0">
      <protection locked="0"/>
    </xf>
    <xf numFmtId="3" fontId="18" fillId="36" borderId="0"/>
    <xf numFmtId="294" fontId="18" fillId="56" borderId="45" applyNumberFormat="0" applyAlignment="0">
      <alignment vertical="center"/>
      <protection locked="0"/>
    </xf>
    <xf numFmtId="294" fontId="18" fillId="56" borderId="45" applyNumberFormat="0" applyAlignment="0">
      <alignment vertical="center"/>
      <protection locked="0"/>
    </xf>
    <xf numFmtId="294" fontId="18" fillId="56" borderId="45" applyNumberFormat="0" applyAlignment="0">
      <alignment vertical="center"/>
      <protection locked="0"/>
    </xf>
    <xf numFmtId="294" fontId="18" fillId="56" borderId="45" applyNumberFormat="0" applyAlignment="0">
      <alignment vertical="center"/>
      <protection locked="0"/>
    </xf>
    <xf numFmtId="0" fontId="18" fillId="57" borderId="46" applyNumberFormat="0" applyAlignment="0">
      <protection locked="0"/>
    </xf>
    <xf numFmtId="0" fontId="18" fillId="57" borderId="46" applyNumberFormat="0" applyAlignment="0">
      <protection locked="0"/>
    </xf>
    <xf numFmtId="0" fontId="18" fillId="57" borderId="46" applyNumberFormat="0" applyAlignment="0">
      <protection locked="0"/>
    </xf>
    <xf numFmtId="0" fontId="18" fillId="57" borderId="46" applyNumberFormat="0" applyAlignment="0">
      <protection locked="0"/>
    </xf>
    <xf numFmtId="0" fontId="18" fillId="55" borderId="0" applyNumberFormat="0" applyAlignment="0">
      <alignment vertical="center"/>
    </xf>
    <xf numFmtId="0" fontId="18" fillId="58" borderId="0" applyNumberFormat="0" applyAlignment="0">
      <alignment vertical="center"/>
    </xf>
    <xf numFmtId="0" fontId="18" fillId="0" borderId="0" applyNumberFormat="0" applyAlignment="0" applyProtection="0">
      <protection locked="0"/>
    </xf>
    <xf numFmtId="0" fontId="18" fillId="0" borderId="47" applyNumberFormat="0" applyAlignment="0">
      <alignment vertical="center"/>
      <protection locked="0"/>
    </xf>
    <xf numFmtId="0" fontId="18" fillId="0" borderId="47" applyNumberFormat="0" applyAlignment="0">
      <alignment vertical="center"/>
      <protection locked="0"/>
    </xf>
    <xf numFmtId="0" fontId="18" fillId="0" borderId="47" applyNumberFormat="0" applyAlignment="0">
      <alignment vertical="center"/>
      <protection locked="0"/>
    </xf>
    <xf numFmtId="0" fontId="18" fillId="0" borderId="47" applyNumberFormat="0" applyAlignment="0">
      <alignment vertical="center"/>
      <protection locked="0"/>
    </xf>
    <xf numFmtId="3" fontId="18" fillId="36" borderId="0"/>
    <xf numFmtId="3" fontId="18" fillId="36" borderId="0">
      <protection locked="0"/>
    </xf>
    <xf numFmtId="0" fontId="18" fillId="59" borderId="46" applyNumberFormat="0" applyAlignment="0">
      <protection locked="0"/>
    </xf>
    <xf numFmtId="0" fontId="18" fillId="59" borderId="46" applyNumberFormat="0" applyAlignment="0">
      <protection locked="0"/>
    </xf>
    <xf numFmtId="0" fontId="18" fillId="59" borderId="46" applyNumberFormat="0" applyAlignment="0">
      <protection locked="0"/>
    </xf>
    <xf numFmtId="0" fontId="18" fillId="59" borderId="46" applyNumberFormat="0" applyAlignment="0">
      <protection locked="0"/>
    </xf>
    <xf numFmtId="10" fontId="18" fillId="0" borderId="0">
      <protection locked="0"/>
    </xf>
    <xf numFmtId="295" fontId="18" fillId="0" borderId="0" applyFill="0" applyBorder="0" applyProtection="0"/>
    <xf numFmtId="296" fontId="18" fillId="0" borderId="0" applyFill="0" applyBorder="0" applyProtection="0"/>
    <xf numFmtId="297" fontId="18" fillId="0" borderId="0" applyFill="0" applyBorder="0" applyProtection="0"/>
    <xf numFmtId="0" fontId="18" fillId="0" borderId="0" applyFill="0" applyBorder="0" applyProtection="0">
      <protection locked="0"/>
    </xf>
    <xf numFmtId="37" fontId="18" fillId="37" borderId="0" applyFont="0" applyBorder="0" applyProtection="0"/>
    <xf numFmtId="0" fontId="18" fillId="0" borderId="0" applyNumberFormat="0" applyFill="0" applyBorder="0" applyAlignment="0">
      <protection locked="0"/>
    </xf>
    <xf numFmtId="15" fontId="18" fillId="0" borderId="0">
      <protection locked="0"/>
    </xf>
    <xf numFmtId="2" fontId="18" fillId="0" borderId="48">
      <protection locked="0"/>
    </xf>
    <xf numFmtId="2" fontId="18" fillId="0" borderId="48">
      <protection locked="0"/>
    </xf>
    <xf numFmtId="0" fontId="18" fillId="0" borderId="0">
      <protection locked="0"/>
    </xf>
    <xf numFmtId="0" fontId="18" fillId="0" borderId="0" applyFill="0" applyBorder="0">
      <alignment horizontal="right"/>
      <protection locked="0"/>
    </xf>
    <xf numFmtId="0" fontId="18" fillId="0" borderId="49" applyFont="0" applyFill="0" applyBorder="0" applyAlignment="0" applyProtection="0"/>
    <xf numFmtId="264" fontId="18" fillId="0" borderId="0" applyFill="0" applyBorder="0">
      <protection locked="0"/>
    </xf>
    <xf numFmtId="298" fontId="18" fillId="0" borderId="0" applyFill="0" applyBorder="0">
      <protection locked="0"/>
    </xf>
    <xf numFmtId="265" fontId="18" fillId="0" borderId="0" applyFill="0" applyBorder="0">
      <protection locked="0"/>
    </xf>
    <xf numFmtId="266" fontId="18" fillId="0" borderId="0" applyFill="0" applyBorder="0">
      <protection locked="0"/>
    </xf>
    <xf numFmtId="267" fontId="18" fillId="36" borderId="43">
      <alignment vertical="top"/>
      <protection locked="0"/>
    </xf>
    <xf numFmtId="267" fontId="18" fillId="36" borderId="43">
      <alignment vertical="top"/>
      <protection locked="0"/>
    </xf>
    <xf numFmtId="267" fontId="18" fillId="36" borderId="43">
      <alignment vertical="top"/>
      <protection locked="0"/>
    </xf>
    <xf numFmtId="267" fontId="18" fillId="36" borderId="43">
      <alignment vertical="top"/>
      <protection locked="0"/>
    </xf>
    <xf numFmtId="268" fontId="18" fillId="36" borderId="43">
      <alignment vertical="top"/>
      <protection locked="0"/>
    </xf>
    <xf numFmtId="268" fontId="18" fillId="36" borderId="43">
      <alignment vertical="top"/>
      <protection locked="0"/>
    </xf>
    <xf numFmtId="268" fontId="18" fillId="36" borderId="43">
      <alignment vertical="top"/>
      <protection locked="0"/>
    </xf>
    <xf numFmtId="268" fontId="18" fillId="36" borderId="43">
      <alignment vertical="top"/>
      <protection locked="0"/>
    </xf>
    <xf numFmtId="269" fontId="18" fillId="36" borderId="43">
      <alignment vertical="top"/>
      <protection locked="0"/>
    </xf>
    <xf numFmtId="269" fontId="18" fillId="36" borderId="43">
      <alignment vertical="top"/>
      <protection locked="0"/>
    </xf>
    <xf numFmtId="269" fontId="18" fillId="36" borderId="43">
      <alignment vertical="top"/>
      <protection locked="0"/>
    </xf>
    <xf numFmtId="269" fontId="18" fillId="36" borderId="43">
      <alignment vertical="top"/>
      <protection locked="0"/>
    </xf>
    <xf numFmtId="270" fontId="18" fillId="36" borderId="43">
      <alignment vertical="top"/>
      <protection locked="0"/>
    </xf>
    <xf numFmtId="270" fontId="18" fillId="36" borderId="43">
      <alignment vertical="top"/>
      <protection locked="0"/>
    </xf>
    <xf numFmtId="270" fontId="18" fillId="36" borderId="43">
      <alignment vertical="top"/>
      <protection locked="0"/>
    </xf>
    <xf numFmtId="270" fontId="18" fillId="36" borderId="43">
      <alignment vertical="top"/>
      <protection locked="0"/>
    </xf>
    <xf numFmtId="271" fontId="18" fillId="36" borderId="43">
      <alignment vertical="top"/>
      <protection locked="0"/>
    </xf>
    <xf numFmtId="271" fontId="18" fillId="36" borderId="43">
      <alignment vertical="top"/>
      <protection locked="0"/>
    </xf>
    <xf numFmtId="271" fontId="18" fillId="36" borderId="43">
      <alignment vertical="top"/>
      <protection locked="0"/>
    </xf>
    <xf numFmtId="271" fontId="18" fillId="36" borderId="43">
      <alignment vertical="top"/>
      <protection locked="0"/>
    </xf>
    <xf numFmtId="272" fontId="18" fillId="0" borderId="0" applyFill="0" applyBorder="0">
      <protection locked="0"/>
    </xf>
    <xf numFmtId="262" fontId="18" fillId="0" borderId="0" applyFill="0" applyBorder="0">
      <protection locked="0"/>
    </xf>
    <xf numFmtId="263" fontId="18" fillId="0" borderId="0" applyFill="0" applyBorder="0">
      <protection locked="0"/>
    </xf>
    <xf numFmtId="273" fontId="18" fillId="0" borderId="0" applyFill="0" applyBorder="0">
      <protection locked="0"/>
    </xf>
    <xf numFmtId="274" fontId="18" fillId="0" borderId="0" applyFill="0" applyBorder="0">
      <protection locked="0"/>
    </xf>
    <xf numFmtId="275" fontId="18" fillId="36" borderId="43">
      <alignment vertical="top"/>
      <protection locked="0"/>
    </xf>
    <xf numFmtId="275" fontId="18" fillId="36" borderId="43">
      <alignment vertical="top"/>
      <protection locked="0"/>
    </xf>
    <xf numFmtId="275" fontId="18" fillId="36" borderId="43">
      <alignment vertical="top"/>
      <protection locked="0"/>
    </xf>
    <xf numFmtId="275" fontId="18" fillId="36" borderId="43">
      <alignment vertical="top"/>
      <protection locked="0"/>
    </xf>
    <xf numFmtId="276" fontId="18" fillId="36" borderId="43">
      <alignment vertical="top"/>
      <protection locked="0"/>
    </xf>
    <xf numFmtId="276" fontId="18" fillId="36" borderId="43">
      <alignment vertical="top"/>
      <protection locked="0"/>
    </xf>
    <xf numFmtId="276" fontId="18" fillId="36" borderId="43">
      <alignment vertical="top"/>
      <protection locked="0"/>
    </xf>
    <xf numFmtId="276" fontId="18" fillId="36" borderId="43">
      <alignment vertical="top"/>
      <protection locked="0"/>
    </xf>
    <xf numFmtId="49" fontId="18" fillId="0" borderId="0" applyFill="0" applyBorder="0">
      <alignment horizontal="left" vertical="top"/>
      <protection locked="0"/>
    </xf>
    <xf numFmtId="49" fontId="18" fillId="0" borderId="0" applyFill="0" applyBorder="0">
      <alignment horizontal="left" vertical="top" indent="1"/>
      <protection locked="0"/>
    </xf>
    <xf numFmtId="49" fontId="18" fillId="0" borderId="0" applyFill="0" applyBorder="0">
      <alignment horizontal="left" vertical="top" indent="2"/>
      <protection locked="0"/>
    </xf>
    <xf numFmtId="49" fontId="18" fillId="0" borderId="0" applyFill="0" applyBorder="0">
      <alignment horizontal="left" vertical="top" indent="3"/>
      <protection locked="0"/>
    </xf>
    <xf numFmtId="49" fontId="18" fillId="0" borderId="0" applyFill="0" applyBorder="0">
      <alignment horizontal="left" vertical="top" indent="4"/>
      <protection locked="0"/>
    </xf>
    <xf numFmtId="211" fontId="18" fillId="0" borderId="0" applyFill="0" applyBorder="0">
      <alignment horizontal="right"/>
      <protection locked="0"/>
    </xf>
    <xf numFmtId="0" fontId="18" fillId="60" borderId="0" applyBorder="0"/>
    <xf numFmtId="0" fontId="18" fillId="61" borderId="50">
      <alignment horizontal="left" vertical="center" wrapText="1"/>
    </xf>
    <xf numFmtId="0" fontId="18" fillId="61" borderId="50">
      <alignment horizontal="left" vertical="center" wrapText="1"/>
    </xf>
    <xf numFmtId="0" fontId="18" fillId="61" borderId="50">
      <alignment horizontal="left" vertical="center" wrapText="1"/>
    </xf>
    <xf numFmtId="0" fontId="18" fillId="61" borderId="50">
      <alignment horizontal="left" vertical="center" wrapText="1"/>
    </xf>
    <xf numFmtId="0" fontId="18" fillId="36" borderId="43">
      <alignment vertical="top"/>
    </xf>
    <xf numFmtId="0" fontId="18" fillId="36" borderId="43">
      <alignment vertical="top"/>
    </xf>
    <xf numFmtId="0" fontId="18" fillId="36" borderId="43">
      <alignment vertical="top"/>
    </xf>
    <xf numFmtId="0" fontId="18" fillId="36" borderId="43">
      <alignment vertical="top"/>
    </xf>
    <xf numFmtId="0" fontId="18" fillId="36" borderId="43">
      <alignment vertical="top" wrapText="1"/>
      <protection locked="0"/>
    </xf>
    <xf numFmtId="0" fontId="18" fillId="36" borderId="43">
      <alignment vertical="top" wrapText="1"/>
      <protection locked="0"/>
    </xf>
    <xf numFmtId="0" fontId="18" fillId="36" borderId="43">
      <alignment vertical="top" wrapText="1"/>
      <protection locked="0"/>
    </xf>
    <xf numFmtId="0" fontId="18" fillId="36" borderId="43">
      <alignment vertical="top" wrapText="1"/>
      <protection locked="0"/>
    </xf>
    <xf numFmtId="0" fontId="18" fillId="36" borderId="43">
      <alignment vertical="top"/>
      <protection locked="0"/>
    </xf>
    <xf numFmtId="0" fontId="18" fillId="36" borderId="43">
      <alignment vertical="top"/>
      <protection locked="0"/>
    </xf>
    <xf numFmtId="0" fontId="18" fillId="36" borderId="43">
      <alignment vertical="top"/>
      <protection locked="0"/>
    </xf>
    <xf numFmtId="0" fontId="18" fillId="36" borderId="43">
      <alignment vertical="top"/>
      <protection locked="0"/>
    </xf>
    <xf numFmtId="49" fontId="18" fillId="0" borderId="0" applyFill="0" applyBorder="0">
      <alignment horizontal="center"/>
      <protection locked="0"/>
    </xf>
    <xf numFmtId="49" fontId="18" fillId="0" borderId="0" applyFill="0" applyBorder="0">
      <alignment horizontal="center" wrapText="1"/>
      <protection locked="0"/>
    </xf>
    <xf numFmtId="286" fontId="18" fillId="36" borderId="0"/>
    <xf numFmtId="4" fontId="18" fillId="54" borderId="0"/>
    <xf numFmtId="0" fontId="18" fillId="0" borderId="0"/>
    <xf numFmtId="182" fontId="18" fillId="0" borderId="0" applyFont="0" applyFill="0" applyBorder="0" applyAlignment="0" applyProtection="0"/>
    <xf numFmtId="299" fontId="18" fillId="48" borderId="20"/>
    <xf numFmtId="299" fontId="18" fillId="48" borderId="20"/>
    <xf numFmtId="38" fontId="18" fillId="0" borderId="0"/>
    <xf numFmtId="38" fontId="18" fillId="0" borderId="0"/>
    <xf numFmtId="38" fontId="18" fillId="0" borderId="0"/>
    <xf numFmtId="38" fontId="18" fillId="0" borderId="0"/>
    <xf numFmtId="0" fontId="18" fillId="0" borderId="0"/>
    <xf numFmtId="0" fontId="18" fillId="0" borderId="0"/>
    <xf numFmtId="0" fontId="18" fillId="0" borderId="0"/>
    <xf numFmtId="300" fontId="18" fillId="35" borderId="0">
      <alignment horizontal="left" vertical="top" indent="2"/>
    </xf>
    <xf numFmtId="300" fontId="18" fillId="35" borderId="0">
      <alignment vertical="top"/>
    </xf>
    <xf numFmtId="186" fontId="18" fillId="51" borderId="19"/>
    <xf numFmtId="0" fontId="18" fillId="0" borderId="0"/>
    <xf numFmtId="37" fontId="18" fillId="55" borderId="0" applyBorder="0"/>
    <xf numFmtId="49" fontId="18" fillId="0" borderId="0" applyFill="0" applyBorder="0">
      <alignment vertical="top"/>
    </xf>
    <xf numFmtId="49" fontId="18" fillId="0" borderId="0" applyFill="0" applyBorder="0">
      <alignment vertical="top" wrapText="1"/>
    </xf>
    <xf numFmtId="0" fontId="18" fillId="0" borderId="0" applyFont="0" applyFill="0" applyBorder="0" applyAlignment="0" applyProtection="0"/>
    <xf numFmtId="301" fontId="18" fillId="0" borderId="0" applyFont="0" applyFill="0" applyBorder="0" applyAlignment="0" applyProtection="0"/>
    <xf numFmtId="37" fontId="18" fillId="0" borderId="0" applyNumberFormat="0" applyFill="0" applyBorder="0" applyProtection="0"/>
    <xf numFmtId="0" fontId="18" fillId="0" borderId="0" applyNumberFormat="0" applyBorder="0" applyProtection="0">
      <alignment vertical="top"/>
    </xf>
    <xf numFmtId="288" fontId="18" fillId="0" borderId="0"/>
    <xf numFmtId="288" fontId="18" fillId="0" borderId="0"/>
    <xf numFmtId="0" fontId="18" fillId="0" borderId="0"/>
    <xf numFmtId="302" fontId="18" fillId="0" borderId="0" applyFill="0" applyBorder="0" applyProtection="0"/>
    <xf numFmtId="0" fontId="18" fillId="0" borderId="0">
      <alignment horizontal="right"/>
    </xf>
    <xf numFmtId="303" fontId="18" fillId="0" borderId="0" applyFont="0" applyFill="0" applyBorder="0" applyAlignment="0" applyProtection="0"/>
    <xf numFmtId="304" fontId="18" fillId="0" borderId="0" applyFont="0" applyFill="0" applyBorder="0" applyAlignment="0" applyProtection="0"/>
    <xf numFmtId="305" fontId="18" fillId="0" borderId="0" applyFont="0" applyFill="0" applyBorder="0" applyAlignment="0" applyProtection="0"/>
    <xf numFmtId="306" fontId="18" fillId="0" borderId="0" applyFont="0" applyFill="0" applyBorder="0" applyAlignment="0" applyProtection="0"/>
    <xf numFmtId="0" fontId="18" fillId="0" borderId="0" applyFont="0" applyFill="0" applyBorder="0" applyAlignment="0" applyProtection="0"/>
    <xf numFmtId="307" fontId="18" fillId="0" borderId="0" applyFont="0" applyFill="0" applyBorder="0" applyAlignment="0" applyProtection="0"/>
    <xf numFmtId="308" fontId="18" fillId="0" borderId="0" applyFont="0" applyFill="0" applyBorder="0" applyAlignment="0" applyProtection="0"/>
    <xf numFmtId="0" fontId="18" fillId="0" borderId="0"/>
    <xf numFmtId="288" fontId="18" fillId="0" borderId="0"/>
    <xf numFmtId="1" fontId="18" fillId="54" borderId="8" applyNumberFormat="0" applyFont="0" applyBorder="0" applyAlignment="0" applyProtection="0"/>
    <xf numFmtId="1" fontId="18" fillId="54" borderId="8" applyNumberFormat="0" applyFont="0" applyBorder="0" applyAlignment="0" applyProtection="0"/>
    <xf numFmtId="17" fontId="18" fillId="0" borderId="0" applyFont="0" applyFill="0" applyBorder="0" applyProtection="0">
      <alignment horizontal="right"/>
    </xf>
    <xf numFmtId="0" fontId="18" fillId="0" borderId="9"/>
    <xf numFmtId="309" fontId="18" fillId="0" borderId="0" applyFont="0" applyFill="0" applyBorder="0" applyAlignment="0" applyProtection="0"/>
    <xf numFmtId="0" fontId="18" fillId="0" borderId="0" applyFont="0" applyFill="0" applyBorder="0" applyAlignment="0" applyProtection="0"/>
    <xf numFmtId="310" fontId="18" fillId="0" borderId="0" applyFont="0" applyFill="0" applyBorder="0" applyAlignment="0" applyProtection="0"/>
    <xf numFmtId="311" fontId="18" fillId="0" borderId="0" applyFont="0" applyFill="0" applyBorder="0" applyAlignment="0" applyProtection="0"/>
    <xf numFmtId="312" fontId="18" fillId="0" borderId="0" applyFont="0" applyFill="0" applyBorder="0" applyAlignment="0" applyProtection="0"/>
    <xf numFmtId="313" fontId="18" fillId="0" borderId="0" applyFont="0" applyFill="0" applyBorder="0" applyAlignment="0" applyProtection="0"/>
    <xf numFmtId="17" fontId="18" fillId="0" borderId="0">
      <alignment horizontal="center"/>
    </xf>
    <xf numFmtId="314" fontId="18" fillId="0" borderId="0" applyFill="0" applyBorder="0"/>
    <xf numFmtId="309" fontId="18" fillId="0" borderId="0" applyFont="0" applyFill="0" applyBorder="0" applyAlignment="0" applyProtection="0"/>
    <xf numFmtId="0" fontId="18" fillId="0" borderId="0" applyFont="0" applyFill="0" applyBorder="0" applyAlignment="0" applyProtection="0"/>
    <xf numFmtId="0" fontId="18" fillId="0" borderId="0"/>
    <xf numFmtId="0" fontId="18" fillId="0" borderId="0" applyFill="0" applyBorder="0" applyAlignment="0">
      <alignment horizontal="right"/>
    </xf>
    <xf numFmtId="0" fontId="18" fillId="0" borderId="21" applyFont="0" applyFill="0" applyBorder="0" applyProtection="0"/>
    <xf numFmtId="0" fontId="18" fillId="0" borderId="21" applyFont="0" applyFill="0" applyBorder="0" applyProtection="0"/>
    <xf numFmtId="0" fontId="18" fillId="0" borderId="21" applyFont="0" applyFill="0" applyBorder="0" applyAlignment="0" applyProtection="0"/>
    <xf numFmtId="0" fontId="18" fillId="0" borderId="21" applyFont="0" applyFill="0" applyBorder="0" applyAlignment="0" applyProtection="0"/>
    <xf numFmtId="315"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316" fontId="18" fillId="0" borderId="0" applyFill="0" applyBorder="0" applyProtection="0">
      <alignment horizontal="right"/>
    </xf>
    <xf numFmtId="0" fontId="18" fillId="0" borderId="0" applyFill="0" applyBorder="0" applyProtection="0">
      <alignment horizontal="right"/>
    </xf>
    <xf numFmtId="0" fontId="18" fillId="0" borderId="0" applyFont="0" applyFill="0" applyBorder="0" applyAlignment="0" applyProtection="0">
      <alignment horizontal="right"/>
    </xf>
    <xf numFmtId="317" fontId="18" fillId="0" borderId="0"/>
    <xf numFmtId="0" fontId="18" fillId="0" borderId="0" applyFill="0" applyAlignment="0"/>
    <xf numFmtId="0" fontId="18" fillId="0" borderId="0"/>
    <xf numFmtId="0" fontId="18" fillId="0" borderId="0" applyNumberFormat="0" applyAlignment="0">
      <alignment vertical="center"/>
    </xf>
    <xf numFmtId="0" fontId="18" fillId="0" borderId="0" applyNumberFormat="0" applyBorder="0" applyAlignment="0" applyProtection="0"/>
    <xf numFmtId="2" fontId="18" fillId="0" borderId="0" applyFont="0" applyFill="0" applyAlignment="0" applyProtection="0">
      <alignment horizontal="center"/>
    </xf>
    <xf numFmtId="318" fontId="18" fillId="0" borderId="51" applyBorder="0" applyAlignment="0" applyProtection="0">
      <alignment horizontal="center"/>
    </xf>
    <xf numFmtId="0" fontId="18" fillId="0" borderId="20" applyNumberFormat="0" applyFont="0" applyBorder="0" applyAlignment="0" applyProtection="0">
      <alignment horizontal="center"/>
    </xf>
    <xf numFmtId="0" fontId="18" fillId="0" borderId="20" applyNumberFormat="0" applyFont="0" applyBorder="0" applyAlignment="0" applyProtection="0">
      <alignment horizontal="center"/>
    </xf>
    <xf numFmtId="217" fontId="18" fillId="0" borderId="0" applyNumberFormat="0" applyFont="0" applyFill="0" applyAlignment="0" applyProtection="0"/>
    <xf numFmtId="37" fontId="18" fillId="0" borderId="0"/>
    <xf numFmtId="288" fontId="18" fillId="0" borderId="0" applyNumberFormat="0" applyAlignment="0"/>
    <xf numFmtId="0" fontId="18" fillId="51" borderId="0" applyNumberFormat="0" applyBorder="0" applyAlignment="0">
      <alignment horizontal="right"/>
      <protection hidden="1"/>
    </xf>
    <xf numFmtId="0" fontId="18" fillId="0" borderId="0" applyFont="0" applyBorder="0" applyAlignment="0">
      <protection hidden="1"/>
    </xf>
    <xf numFmtId="0" fontId="18" fillId="0" borderId="0"/>
    <xf numFmtId="0" fontId="18" fillId="0" borderId="0"/>
    <xf numFmtId="211" fontId="18" fillId="0" borderId="0"/>
    <xf numFmtId="319" fontId="18" fillId="0" borderId="24"/>
    <xf numFmtId="319" fontId="18" fillId="0" borderId="24"/>
    <xf numFmtId="319" fontId="18" fillId="0" borderId="24"/>
    <xf numFmtId="319" fontId="18" fillId="0" borderId="24"/>
    <xf numFmtId="0" fontId="18" fillId="0" borderId="0"/>
    <xf numFmtId="319" fontId="18" fillId="0" borderId="30"/>
    <xf numFmtId="179" fontId="18" fillId="0" borderId="0">
      <alignment horizontal="right"/>
    </xf>
    <xf numFmtId="0" fontId="18" fillId="0" borderId="0" applyFont="0" applyFill="0" applyBorder="0" applyAlignment="0" applyProtection="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applyNumberFormat="0" applyFill="0" applyBorder="0" applyAlignment="0" applyProtection="0"/>
    <xf numFmtId="3" fontId="18" fillId="0" borderId="0"/>
    <xf numFmtId="3" fontId="18" fillId="0" borderId="0">
      <alignment horizontal="left"/>
    </xf>
    <xf numFmtId="286" fontId="18" fillId="0" borderId="0" applyFill="0" applyBorder="0" applyProtection="0"/>
    <xf numFmtId="0" fontId="18" fillId="0" borderId="0" applyProtection="0"/>
    <xf numFmtId="0" fontId="18" fillId="0" borderId="0" applyNumberFormat="0" applyFont="0" applyFill="0" applyBorder="0" applyAlignment="0"/>
    <xf numFmtId="320" fontId="18" fillId="33" borderId="0" applyBorder="0">
      <alignment vertical="center"/>
    </xf>
    <xf numFmtId="0" fontId="18" fillId="0" borderId="0"/>
    <xf numFmtId="0" fontId="18" fillId="0" borderId="0"/>
    <xf numFmtId="0" fontId="18" fillId="0" borderId="48"/>
    <xf numFmtId="0" fontId="18" fillId="0" borderId="48"/>
    <xf numFmtId="38" fontId="18" fillId="33" borderId="0" applyBorder="0"/>
    <xf numFmtId="39" fontId="18" fillId="0" borderId="0"/>
    <xf numFmtId="321" fontId="18" fillId="0" borderId="0" applyBorder="0" applyProtection="0">
      <alignment horizontal="right"/>
    </xf>
    <xf numFmtId="0" fontId="18" fillId="62" borderId="0" applyBorder="0" applyProtection="0">
      <alignment horizontal="right"/>
    </xf>
    <xf numFmtId="0" fontId="18" fillId="0" borderId="19" applyBorder="0"/>
    <xf numFmtId="0" fontId="18" fillId="0" borderId="19" applyBorder="0"/>
    <xf numFmtId="0" fontId="18" fillId="0" borderId="19" applyBorder="0"/>
    <xf numFmtId="0" fontId="18" fillId="0" borderId="19" applyBorder="0"/>
    <xf numFmtId="0" fontId="18" fillId="0" borderId="0" applyBorder="0" applyProtection="0">
      <alignment horizontal="right"/>
    </xf>
    <xf numFmtId="0" fontId="18" fillId="0" borderId="0" applyBorder="0" applyProtection="0">
      <alignment horizontal="right"/>
    </xf>
    <xf numFmtId="0" fontId="18" fillId="62" borderId="0" applyProtection="0">
      <alignment horizontal="right"/>
    </xf>
    <xf numFmtId="37" fontId="18" fillId="0" borderId="0" applyFill="0" applyBorder="0" applyProtection="0">
      <alignment horizontal="right"/>
    </xf>
    <xf numFmtId="1" fontId="18" fillId="0" borderId="0">
      <alignment horizontal="right"/>
      <protection locked="0"/>
    </xf>
    <xf numFmtId="0" fontId="18" fillId="0" borderId="0">
      <alignment horizontal="right"/>
      <protection locked="0"/>
    </xf>
    <xf numFmtId="2" fontId="18" fillId="0" borderId="0">
      <alignment horizontal="right"/>
      <protection locked="0"/>
    </xf>
    <xf numFmtId="2" fontId="18" fillId="0" borderId="0">
      <alignment horizontal="right"/>
      <protection locked="0"/>
    </xf>
    <xf numFmtId="0" fontId="18" fillId="0" borderId="24" applyBorder="0"/>
    <xf numFmtId="257" fontId="18" fillId="0" borderId="0" applyFont="0" applyFill="0" applyBorder="0" applyAlignment="0" applyProtection="0">
      <alignment vertical="center"/>
    </xf>
    <xf numFmtId="0" fontId="18" fillId="0" borderId="0" applyFill="0" applyBorder="0" applyProtection="0">
      <alignment horizontal="right"/>
    </xf>
    <xf numFmtId="296" fontId="18" fillId="0" borderId="0">
      <alignment horizontal="right"/>
    </xf>
    <xf numFmtId="0" fontId="18" fillId="0" borderId="25">
      <alignment horizontal="right"/>
    </xf>
    <xf numFmtId="0" fontId="18" fillId="0" borderId="0">
      <alignment horizontal="right"/>
    </xf>
    <xf numFmtId="0" fontId="18" fillId="0" borderId="0">
      <alignment horizontal="right"/>
    </xf>
    <xf numFmtId="0" fontId="18" fillId="0" borderId="24" applyBorder="0"/>
    <xf numFmtId="0" fontId="18" fillId="0" borderId="0">
      <alignment horizontal="right"/>
    </xf>
    <xf numFmtId="0" fontId="18" fillId="0" borderId="24" applyBorder="0"/>
    <xf numFmtId="0" fontId="18" fillId="0" borderId="0" applyFill="0" applyBorder="0" applyProtection="0">
      <alignment horizontal="right"/>
    </xf>
    <xf numFmtId="0" fontId="18" fillId="0" borderId="24" applyBorder="0"/>
    <xf numFmtId="0" fontId="18" fillId="0" borderId="24" applyBorder="0"/>
    <xf numFmtId="295" fontId="18" fillId="0" borderId="0" applyFill="0" applyBorder="0" applyProtection="0"/>
    <xf numFmtId="296" fontId="18" fillId="0" borderId="0" applyFill="0" applyBorder="0" applyProtection="0"/>
    <xf numFmtId="297" fontId="18" fillId="0" borderId="0" applyFill="0" applyBorder="0" applyProtection="0"/>
    <xf numFmtId="0" fontId="18" fillId="0" borderId="0">
      <alignment horizontal="right"/>
    </xf>
    <xf numFmtId="322" fontId="18" fillId="0" borderId="0" applyFont="0" applyFill="0" applyBorder="0" applyAlignment="0" applyProtection="0"/>
    <xf numFmtId="177" fontId="18" fillId="36" borderId="20"/>
    <xf numFmtId="177" fontId="18" fillId="36" borderId="20"/>
    <xf numFmtId="37" fontId="18" fillId="0" borderId="0"/>
    <xf numFmtId="37" fontId="18" fillId="0" borderId="0"/>
    <xf numFmtId="0" fontId="18" fillId="37" borderId="20">
      <alignment horizontal="right"/>
      <protection locked="0"/>
    </xf>
    <xf numFmtId="0" fontId="18" fillId="37" borderId="20">
      <alignment horizontal="right"/>
      <protection locked="0"/>
    </xf>
    <xf numFmtId="0" fontId="18" fillId="0" borderId="0"/>
    <xf numFmtId="0" fontId="18" fillId="0" borderId="0"/>
    <xf numFmtId="0" fontId="18" fillId="35" borderId="0">
      <alignment horizontal="right"/>
    </xf>
    <xf numFmtId="40" fontId="18" fillId="33" borderId="0">
      <alignment horizontal="right"/>
    </xf>
    <xf numFmtId="0" fontId="18" fillId="33" borderId="0">
      <alignment horizontal="right"/>
    </xf>
    <xf numFmtId="0" fontId="18" fillId="33" borderId="53"/>
    <xf numFmtId="0" fontId="18" fillId="33" borderId="53"/>
    <xf numFmtId="0" fontId="18" fillId="0" borderId="0" applyBorder="0">
      <alignment horizontal="centerContinuous"/>
    </xf>
    <xf numFmtId="0" fontId="18" fillId="0" borderId="0" applyBorder="0">
      <alignment horizontal="centerContinuous"/>
    </xf>
    <xf numFmtId="0" fontId="18" fillId="0" borderId="0" applyProtection="0">
      <alignment horizontal="left"/>
    </xf>
    <xf numFmtId="1" fontId="18" fillId="0" borderId="0" applyProtection="0">
      <alignment horizontal="right" vertical="center"/>
    </xf>
    <xf numFmtId="0" fontId="18" fillId="0" borderId="0" applyFont="0">
      <alignment horizontal="right"/>
    </xf>
    <xf numFmtId="49" fontId="18" fillId="0" borderId="21" applyFill="0" applyProtection="0">
      <alignment vertical="center"/>
    </xf>
    <xf numFmtId="0" fontId="18" fillId="0" borderId="0">
      <alignment horizontal="right"/>
    </xf>
    <xf numFmtId="0" fontId="18" fillId="0" borderId="0" applyFont="0" applyFill="0" applyBorder="0" applyAlignment="0" applyProtection="0"/>
    <xf numFmtId="288" fontId="18" fillId="0" borderId="0" applyFont="0" applyFill="0" applyBorder="0" applyAlignment="0" applyProtection="0"/>
    <xf numFmtId="10" fontId="18" fillId="0" borderId="0" applyFont="0" applyFill="0" applyBorder="0" applyAlignment="0" applyProtection="0"/>
    <xf numFmtId="9" fontId="18" fillId="0" borderId="0" applyFont="0" applyFill="0" applyBorder="0" applyAlignment="0" applyProtection="0"/>
    <xf numFmtId="10" fontId="18" fillId="0" borderId="0" applyFont="0" applyFill="0" applyBorder="0" applyAlignment="0" applyProtection="0"/>
    <xf numFmtId="3" fontId="18" fillId="0" borderId="0"/>
    <xf numFmtId="0" fontId="18" fillId="0" borderId="0">
      <protection hidden="1"/>
    </xf>
    <xf numFmtId="0" fontId="18" fillId="62" borderId="0" applyProtection="0">
      <alignment horizontal="right"/>
    </xf>
    <xf numFmtId="0" fontId="18" fillId="0" borderId="0" applyFont="0" applyBorder="0" applyProtection="0">
      <alignment horizontal="right"/>
    </xf>
    <xf numFmtId="323" fontId="18" fillId="0" borderId="0" applyFill="0" applyBorder="0" applyProtection="0">
      <alignment horizontal="right"/>
    </xf>
    <xf numFmtId="9" fontId="17" fillId="0" borderId="0" applyFont="0" applyFill="0" applyBorder="0" applyAlignment="0" applyProtection="0"/>
    <xf numFmtId="9" fontId="20" fillId="0" borderId="0" applyFont="0" applyFill="0" applyBorder="0" applyAlignment="0" applyProtection="0"/>
    <xf numFmtId="9" fontId="17"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21" fillId="0" borderId="0" applyFont="0" applyFill="0" applyBorder="0" applyAlignment="0" applyProtection="0"/>
    <xf numFmtId="9" fontId="17" fillId="0" borderId="0" applyFont="0" applyFill="0" applyBorder="0" applyAlignment="0" applyProtection="0"/>
    <xf numFmtId="0" fontId="18" fillId="0" borderId="0" applyFont="0" applyFill="0" applyBorder="0" applyProtection="0">
      <alignment horizontal="right"/>
    </xf>
    <xf numFmtId="324" fontId="18" fillId="0" borderId="0" applyFill="0" applyBorder="0" applyProtection="0"/>
    <xf numFmtId="325" fontId="18" fillId="0" borderId="0" applyFill="0" applyBorder="0" applyProtection="0"/>
    <xf numFmtId="0" fontId="18" fillId="0" borderId="0" applyFill="0" applyBorder="0" applyProtection="0"/>
    <xf numFmtId="326" fontId="18" fillId="0" borderId="0" applyFill="0" applyBorder="0" applyProtection="0"/>
    <xf numFmtId="288" fontId="18" fillId="0" borderId="0" applyFont="0" applyFill="0" applyBorder="0" applyAlignment="0" applyProtection="0"/>
    <xf numFmtId="0" fontId="18" fillId="0" borderId="0"/>
    <xf numFmtId="327" fontId="18" fillId="0" borderId="0" applyFont="0" applyFill="0" applyBorder="0" applyAlignment="0" applyProtection="0">
      <alignment vertical="center"/>
    </xf>
    <xf numFmtId="328" fontId="18" fillId="0" borderId="0" applyFont="0" applyFill="0" applyBorder="0" applyAlignment="0" applyProtection="0"/>
    <xf numFmtId="0" fontId="18" fillId="0" borderId="0" applyFill="0" applyBorder="0">
      <alignment horizontal="right"/>
      <protection locked="0"/>
    </xf>
    <xf numFmtId="9" fontId="18" fillId="0" borderId="0" applyFont="0" applyFill="0" applyBorder="0" applyAlignment="0" applyProtection="0"/>
    <xf numFmtId="0" fontId="18" fillId="0" borderId="0">
      <alignment horizontal="center"/>
    </xf>
    <xf numFmtId="3" fontId="18" fillId="0" borderId="0"/>
    <xf numFmtId="0" fontId="18" fillId="0" borderId="0" applyProtection="0">
      <alignment horizontal="right"/>
    </xf>
    <xf numFmtId="0" fontId="18" fillId="0" borderId="0">
      <alignment horizontal="right"/>
      <protection locked="0"/>
    </xf>
    <xf numFmtId="9" fontId="18" fillId="0" borderId="0" applyFont="0" applyFill="0" applyBorder="0" applyAlignment="0" applyProtection="0"/>
    <xf numFmtId="227" fontId="18" fillId="0" borderId="0"/>
    <xf numFmtId="186" fontId="18" fillId="0" borderId="17" applyNumberFormat="0" applyFont="0" applyFill="0" applyBorder="0" applyAlignment="0"/>
    <xf numFmtId="9" fontId="18" fillId="0" borderId="33"/>
    <xf numFmtId="288" fontId="18" fillId="0" borderId="0"/>
    <xf numFmtId="10" fontId="18" fillId="0" borderId="0"/>
    <xf numFmtId="9" fontId="18" fillId="0" borderId="33"/>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18" fillId="0" borderId="9">
      <alignment horizontal="center"/>
    </xf>
    <xf numFmtId="3" fontId="18" fillId="0" borderId="0" applyFont="0" applyFill="0" applyBorder="0" applyAlignment="0" applyProtection="0"/>
    <xf numFmtId="0" fontId="18" fillId="63" borderId="0" applyNumberFormat="0" applyFont="0" applyBorder="0" applyAlignment="0" applyProtection="0"/>
    <xf numFmtId="0" fontId="18" fillId="0" borderId="0">
      <alignment horizontal="right"/>
    </xf>
    <xf numFmtId="0" fontId="18" fillId="0" borderId="0">
      <alignment vertical="top"/>
    </xf>
    <xf numFmtId="329" fontId="18" fillId="0" borderId="0">
      <alignment horizontal="right"/>
      <protection locked="0"/>
    </xf>
    <xf numFmtId="330" fontId="18" fillId="0" borderId="0" applyFont="0" applyFill="0" applyBorder="0" applyAlignment="0" applyProtection="0"/>
    <xf numFmtId="49" fontId="18" fillId="0" borderId="0">
      <alignment horizontal="right"/>
    </xf>
    <xf numFmtId="3" fontId="18" fillId="37" borderId="0"/>
    <xf numFmtId="3" fontId="18" fillId="37" borderId="0"/>
    <xf numFmtId="4" fontId="18" fillId="37" borderId="0"/>
    <xf numFmtId="3" fontId="18" fillId="37" borderId="0"/>
    <xf numFmtId="186" fontId="18" fillId="0" borderId="54" applyNumberFormat="0" applyFont="0" applyFill="0" applyBorder="0" applyAlignment="0"/>
    <xf numFmtId="222" fontId="18" fillId="0" borderId="0" applyNumberFormat="0" applyFill="0" applyBorder="0" applyAlignment="0" applyProtection="0">
      <alignment horizontal="left"/>
    </xf>
    <xf numFmtId="0" fontId="18" fillId="0" borderId="0">
      <alignment horizontal="right"/>
    </xf>
    <xf numFmtId="0" fontId="18" fillId="0" borderId="0">
      <alignment horizontal="right"/>
    </xf>
    <xf numFmtId="0" fontId="18" fillId="0" borderId="0" applyFill="0" applyBorder="0" applyProtection="0">
      <alignment horizontal="right"/>
    </xf>
    <xf numFmtId="0" fontId="18" fillId="0" borderId="0">
      <alignment horizontal="right"/>
    </xf>
    <xf numFmtId="0" fontId="18" fillId="36" borderId="29" applyProtection="0"/>
    <xf numFmtId="0" fontId="18" fillId="0" borderId="0" applyNumberFormat="0" applyFill="0" applyBorder="0">
      <alignment horizontal="left" vertical="center" wrapText="1"/>
    </xf>
    <xf numFmtId="0" fontId="18" fillId="0" borderId="0" applyNumberFormat="0" applyFill="0" applyBorder="0">
      <alignment horizontal="left" vertical="center" wrapText="1" indent="1"/>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vertical="center"/>
    </xf>
    <xf numFmtId="4" fontId="18" fillId="36" borderId="55" applyNumberFormat="0" applyProtection="0">
      <alignment horizontal="left" vertical="center" indent="1"/>
    </xf>
    <xf numFmtId="4" fontId="18" fillId="36" borderId="55" applyNumberFormat="0" applyProtection="0">
      <alignment horizontal="left" vertical="center" indent="1"/>
    </xf>
    <xf numFmtId="4" fontId="18" fillId="36" borderId="55" applyNumberFormat="0" applyProtection="0">
      <alignment horizontal="left" vertical="center" indent="1"/>
    </xf>
    <xf numFmtId="4" fontId="18" fillId="36" borderId="55" applyNumberFormat="0" applyProtection="0">
      <alignment horizontal="left" vertical="center" indent="1"/>
    </xf>
    <xf numFmtId="4" fontId="18" fillId="36" borderId="52" applyNumberFormat="0" applyProtection="0">
      <alignment horizontal="left" vertical="center" indent="1"/>
    </xf>
    <xf numFmtId="4" fontId="18" fillId="36" borderId="52" applyNumberFormat="0" applyProtection="0">
      <alignment horizontal="left" vertical="center" indent="1"/>
    </xf>
    <xf numFmtId="4" fontId="18" fillId="36" borderId="52" applyNumberFormat="0" applyProtection="0">
      <alignment horizontal="left" vertical="center" indent="1"/>
    </xf>
    <xf numFmtId="4" fontId="18" fillId="36" borderId="52" applyNumberFormat="0" applyProtection="0">
      <alignment horizontal="left" vertical="center" indent="1"/>
    </xf>
    <xf numFmtId="4" fontId="18" fillId="39" borderId="0" applyNumberFormat="0" applyProtection="0">
      <alignment horizontal="left" vertical="center" indent="1"/>
    </xf>
    <xf numFmtId="4" fontId="18" fillId="64" borderId="55" applyNumberFormat="0" applyProtection="0">
      <alignment horizontal="right" vertical="center"/>
    </xf>
    <xf numFmtId="4" fontId="18" fillId="64" borderId="55" applyNumberFormat="0" applyProtection="0">
      <alignment horizontal="right" vertical="center"/>
    </xf>
    <xf numFmtId="4" fontId="18" fillId="64" borderId="55" applyNumberFormat="0" applyProtection="0">
      <alignment horizontal="right" vertical="center"/>
    </xf>
    <xf numFmtId="4" fontId="18" fillId="64" borderId="55" applyNumberFormat="0" applyProtection="0">
      <alignment horizontal="right" vertical="center"/>
    </xf>
    <xf numFmtId="4" fontId="18" fillId="65" borderId="55" applyNumberFormat="0" applyProtection="0">
      <alignment horizontal="right" vertical="center"/>
    </xf>
    <xf numFmtId="4" fontId="18" fillId="65" borderId="55" applyNumberFormat="0" applyProtection="0">
      <alignment horizontal="right" vertical="center"/>
    </xf>
    <xf numFmtId="4" fontId="18" fillId="65" borderId="55" applyNumberFormat="0" applyProtection="0">
      <alignment horizontal="right" vertical="center"/>
    </xf>
    <xf numFmtId="4" fontId="18" fillId="65" borderId="55" applyNumberFormat="0" applyProtection="0">
      <alignment horizontal="right" vertical="center"/>
    </xf>
    <xf numFmtId="4" fontId="18" fillId="46" borderId="55" applyNumberFormat="0" applyProtection="0">
      <alignment horizontal="right" vertical="center"/>
    </xf>
    <xf numFmtId="4" fontId="18" fillId="46" borderId="55" applyNumberFormat="0" applyProtection="0">
      <alignment horizontal="right" vertical="center"/>
    </xf>
    <xf numFmtId="4" fontId="18" fillId="46" borderId="55" applyNumberFormat="0" applyProtection="0">
      <alignment horizontal="right" vertical="center"/>
    </xf>
    <xf numFmtId="4" fontId="18" fillId="46" borderId="55" applyNumberFormat="0" applyProtection="0">
      <alignment horizontal="right" vertical="center"/>
    </xf>
    <xf numFmtId="4" fontId="18" fillId="55" borderId="55" applyNumberFormat="0" applyProtection="0">
      <alignment horizontal="right" vertical="center"/>
    </xf>
    <xf numFmtId="4" fontId="18" fillId="55" borderId="55" applyNumberFormat="0" applyProtection="0">
      <alignment horizontal="right" vertical="center"/>
    </xf>
    <xf numFmtId="4" fontId="18" fillId="55" borderId="55" applyNumberFormat="0" applyProtection="0">
      <alignment horizontal="right" vertical="center"/>
    </xf>
    <xf numFmtId="4" fontId="18" fillId="55" borderId="55" applyNumberFormat="0" applyProtection="0">
      <alignment horizontal="right" vertical="center"/>
    </xf>
    <xf numFmtId="4" fontId="18" fillId="66" borderId="55" applyNumberFormat="0" applyProtection="0">
      <alignment horizontal="right" vertical="center"/>
    </xf>
    <xf numFmtId="4" fontId="18" fillId="66" borderId="55" applyNumberFormat="0" applyProtection="0">
      <alignment horizontal="right" vertical="center"/>
    </xf>
    <xf numFmtId="4" fontId="18" fillId="66" borderId="55" applyNumberFormat="0" applyProtection="0">
      <alignment horizontal="right" vertical="center"/>
    </xf>
    <xf numFmtId="4" fontId="18" fillId="66" borderId="55" applyNumberFormat="0" applyProtection="0">
      <alignment horizontal="right" vertical="center"/>
    </xf>
    <xf numFmtId="4" fontId="18" fillId="67" borderId="55" applyNumberFormat="0" applyProtection="0">
      <alignment horizontal="right" vertical="center"/>
    </xf>
    <xf numFmtId="4" fontId="18" fillId="67" borderId="55" applyNumberFormat="0" applyProtection="0">
      <alignment horizontal="right" vertical="center"/>
    </xf>
    <xf numFmtId="4" fontId="18" fillId="67" borderId="55" applyNumberFormat="0" applyProtection="0">
      <alignment horizontal="right" vertical="center"/>
    </xf>
    <xf numFmtId="4" fontId="18" fillId="67" borderId="55" applyNumberFormat="0" applyProtection="0">
      <alignment horizontal="right" vertical="center"/>
    </xf>
    <xf numFmtId="4" fontId="18" fillId="68" borderId="55" applyNumberFormat="0" applyProtection="0">
      <alignment horizontal="right" vertical="center"/>
    </xf>
    <xf numFmtId="4" fontId="18" fillId="68" borderId="55" applyNumberFormat="0" applyProtection="0">
      <alignment horizontal="right" vertical="center"/>
    </xf>
    <xf numFmtId="4" fontId="18" fillId="68" borderId="55" applyNumberFormat="0" applyProtection="0">
      <alignment horizontal="right" vertical="center"/>
    </xf>
    <xf numFmtId="4" fontId="18" fillId="68" borderId="55" applyNumberFormat="0" applyProtection="0">
      <alignment horizontal="right" vertical="center"/>
    </xf>
    <xf numFmtId="4" fontId="18" fillId="69" borderId="55" applyNumberFormat="0" applyProtection="0">
      <alignment horizontal="right" vertical="center"/>
    </xf>
    <xf numFmtId="4" fontId="18" fillId="69" borderId="55" applyNumberFormat="0" applyProtection="0">
      <alignment horizontal="right" vertical="center"/>
    </xf>
    <xf numFmtId="4" fontId="18" fillId="69" borderId="55" applyNumberFormat="0" applyProtection="0">
      <alignment horizontal="right" vertical="center"/>
    </xf>
    <xf numFmtId="4" fontId="18" fillId="69" borderId="55" applyNumberFormat="0" applyProtection="0">
      <alignment horizontal="right" vertical="center"/>
    </xf>
    <xf numFmtId="4" fontId="18" fillId="70" borderId="55" applyNumberFormat="0" applyProtection="0">
      <alignment horizontal="right" vertical="center"/>
    </xf>
    <xf numFmtId="4" fontId="18" fillId="70" borderId="55" applyNumberFormat="0" applyProtection="0">
      <alignment horizontal="right" vertical="center"/>
    </xf>
    <xf numFmtId="4" fontId="18" fillId="70" borderId="55" applyNumberFormat="0" applyProtection="0">
      <alignment horizontal="right" vertical="center"/>
    </xf>
    <xf numFmtId="4" fontId="18" fillId="70" borderId="55" applyNumberFormat="0" applyProtection="0">
      <alignment horizontal="right" vertical="center"/>
    </xf>
    <xf numFmtId="4" fontId="18" fillId="71" borderId="56" applyNumberFormat="0" applyProtection="0">
      <alignment horizontal="left" vertical="center" indent="1"/>
    </xf>
    <xf numFmtId="4" fontId="18" fillId="44" borderId="0" applyNumberFormat="0" applyProtection="0">
      <alignment horizontal="left" vertical="center" indent="1"/>
    </xf>
    <xf numFmtId="4" fontId="18" fillId="39" borderId="0" applyNumberFormat="0" applyProtection="0">
      <alignment horizontal="left" vertical="center" indent="1"/>
    </xf>
    <xf numFmtId="4" fontId="18" fillId="44" borderId="55" applyNumberFormat="0" applyProtection="0">
      <alignment horizontal="right" vertical="center"/>
    </xf>
    <xf numFmtId="4" fontId="18" fillId="44" borderId="55" applyNumberFormat="0" applyProtection="0">
      <alignment horizontal="right" vertical="center"/>
    </xf>
    <xf numFmtId="4" fontId="18" fillId="44" borderId="55" applyNumberFormat="0" applyProtection="0">
      <alignment horizontal="right" vertical="center"/>
    </xf>
    <xf numFmtId="4" fontId="18" fillId="44" borderId="55" applyNumberFormat="0" applyProtection="0">
      <alignment horizontal="right" vertical="center"/>
    </xf>
    <xf numFmtId="4" fontId="18" fillId="44" borderId="0" applyNumberFormat="0" applyProtection="0">
      <alignment horizontal="left" vertical="center" indent="1"/>
    </xf>
    <xf numFmtId="4" fontId="18" fillId="39" borderId="0" applyNumberFormat="0" applyProtection="0">
      <alignment horizontal="left" vertical="center" indent="1"/>
    </xf>
    <xf numFmtId="0" fontId="18" fillId="72" borderId="52" applyNumberFormat="0" applyProtection="0">
      <alignment horizontal="left" vertical="center" indent="1"/>
    </xf>
    <xf numFmtId="0" fontId="18" fillId="72" borderId="52" applyNumberFormat="0" applyProtection="0">
      <alignment horizontal="left" vertical="center" indent="1"/>
    </xf>
    <xf numFmtId="0" fontId="18" fillId="72" borderId="52" applyNumberFormat="0" applyProtection="0">
      <alignment horizontal="left" vertical="center" indent="1"/>
    </xf>
    <xf numFmtId="0" fontId="18" fillId="72" borderId="52" applyNumberFormat="0" applyProtection="0">
      <alignment horizontal="left" vertical="center" indent="1"/>
    </xf>
    <xf numFmtId="0" fontId="18" fillId="38" borderId="52" applyNumberFormat="0" applyProtection="0">
      <alignment horizontal="left" vertical="center" indent="1"/>
    </xf>
    <xf numFmtId="0" fontId="18" fillId="38" borderId="52" applyNumberFormat="0" applyProtection="0">
      <alignment horizontal="left" vertical="center" indent="1"/>
    </xf>
    <xf numFmtId="0" fontId="18" fillId="38" borderId="52" applyNumberFormat="0" applyProtection="0">
      <alignment horizontal="left" vertical="center" indent="1"/>
    </xf>
    <xf numFmtId="0" fontId="18" fillId="38" borderId="52" applyNumberFormat="0" applyProtection="0">
      <alignment horizontal="left" vertical="center" indent="1"/>
    </xf>
    <xf numFmtId="0" fontId="18" fillId="37" borderId="52" applyNumberFormat="0" applyProtection="0">
      <alignment horizontal="left" vertical="center" indent="1"/>
    </xf>
    <xf numFmtId="0" fontId="18" fillId="37" borderId="52" applyNumberFormat="0" applyProtection="0">
      <alignment horizontal="left" vertical="center" indent="1"/>
    </xf>
    <xf numFmtId="0" fontId="18" fillId="37" borderId="52" applyNumberFormat="0" applyProtection="0">
      <alignment horizontal="left" vertical="center" indent="1"/>
    </xf>
    <xf numFmtId="0" fontId="18" fillId="37" borderId="52" applyNumberFormat="0" applyProtection="0">
      <alignment horizontal="left" vertical="center" indent="1"/>
    </xf>
    <xf numFmtId="0" fontId="18" fillId="48" borderId="52" applyNumberFormat="0" applyProtection="0">
      <alignment horizontal="left" vertical="center" indent="1"/>
    </xf>
    <xf numFmtId="0" fontId="18" fillId="48" borderId="52" applyNumberFormat="0" applyProtection="0">
      <alignment horizontal="left" vertical="center" indent="1"/>
    </xf>
    <xf numFmtId="0" fontId="18" fillId="48" borderId="52" applyNumberFormat="0" applyProtection="0">
      <alignment horizontal="left" vertical="center" indent="1"/>
    </xf>
    <xf numFmtId="0" fontId="18" fillId="48" borderId="52" applyNumberFormat="0" applyProtection="0">
      <alignment horizontal="left" vertical="center" indent="1"/>
    </xf>
    <xf numFmtId="4" fontId="18" fillId="51" borderId="55" applyNumberFormat="0" applyProtection="0">
      <alignment vertical="center"/>
    </xf>
    <xf numFmtId="4" fontId="18" fillId="51" borderId="55" applyNumberFormat="0" applyProtection="0">
      <alignment vertical="center"/>
    </xf>
    <xf numFmtId="4" fontId="18" fillId="51" borderId="55" applyNumberFormat="0" applyProtection="0">
      <alignment vertical="center"/>
    </xf>
    <xf numFmtId="4" fontId="18" fillId="51" borderId="55" applyNumberFormat="0" applyProtection="0">
      <alignment vertical="center"/>
    </xf>
    <xf numFmtId="4" fontId="18" fillId="51" borderId="55" applyNumberFormat="0" applyProtection="0">
      <alignment vertical="center"/>
    </xf>
    <xf numFmtId="4" fontId="18" fillId="51" borderId="55" applyNumberFormat="0" applyProtection="0">
      <alignment vertical="center"/>
    </xf>
    <xf numFmtId="4" fontId="18" fillId="51" borderId="55" applyNumberFormat="0" applyProtection="0">
      <alignment vertical="center"/>
    </xf>
    <xf numFmtId="4" fontId="18" fillId="51" borderId="55" applyNumberFormat="0" applyProtection="0">
      <alignment vertical="center"/>
    </xf>
    <xf numFmtId="4" fontId="18" fillId="44" borderId="57" applyNumberFormat="0" applyProtection="0">
      <alignment horizontal="left" vertical="center" indent="1"/>
    </xf>
    <xf numFmtId="4" fontId="18" fillId="44" borderId="57" applyNumberFormat="0" applyProtection="0">
      <alignment horizontal="left" vertical="center" indent="1"/>
    </xf>
    <xf numFmtId="4" fontId="18" fillId="44" borderId="57" applyNumberFormat="0" applyProtection="0">
      <alignment horizontal="left" vertical="center" indent="1"/>
    </xf>
    <xf numFmtId="4" fontId="18" fillId="44" borderId="57" applyNumberFormat="0" applyProtection="0">
      <alignment horizontal="left" vertical="center" indent="1"/>
    </xf>
    <xf numFmtId="4" fontId="18" fillId="35" borderId="52" applyNumberFormat="0" applyProtection="0">
      <alignment horizontal="left" vertical="center" indent="1"/>
    </xf>
    <xf numFmtId="4" fontId="18" fillId="35" borderId="52" applyNumberFormat="0" applyProtection="0">
      <alignment horizontal="left" vertical="center" indent="1"/>
    </xf>
    <xf numFmtId="4" fontId="18" fillId="35" borderId="52" applyNumberFormat="0" applyProtection="0">
      <alignment horizontal="left" vertical="center" indent="1"/>
    </xf>
    <xf numFmtId="4" fontId="18" fillId="35" borderId="52" applyNumberFormat="0" applyProtection="0">
      <alignment horizontal="left" vertical="center" indent="1"/>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44" borderId="55" applyNumberFormat="0" applyProtection="0">
      <alignment horizontal="left" vertical="center" indent="1"/>
    </xf>
    <xf numFmtId="4" fontId="18" fillId="44" borderId="55" applyNumberFormat="0" applyProtection="0">
      <alignment horizontal="left" vertical="center" indent="1"/>
    </xf>
    <xf numFmtId="4" fontId="18" fillId="44" borderId="55" applyNumberFormat="0" applyProtection="0">
      <alignment horizontal="left" vertical="center" indent="1"/>
    </xf>
    <xf numFmtId="4" fontId="18" fillId="44" borderId="55" applyNumberFormat="0" applyProtection="0">
      <alignment horizontal="left" vertical="center" indent="1"/>
    </xf>
    <xf numFmtId="4" fontId="18" fillId="62" borderId="57" applyNumberFormat="0" applyProtection="0">
      <alignment horizontal="left" vertical="center" indent="1"/>
    </xf>
    <xf numFmtId="4" fontId="18" fillId="62" borderId="57" applyNumberFormat="0" applyProtection="0">
      <alignment horizontal="left" vertical="center" indent="1"/>
    </xf>
    <xf numFmtId="4" fontId="18" fillId="62" borderId="57" applyNumberFormat="0" applyProtection="0">
      <alignment horizontal="left" vertical="center" indent="1"/>
    </xf>
    <xf numFmtId="4" fontId="18" fillId="62" borderId="57" applyNumberFormat="0" applyProtection="0">
      <alignment horizontal="left" vertical="center" indent="1"/>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4" fontId="18" fillId="51" borderId="55" applyNumberFormat="0" applyProtection="0">
      <alignment horizontal="right" vertical="center"/>
    </xf>
    <xf numFmtId="0" fontId="18" fillId="0" borderId="0" applyNumberFormat="0" applyFont="0" applyFill="0" applyBorder="0" applyAlignment="0" applyProtection="0"/>
    <xf numFmtId="0" fontId="18" fillId="73" borderId="8">
      <alignment horizontal="left"/>
    </xf>
    <xf numFmtId="0" fontId="18" fillId="73" borderId="8">
      <alignment horizontal="left"/>
    </xf>
    <xf numFmtId="14" fontId="18" fillId="0" borderId="0" applyFill="0" applyBorder="0">
      <alignment horizontal="right"/>
      <protection hidden="1"/>
    </xf>
    <xf numFmtId="0" fontId="18" fillId="0" borderId="0"/>
    <xf numFmtId="186" fontId="18" fillId="0" borderId="0">
      <alignment horizontal="left"/>
    </xf>
    <xf numFmtId="0" fontId="18" fillId="45" borderId="0"/>
    <xf numFmtId="0" fontId="18" fillId="45" borderId="0">
      <alignment wrapText="1"/>
    </xf>
    <xf numFmtId="0" fontId="18" fillId="52" borderId="20">
      <alignment horizontal="center" vertical="center" wrapText="1"/>
      <protection hidden="1"/>
    </xf>
    <xf numFmtId="0" fontId="18" fillId="52" borderId="20">
      <alignment horizontal="center" vertical="center" wrapText="1"/>
      <protection hidden="1"/>
    </xf>
    <xf numFmtId="0" fontId="18" fillId="0" borderId="0" applyFill="0" applyBorder="0">
      <alignment vertical="top"/>
    </xf>
    <xf numFmtId="0" fontId="18" fillId="0" borderId="0" applyFill="0" applyBorder="0">
      <alignment horizontal="left" vertical="top" indent="1"/>
    </xf>
    <xf numFmtId="0" fontId="18" fillId="0" borderId="0" applyFill="0" applyBorder="0">
      <alignment horizontal="left" vertical="top" indent="2"/>
    </xf>
    <xf numFmtId="0" fontId="18" fillId="0" borderId="0" applyFill="0" applyBorder="0">
      <alignment horizontal="left" vertical="top" indent="3"/>
    </xf>
    <xf numFmtId="0" fontId="18" fillId="74" borderId="0" applyNumberFormat="0" applyFont="0" applyBorder="0" applyAlignment="0">
      <protection locked="0"/>
    </xf>
    <xf numFmtId="0" fontId="18" fillId="67" borderId="0" applyNumberFormat="0" applyFont="0" applyBorder="0" applyAlignment="0" applyProtection="0">
      <alignment horizontal="left"/>
    </xf>
    <xf numFmtId="0" fontId="18" fillId="0" borderId="0"/>
    <xf numFmtId="0" fontId="18" fillId="37" borderId="58"/>
    <xf numFmtId="0" fontId="18" fillId="37" borderId="58"/>
    <xf numFmtId="0" fontId="18" fillId="37" borderId="58"/>
    <xf numFmtId="14" fontId="18" fillId="0" borderId="59">
      <alignment horizontal="centerContinuous"/>
    </xf>
    <xf numFmtId="0" fontId="18" fillId="0" borderId="0" applyFont="0" applyFill="0" applyBorder="0">
      <alignment horizontal="right"/>
    </xf>
    <xf numFmtId="0" fontId="18" fillId="0" borderId="0" applyFill="0" applyBorder="0" applyAlignment="0" applyProtection="0"/>
    <xf numFmtId="170" fontId="18" fillId="0" borderId="0"/>
    <xf numFmtId="0" fontId="18" fillId="0" borderId="0"/>
    <xf numFmtId="331" fontId="18" fillId="0" borderId="0" applyFont="0" applyFill="0" applyBorder="0" applyAlignment="0" applyProtection="0"/>
    <xf numFmtId="332" fontId="18" fillId="0" borderId="0" applyFont="0" applyFill="0" applyBorder="0" applyAlignment="0" applyProtection="0"/>
    <xf numFmtId="333" fontId="18" fillId="0" borderId="0" applyFont="0" applyFill="0" applyBorder="0" applyAlignment="0" applyProtection="0"/>
    <xf numFmtId="3" fontId="18" fillId="0" borderId="0"/>
    <xf numFmtId="1" fontId="18" fillId="0" borderId="0" applyBorder="0">
      <alignment horizontal="left" vertical="top" wrapText="1"/>
    </xf>
    <xf numFmtId="186" fontId="18" fillId="0" borderId="0">
      <alignment horizontal="left"/>
    </xf>
    <xf numFmtId="0" fontId="18" fillId="0" borderId="0" applyFill="0" applyBorder="0">
      <alignment vertical="top"/>
    </xf>
    <xf numFmtId="0" fontId="18" fillId="0" borderId="0" applyFill="0" applyBorder="0">
      <alignment horizontal="left" vertical="top" indent="1"/>
    </xf>
    <xf numFmtId="0" fontId="18" fillId="0" borderId="0" applyFill="0" applyBorder="0">
      <alignment horizontal="left" vertical="top" indent="2"/>
    </xf>
    <xf numFmtId="0" fontId="18" fillId="0" borderId="0" applyFill="0" applyBorder="0">
      <alignment horizontal="left" vertical="top" indent="3"/>
    </xf>
    <xf numFmtId="0" fontId="18" fillId="0" borderId="0" applyFill="0" applyBorder="0">
      <alignment horizontal="left" vertical="top" indent="4"/>
    </xf>
    <xf numFmtId="3" fontId="18" fillId="0" borderId="0"/>
    <xf numFmtId="217" fontId="18" fillId="0" borderId="0"/>
    <xf numFmtId="3" fontId="18" fillId="0" borderId="0">
      <alignment vertical="center"/>
    </xf>
    <xf numFmtId="0" fontId="18" fillId="75" borderId="60">
      <alignment horizontal="center" wrapText="1"/>
    </xf>
    <xf numFmtId="0" fontId="18" fillId="55" borderId="20"/>
    <xf numFmtId="0" fontId="18" fillId="55" borderId="20"/>
    <xf numFmtId="0" fontId="18" fillId="0" borderId="0" applyBorder="0"/>
    <xf numFmtId="0" fontId="22" fillId="0" borderId="0">
      <alignment vertical="top"/>
    </xf>
    <xf numFmtId="0" fontId="18" fillId="0" borderId="0">
      <alignment vertical="top"/>
    </xf>
    <xf numFmtId="37" fontId="18" fillId="0" borderId="0" applyNumberFormat="0" applyFill="0" applyBorder="0" applyProtection="0"/>
    <xf numFmtId="0" fontId="18" fillId="0" borderId="0"/>
    <xf numFmtId="0" fontId="18" fillId="0" borderId="0">
      <alignment horizontal="left" indent="2"/>
    </xf>
    <xf numFmtId="0" fontId="18" fillId="0" borderId="0" applyNumberFormat="0" applyBorder="0" applyProtection="0">
      <alignment vertical="top"/>
    </xf>
    <xf numFmtId="0" fontId="18" fillId="0" borderId="0">
      <alignment vertical="top"/>
    </xf>
    <xf numFmtId="0" fontId="18" fillId="72" borderId="0"/>
    <xf numFmtId="0" fontId="18" fillId="0" borderId="0"/>
    <xf numFmtId="0" fontId="18" fillId="37" borderId="8"/>
    <xf numFmtId="0" fontId="18" fillId="37" borderId="8"/>
    <xf numFmtId="3" fontId="18" fillId="0" borderId="0"/>
    <xf numFmtId="3" fontId="18" fillId="0" borderId="0"/>
    <xf numFmtId="3" fontId="18" fillId="0" borderId="0"/>
    <xf numFmtId="334" fontId="18" fillId="0" borderId="61"/>
    <xf numFmtId="294" fontId="18" fillId="0" borderId="62" applyNumberFormat="0" applyFill="0" applyAlignment="0" applyProtection="0">
      <alignment vertical="center"/>
    </xf>
    <xf numFmtId="0" fontId="18" fillId="0" borderId="61"/>
    <xf numFmtId="3" fontId="18" fillId="0" borderId="0"/>
    <xf numFmtId="0" fontId="18" fillId="0" borderId="0">
      <alignment horizontal="center"/>
    </xf>
    <xf numFmtId="0" fontId="18" fillId="55" borderId="20">
      <alignment horizontal="right"/>
    </xf>
    <xf numFmtId="0" fontId="18" fillId="0" borderId="0" applyFill="0" applyBorder="0" applyProtection="0"/>
    <xf numFmtId="178" fontId="18" fillId="0" borderId="0" applyFill="0" applyBorder="0" applyProtection="0"/>
    <xf numFmtId="0" fontId="18" fillId="0" borderId="0" applyFill="0" applyBorder="0" applyProtection="0"/>
    <xf numFmtId="178" fontId="18" fillId="0" borderId="0" applyFill="0" applyBorder="0" applyProtection="0"/>
    <xf numFmtId="335" fontId="18" fillId="0" borderId="0" applyFill="0" applyBorder="0" applyProtection="0"/>
    <xf numFmtId="335" fontId="18" fillId="0" borderId="0" applyFill="0" applyBorder="0" applyProtection="0"/>
    <xf numFmtId="0" fontId="18" fillId="0" borderId="0" applyFill="0" applyBorder="0" applyProtection="0"/>
    <xf numFmtId="335" fontId="18" fillId="0" borderId="0" applyFill="0" applyBorder="0" applyProtection="0"/>
    <xf numFmtId="170" fontId="18" fillId="0" borderId="0" applyFill="0" applyBorder="0" applyProtection="0"/>
    <xf numFmtId="184" fontId="18" fillId="0" borderId="0" applyFill="0" applyBorder="0" applyProtection="0"/>
    <xf numFmtId="0" fontId="18" fillId="0" borderId="0" applyFill="0" applyBorder="0" applyProtection="0"/>
    <xf numFmtId="336" fontId="18" fillId="0" borderId="0" applyFill="0" applyBorder="0" applyProtection="0"/>
    <xf numFmtId="336" fontId="18" fillId="0" borderId="0" applyFill="0" applyBorder="0" applyProtection="0"/>
    <xf numFmtId="336" fontId="18" fillId="0" borderId="0" applyFill="0" applyBorder="0" applyProtection="0"/>
    <xf numFmtId="211" fontId="18" fillId="0" borderId="0" applyFill="0" applyBorder="0" applyProtection="0"/>
    <xf numFmtId="336" fontId="18" fillId="0" borderId="0" applyFill="0" applyBorder="0" applyProtection="0"/>
    <xf numFmtId="234" fontId="18" fillId="0" borderId="0" applyFill="0" applyBorder="0" applyProtection="0"/>
    <xf numFmtId="336" fontId="18" fillId="0" borderId="0" applyFill="0" applyBorder="0" applyProtection="0"/>
    <xf numFmtId="335" fontId="18" fillId="0" borderId="0" applyFill="0" applyBorder="0" applyProtection="0"/>
    <xf numFmtId="335" fontId="18" fillId="0" borderId="0" applyFill="0" applyBorder="0" applyProtection="0"/>
    <xf numFmtId="0" fontId="18" fillId="0" borderId="0" applyFill="0" applyBorder="0" applyProtection="0"/>
    <xf numFmtId="335" fontId="18" fillId="0" borderId="0" applyFill="0" applyBorder="0" applyProtection="0"/>
    <xf numFmtId="4" fontId="18" fillId="36" borderId="0">
      <alignment vertical="center"/>
    </xf>
    <xf numFmtId="0" fontId="18" fillId="0" borderId="0" applyFill="0" applyBorder="0" applyProtection="0">
      <alignment horizontal="center" vertical="center"/>
    </xf>
    <xf numFmtId="294" fontId="18" fillId="0" borderId="63" applyNumberFormat="0" applyFont="0" applyFill="0" applyAlignment="0" applyProtection="0">
      <alignment vertical="center"/>
    </xf>
    <xf numFmtId="0" fontId="18" fillId="0" borderId="0" applyBorder="0" applyProtection="0">
      <alignment vertical="center"/>
    </xf>
    <xf numFmtId="0" fontId="18" fillId="0" borderId="21" applyBorder="0" applyProtection="0">
      <alignment horizontal="right" vertical="center"/>
    </xf>
    <xf numFmtId="0" fontId="18" fillId="0" borderId="21" applyBorder="0" applyProtection="0">
      <alignment horizontal="right" vertical="center"/>
    </xf>
    <xf numFmtId="0" fontId="18" fillId="76" borderId="0" applyBorder="0" applyProtection="0">
      <alignment horizontal="centerContinuous" vertical="center"/>
    </xf>
    <xf numFmtId="0" fontId="18" fillId="77" borderId="21" applyBorder="0" applyProtection="0">
      <alignment horizontal="centerContinuous" vertical="center"/>
    </xf>
    <xf numFmtId="0" fontId="18" fillId="77" borderId="21" applyBorder="0" applyProtection="0">
      <alignment horizontal="centerContinuous" vertical="center"/>
    </xf>
    <xf numFmtId="0" fontId="18" fillId="0" borderId="0" applyBorder="0" applyProtection="0">
      <alignment vertical="center"/>
    </xf>
    <xf numFmtId="3" fontId="18" fillId="0" borderId="0" applyNumberFormat="0"/>
    <xf numFmtId="0" fontId="18" fillId="37" borderId="0" applyNumberFormat="0" applyFont="0" applyBorder="0" applyAlignment="0" applyProtection="0">
      <alignment vertical="center"/>
    </xf>
    <xf numFmtId="0" fontId="18" fillId="0" borderId="0" applyFill="0" applyBorder="0" applyProtection="0"/>
    <xf numFmtId="0" fontId="18" fillId="0" borderId="0" applyFill="0" applyBorder="0" applyProtection="0">
      <alignment horizontal="left"/>
    </xf>
    <xf numFmtId="0" fontId="18" fillId="0" borderId="0" applyNumberFormat="0" applyFont="0" applyFill="0" applyAlignment="0" applyProtection="0">
      <alignment vertical="center"/>
    </xf>
    <xf numFmtId="0" fontId="18" fillId="0" borderId="8" applyFill="0" applyBorder="0" applyProtection="0">
      <alignment horizontal="left" vertical="top"/>
    </xf>
    <xf numFmtId="0" fontId="18" fillId="0" borderId="8" applyFill="0" applyBorder="0" applyProtection="0">
      <alignment horizontal="left" vertical="top"/>
    </xf>
    <xf numFmtId="294" fontId="18" fillId="0" borderId="0" applyNumberFormat="0" applyFont="0" applyBorder="0" applyAlignment="0" applyProtection="0">
      <alignment vertical="center"/>
    </xf>
    <xf numFmtId="179" fontId="18" fillId="33" borderId="0" applyFont="0" applyFill="0" applyBorder="0" applyAlignment="0" applyProtection="0">
      <alignment vertical="center"/>
    </xf>
    <xf numFmtId="215" fontId="18" fillId="78" borderId="36" applyNumberFormat="0" applyAlignment="0" applyProtection="0">
      <alignment vertical="center"/>
    </xf>
    <xf numFmtId="0" fontId="18" fillId="0" borderId="0" applyFill="0" applyBorder="0" applyProtection="0">
      <alignment vertical="top"/>
    </xf>
    <xf numFmtId="2" fontId="18" fillId="0" borderId="0"/>
    <xf numFmtId="3" fontId="18" fillId="0" borderId="0"/>
    <xf numFmtId="0" fontId="18" fillId="0" borderId="0" applyNumberFormat="0" applyFont="0" applyBorder="0" applyAlignment="0"/>
    <xf numFmtId="49" fontId="18" fillId="0" borderId="21">
      <alignment vertical="center"/>
    </xf>
    <xf numFmtId="49" fontId="18" fillId="0" borderId="21">
      <alignment vertical="center"/>
    </xf>
    <xf numFmtId="227" fontId="18" fillId="0" borderId="0" applyNumberFormat="0" applyFont="0" applyFill="0" applyBorder="0" applyProtection="0">
      <alignment wrapText="1"/>
    </xf>
    <xf numFmtId="49" fontId="18" fillId="0" borderId="0" applyFill="0" applyBorder="0" applyAlignment="0"/>
    <xf numFmtId="49" fontId="18" fillId="0" borderId="0" applyFont="0" applyFill="0" applyBorder="0" applyAlignment="0" applyProtection="0">
      <alignment horizontal="center" vertical="center"/>
    </xf>
    <xf numFmtId="0" fontId="18" fillId="0" borderId="0" applyFont="0" applyFill="0" applyBorder="0" applyProtection="0"/>
    <xf numFmtId="177" fontId="18" fillId="0" borderId="0"/>
    <xf numFmtId="0" fontId="18" fillId="0" borderId="0" applyNumberFormat="0" applyFill="0" applyBorder="0" applyAlignment="0" applyProtection="0"/>
    <xf numFmtId="0" fontId="18" fillId="0" borderId="0" applyNumberFormat="0" applyFill="0" applyBorder="0" applyAlignment="0" applyProtection="0"/>
    <xf numFmtId="0" fontId="18" fillId="37" borderId="19" applyNumberFormat="0">
      <alignment vertical="center"/>
    </xf>
    <xf numFmtId="0" fontId="18" fillId="37" borderId="19" applyNumberFormat="0">
      <alignment vertical="center"/>
    </xf>
    <xf numFmtId="0" fontId="18" fillId="37" borderId="19" applyNumberFormat="0">
      <alignment vertical="center"/>
    </xf>
    <xf numFmtId="0" fontId="18" fillId="37" borderId="19" applyNumberFormat="0">
      <alignment vertical="center"/>
    </xf>
    <xf numFmtId="3" fontId="18" fillId="0" borderId="0"/>
    <xf numFmtId="0" fontId="18" fillId="0" borderId="0">
      <alignment horizontal="center"/>
    </xf>
    <xf numFmtId="0" fontId="18" fillId="0" borderId="0">
      <alignment horizontal="center"/>
    </xf>
    <xf numFmtId="0" fontId="18" fillId="0" borderId="0">
      <alignment horizontal="center"/>
    </xf>
    <xf numFmtId="0" fontId="18" fillId="37" borderId="0" applyNumberFormat="0" applyFont="0" applyBorder="0" applyAlignment="0"/>
    <xf numFmtId="0" fontId="18" fillId="0" borderId="0" applyBorder="0"/>
    <xf numFmtId="186" fontId="18" fillId="79" borderId="0" applyFill="0" applyBorder="0" applyAlignment="0" applyProtection="0">
      <alignment horizontal="left"/>
    </xf>
    <xf numFmtId="186" fontId="18" fillId="0" borderId="0" applyFill="0" applyBorder="0" applyAlignment="0" applyProtection="0">
      <alignment horizontal="left"/>
    </xf>
    <xf numFmtId="37" fontId="18" fillId="49" borderId="64" applyNumberFormat="0" applyBorder="0">
      <alignment horizontal="center"/>
    </xf>
    <xf numFmtId="37" fontId="18" fillId="49" borderId="64" applyNumberFormat="0" applyBorder="0">
      <alignment horizontal="center"/>
    </xf>
    <xf numFmtId="37" fontId="18" fillId="49" borderId="64" applyNumberFormat="0" applyBorder="0">
      <alignment horizontal="center"/>
    </xf>
    <xf numFmtId="37" fontId="18" fillId="49" borderId="64" applyNumberFormat="0" applyBorder="0">
      <alignment horizontal="center"/>
    </xf>
    <xf numFmtId="38" fontId="18" fillId="54" borderId="21" applyAlignment="0"/>
    <xf numFmtId="38" fontId="18" fillId="54" borderId="21" applyAlignment="0"/>
    <xf numFmtId="0" fontId="18" fillId="0" borderId="0"/>
    <xf numFmtId="217" fontId="18" fillId="0" borderId="33" applyNumberFormat="0" applyFont="0" applyFill="0" applyAlignment="0" applyProtection="0"/>
    <xf numFmtId="0" fontId="18" fillId="0" borderId="19">
      <alignment horizontal="right" wrapText="1"/>
    </xf>
    <xf numFmtId="0" fontId="18" fillId="0" borderId="19">
      <alignment horizontal="right" wrapText="1"/>
    </xf>
    <xf numFmtId="0" fontId="18" fillId="0" borderId="19">
      <alignment horizontal="right" wrapText="1"/>
    </xf>
    <xf numFmtId="0" fontId="18" fillId="0" borderId="19">
      <alignment horizontal="right" wrapText="1"/>
    </xf>
    <xf numFmtId="0" fontId="18" fillId="0" borderId="0"/>
    <xf numFmtId="3" fontId="18" fillId="0" borderId="21" applyNumberFormat="0"/>
    <xf numFmtId="3" fontId="18" fillId="0" borderId="21" applyNumberFormat="0"/>
    <xf numFmtId="177" fontId="18" fillId="0" borderId="61"/>
    <xf numFmtId="37" fontId="18" fillId="0" borderId="0" applyNumberFormat="0" applyFill="0" applyBorder="0" applyAlignment="0" applyProtection="0">
      <alignment horizontal="right"/>
    </xf>
    <xf numFmtId="0" fontId="18" fillId="40" borderId="20"/>
    <xf numFmtId="0" fontId="18" fillId="40" borderId="20"/>
    <xf numFmtId="0" fontId="18" fillId="0" borderId="0" applyFill="0" applyBorder="0">
      <alignment horizontal="center"/>
    </xf>
    <xf numFmtId="0" fontId="18" fillId="0" borderId="0" applyFill="0" applyBorder="0">
      <alignment horizontal="center" wrapText="1"/>
    </xf>
    <xf numFmtId="166" fontId="18" fillId="0" borderId="0" applyFont="0" applyFill="0" applyBorder="0" applyAlignment="0" applyProtection="0"/>
    <xf numFmtId="0" fontId="18" fillId="0" borderId="0"/>
    <xf numFmtId="0" fontId="18" fillId="0" borderId="0" applyAlignment="0"/>
    <xf numFmtId="0" fontId="18" fillId="0" borderId="0"/>
    <xf numFmtId="0" fontId="18" fillId="0" borderId="0" applyNumberFormat="0" applyFont="0" applyBorder="0" applyAlignment="0" applyProtection="0">
      <alignment vertical="center"/>
    </xf>
    <xf numFmtId="0" fontId="18" fillId="0" borderId="0"/>
    <xf numFmtId="37" fontId="18" fillId="36" borderId="0" applyNumberFormat="0" applyBorder="0" applyAlignment="0" applyProtection="0"/>
    <xf numFmtId="37" fontId="18" fillId="0" borderId="0"/>
    <xf numFmtId="3" fontId="18" fillId="0" borderId="42" applyProtection="0"/>
    <xf numFmtId="38" fontId="18" fillId="0" borderId="0">
      <alignment horizontal="right"/>
      <protection locked="0"/>
    </xf>
    <xf numFmtId="0" fontId="18" fillId="0" borderId="0" applyNumberFormat="0" applyFont="0" applyAlignment="0" applyProtection="0">
      <alignment vertical="center"/>
    </xf>
    <xf numFmtId="0" fontId="18" fillId="0" borderId="0" applyFont="0" applyFill="0" applyBorder="0" applyAlignment="0" applyProtection="0"/>
    <xf numFmtId="337" fontId="18" fillId="0" borderId="0">
      <protection hidden="1"/>
    </xf>
    <xf numFmtId="0" fontId="18" fillId="37" borderId="0" applyNumberFormat="0" applyFont="0" applyFill="0">
      <protection locked="0"/>
    </xf>
    <xf numFmtId="171" fontId="18" fillId="0" borderId="0" applyFont="0" applyFill="0" applyBorder="0" applyAlignment="0" applyProtection="0"/>
    <xf numFmtId="1" fontId="18" fillId="36" borderId="20" applyNumberFormat="0" applyFont="0" applyBorder="0" applyAlignment="0">
      <alignment horizontal="center" vertical="center" wrapText="1"/>
    </xf>
    <xf numFmtId="1" fontId="18" fillId="36" borderId="20" applyNumberFormat="0" applyFont="0" applyBorder="0" applyAlignment="0">
      <alignment horizontal="center" vertical="center" wrapText="1"/>
    </xf>
    <xf numFmtId="0" fontId="18" fillId="67" borderId="43">
      <alignment horizontal="center" vertical="top" wrapText="1"/>
    </xf>
    <xf numFmtId="0" fontId="18" fillId="67" borderId="43">
      <alignment horizontal="center" vertical="top" wrapText="1"/>
    </xf>
    <xf numFmtId="0" fontId="18" fillId="67" borderId="43">
      <alignment horizontal="center" vertical="top" wrapText="1"/>
    </xf>
    <xf numFmtId="0" fontId="18" fillId="67" borderId="43">
      <alignment horizontal="center" vertical="top" wrapText="1"/>
    </xf>
    <xf numFmtId="0" fontId="18" fillId="67" borderId="43">
      <alignment horizontal="center" vertical="top"/>
    </xf>
    <xf numFmtId="0" fontId="18" fillId="67" borderId="43">
      <alignment horizontal="center" vertical="top"/>
    </xf>
    <xf numFmtId="0" fontId="18" fillId="67" borderId="43">
      <alignment horizontal="center" vertical="top"/>
    </xf>
    <xf numFmtId="0" fontId="18" fillId="67" borderId="43">
      <alignment horizontal="center" vertical="top"/>
    </xf>
    <xf numFmtId="0" fontId="18" fillId="67" borderId="43">
      <alignment vertical="top" wrapText="1"/>
    </xf>
    <xf numFmtId="0" fontId="18" fillId="67" borderId="43">
      <alignment vertical="top" wrapText="1"/>
    </xf>
    <xf numFmtId="0" fontId="18" fillId="67" borderId="43">
      <alignment vertical="top" wrapText="1"/>
    </xf>
    <xf numFmtId="0" fontId="18" fillId="67" borderId="43">
      <alignment vertical="top" wrapText="1"/>
    </xf>
    <xf numFmtId="17" fontId="18" fillId="67" borderId="43">
      <alignment horizontal="center" vertical="top"/>
    </xf>
    <xf numFmtId="17" fontId="18" fillId="67" borderId="43">
      <alignment horizontal="center" vertical="top"/>
    </xf>
    <xf numFmtId="17" fontId="18" fillId="67" borderId="43">
      <alignment horizontal="center" vertical="top"/>
    </xf>
    <xf numFmtId="17" fontId="18" fillId="67" borderId="43">
      <alignment horizontal="center" vertical="top"/>
    </xf>
    <xf numFmtId="0" fontId="18" fillId="67" borderId="43">
      <alignment horizontal="centerContinuous" vertical="top" wrapText="1"/>
    </xf>
    <xf numFmtId="0" fontId="18" fillId="67" borderId="43">
      <alignment horizontal="centerContinuous" vertical="top" wrapText="1"/>
    </xf>
    <xf numFmtId="0" fontId="18" fillId="67" borderId="43">
      <alignment horizontal="centerContinuous" vertical="top" wrapText="1"/>
    </xf>
    <xf numFmtId="0" fontId="18" fillId="67" borderId="43">
      <alignment horizontal="centerContinuous" vertical="top" wrapText="1"/>
    </xf>
    <xf numFmtId="0" fontId="18" fillId="67" borderId="43">
      <alignment horizontal="center" vertical="top"/>
    </xf>
    <xf numFmtId="0" fontId="18" fillId="67" borderId="43">
      <alignment horizontal="center" vertical="top"/>
    </xf>
    <xf numFmtId="0" fontId="18" fillId="67" borderId="43">
      <alignment horizontal="center" vertical="top"/>
    </xf>
    <xf numFmtId="0" fontId="18" fillId="67" borderId="43">
      <alignment horizontal="center" vertical="top"/>
    </xf>
    <xf numFmtId="0" fontId="18" fillId="67" borderId="43">
      <alignment horizontal="center" textRotation="90"/>
    </xf>
    <xf numFmtId="0" fontId="18" fillId="67" borderId="43">
      <alignment horizontal="center" textRotation="90"/>
    </xf>
    <xf numFmtId="0" fontId="18" fillId="67" borderId="43">
      <alignment horizontal="center" textRotation="90"/>
    </xf>
    <xf numFmtId="0" fontId="18" fillId="67" borderId="43">
      <alignment horizontal="center" textRotation="90"/>
    </xf>
    <xf numFmtId="338" fontId="18" fillId="67" borderId="43">
      <alignment horizontal="center" vertical="top"/>
    </xf>
    <xf numFmtId="338" fontId="18" fillId="67" borderId="43">
      <alignment horizontal="center" vertical="top"/>
    </xf>
    <xf numFmtId="338" fontId="18" fillId="67" borderId="43">
      <alignment horizontal="center" vertical="top"/>
    </xf>
    <xf numFmtId="338" fontId="18" fillId="67" borderId="43">
      <alignment horizontal="center" vertical="top"/>
    </xf>
    <xf numFmtId="0" fontId="18" fillId="0" borderId="0">
      <alignment horizontal="center" vertical="top"/>
    </xf>
    <xf numFmtId="0" fontId="18" fillId="0" borderId="0" applyFont="0" applyFill="0" applyBorder="0" applyAlignment="0" applyProtection="0">
      <alignment horizontal="right"/>
    </xf>
    <xf numFmtId="0" fontId="18" fillId="65" borderId="0"/>
    <xf numFmtId="0" fontId="18" fillId="0" borderId="21">
      <alignment horizontal="right"/>
    </xf>
    <xf numFmtId="0" fontId="18" fillId="0" borderId="21">
      <alignment horizontal="right"/>
    </xf>
    <xf numFmtId="0" fontId="18" fillId="0" borderId="0" applyFill="0" applyBorder="0" applyProtection="0"/>
    <xf numFmtId="339" fontId="18" fillId="0" borderId="0" applyFill="0" applyBorder="0" applyProtection="0"/>
    <xf numFmtId="0" fontId="18" fillId="0" borderId="21">
      <alignment horizontal="right"/>
    </xf>
    <xf numFmtId="338" fontId="18" fillId="0" borderId="0"/>
    <xf numFmtId="340" fontId="18" fillId="0" borderId="21">
      <alignment horizontal="right"/>
    </xf>
    <xf numFmtId="340" fontId="18" fillId="0" borderId="21">
      <alignment horizontal="right"/>
    </xf>
    <xf numFmtId="0" fontId="18" fillId="0" borderId="0" applyFill="0" applyProtection="0"/>
    <xf numFmtId="0" fontId="18" fillId="80" borderId="65" applyNumberFormat="0" applyFont="0" applyBorder="0" applyAlignment="0" applyProtection="0">
      <alignment horizontal="right"/>
    </xf>
    <xf numFmtId="0" fontId="18" fillId="0" borderId="0" applyFont="0" applyFill="0" applyBorder="0" applyAlignment="0" applyProtection="0"/>
    <xf numFmtId="0" fontId="18" fillId="64" borderId="20" applyNumberFormat="0" applyFont="0" applyBorder="0" applyAlignment="0" applyProtection="0">
      <alignment horizontal="center"/>
    </xf>
    <xf numFmtId="0" fontId="18" fillId="64" borderId="20" applyNumberFormat="0" applyFont="0" applyBorder="0" applyAlignment="0" applyProtection="0">
      <alignment horizontal="center"/>
    </xf>
    <xf numFmtId="259" fontId="18" fillId="0" borderId="0" applyBorder="0" applyProtection="0"/>
    <xf numFmtId="259" fontId="18" fillId="0" borderId="0" applyBorder="0"/>
    <xf numFmtId="0" fontId="18" fillId="58" borderId="0" applyNumberFormat="0" applyFont="0" applyBorder="0" applyAlignment="0">
      <alignment vertical="top"/>
      <protection locked="0"/>
    </xf>
    <xf numFmtId="0" fontId="18" fillId="44" borderId="0" applyNumberFormat="0" applyFont="0" applyBorder="0" applyAlignment="0">
      <alignment vertical="top"/>
    </xf>
    <xf numFmtId="0" fontId="18" fillId="0" borderId="0"/>
    <xf numFmtId="0" fontId="18" fillId="0" borderId="0"/>
    <xf numFmtId="183" fontId="18" fillId="0" borderId="0" applyFont="0" applyFill="0" applyBorder="0" applyAlignment="0" applyProtection="0"/>
    <xf numFmtId="341" fontId="18" fillId="0" borderId="0" applyFont="0" applyFill="0" applyBorder="0" applyAlignment="0" applyProtection="0"/>
    <xf numFmtId="0" fontId="18" fillId="0" borderId="0" applyFont="0" applyFill="0" applyBorder="0" applyAlignment="0" applyProtection="0"/>
    <xf numFmtId="0" fontId="18" fillId="0" borderId="0"/>
    <xf numFmtId="170" fontId="18" fillId="0" borderId="0" applyFont="0" applyFill="0" applyBorder="0" applyAlignment="0" applyProtection="0"/>
    <xf numFmtId="172" fontId="18" fillId="0" borderId="0" applyFont="0" applyFill="0" applyBorder="0" applyAlignment="0" applyProtection="0"/>
    <xf numFmtId="0" fontId="18" fillId="0" borderId="0"/>
    <xf numFmtId="172" fontId="18" fillId="0" borderId="0" applyFont="0" applyFill="0" applyBorder="0" applyAlignment="0" applyProtection="0"/>
    <xf numFmtId="170" fontId="18" fillId="0" borderId="0" applyFont="0" applyFill="0" applyBorder="0" applyAlignment="0" applyProtection="0"/>
    <xf numFmtId="0" fontId="18" fillId="0" borderId="0"/>
    <xf numFmtId="169" fontId="18" fillId="0" borderId="0" applyFont="0" applyFill="0" applyBorder="0" applyAlignment="0" applyProtection="0"/>
    <xf numFmtId="171" fontId="18" fillId="0" borderId="0" applyFont="0" applyFill="0" applyBorder="0" applyAlignment="0" applyProtection="0"/>
    <xf numFmtId="0" fontId="18" fillId="0" borderId="0" applyFont="0" applyFill="0" applyBorder="0" applyAlignment="0" applyProtection="0"/>
    <xf numFmtId="342" fontId="18" fillId="0" borderId="0" applyFont="0" applyFill="0" applyBorder="0" applyAlignment="0" applyProtection="0"/>
    <xf numFmtId="172" fontId="1" fillId="0" borderId="0" applyFont="0" applyFill="0" applyBorder="0" applyAlignment="0" applyProtection="0"/>
    <xf numFmtId="0" fontId="1" fillId="0" borderId="0"/>
    <xf numFmtId="0" fontId="20" fillId="0" borderId="0"/>
    <xf numFmtId="0" fontId="20" fillId="0" borderId="0"/>
    <xf numFmtId="0" fontId="8" fillId="5" borderId="2" applyNumberFormat="0" applyAlignment="0" applyProtection="0"/>
    <xf numFmtId="0" fontId="18" fillId="59" borderId="84" applyNumberFormat="0" applyAlignment="0">
      <protection locked="0"/>
    </xf>
    <xf numFmtId="0" fontId="24" fillId="0" borderId="0"/>
    <xf numFmtId="0" fontId="3" fillId="0" borderId="1" applyNumberFormat="0" applyFill="0" applyAlignment="0" applyProtection="0"/>
    <xf numFmtId="10" fontId="18" fillId="34" borderId="9" applyNumberFormat="0" applyBorder="0" applyAlignment="0">
      <alignment horizontal="center"/>
      <protection locked="0"/>
    </xf>
    <xf numFmtId="172" fontId="18" fillId="0" borderId="0" applyFont="0" applyFill="0" applyBorder="0" applyAlignment="0" applyProtection="0"/>
    <xf numFmtId="0" fontId="18" fillId="0" borderId="0">
      <alignment horizontal="center"/>
    </xf>
    <xf numFmtId="239" fontId="18" fillId="44" borderId="15">
      <alignment horizontal="center" vertical="center"/>
    </xf>
    <xf numFmtId="37" fontId="18" fillId="0" borderId="9" applyNumberFormat="0" applyFont="0" applyFill="0" applyAlignment="0" applyProtection="0"/>
    <xf numFmtId="0" fontId="18" fillId="0" borderId="9" applyNumberFormat="0" applyFont="0" applyFill="0" applyAlignment="0" applyProtection="0"/>
    <xf numFmtId="0" fontId="18" fillId="0" borderId="25">
      <alignment horizontal="right"/>
    </xf>
    <xf numFmtId="217" fontId="18" fillId="0" borderId="26" applyNumberFormat="0" applyFont="0" applyFill="0" applyAlignment="0" applyProtection="0"/>
    <xf numFmtId="0" fontId="18" fillId="48" borderId="67" applyNumberFormat="0" applyFont="0" applyBorder="0" applyAlignment="0" applyProtection="0">
      <alignment horizontal="left"/>
    </xf>
    <xf numFmtId="186" fontId="18" fillId="0" borderId="66" applyFill="0"/>
    <xf numFmtId="3" fontId="18" fillId="37" borderId="0">
      <protection hidden="1"/>
    </xf>
    <xf numFmtId="0" fontId="18" fillId="37" borderId="0">
      <protection hidden="1"/>
    </xf>
    <xf numFmtId="277" fontId="18" fillId="0" borderId="30"/>
    <xf numFmtId="14" fontId="18" fillId="0" borderId="68" applyFill="0" applyBorder="0"/>
    <xf numFmtId="3" fontId="18" fillId="0" borderId="33"/>
    <xf numFmtId="3" fontId="18" fillId="0" borderId="0" applyFont="0" applyFill="0" applyBorder="0" applyAlignment="0" applyProtection="0"/>
    <xf numFmtId="0" fontId="18" fillId="0" borderId="0" applyFont="0" applyFill="0" applyBorder="0" applyAlignment="0" applyProtection="0"/>
    <xf numFmtId="0" fontId="18" fillId="33" borderId="33">
      <alignment vertical="center"/>
    </xf>
    <xf numFmtId="0" fontId="18" fillId="33" borderId="33">
      <alignment vertical="center"/>
    </xf>
    <xf numFmtId="0" fontId="18" fillId="33" borderId="33">
      <alignment horizontal="right" vertical="center"/>
    </xf>
    <xf numFmtId="3" fontId="18" fillId="36" borderId="0">
      <protection locked="0"/>
    </xf>
    <xf numFmtId="0" fontId="18" fillId="0" borderId="69" applyNumberFormat="0" applyAlignment="0" applyProtection="0">
      <alignment horizontal="left" vertical="center"/>
    </xf>
    <xf numFmtId="0" fontId="18" fillId="0" borderId="41" applyNumberFormat="0" applyFill="0" applyBorder="0" applyAlignment="0" applyProtection="0">
      <alignment horizontal="left"/>
    </xf>
    <xf numFmtId="3" fontId="18" fillId="36" borderId="0"/>
    <xf numFmtId="3" fontId="18" fillId="36" borderId="0"/>
    <xf numFmtId="0" fontId="18" fillId="0" borderId="49" applyFont="0" applyFill="0" applyBorder="0" applyAlignment="0" applyProtection="0"/>
    <xf numFmtId="343" fontId="18" fillId="0" borderId="0" applyFont="0" applyFill="0" applyBorder="0" applyAlignment="0" applyProtection="0"/>
    <xf numFmtId="0" fontId="18" fillId="0" borderId="9"/>
    <xf numFmtId="319" fontId="18" fillId="0" borderId="30"/>
    <xf numFmtId="0" fontId="18" fillId="0" borderId="25">
      <alignment horizontal="right"/>
    </xf>
    <xf numFmtId="0" fontId="18" fillId="33" borderId="70"/>
    <xf numFmtId="0" fontId="18" fillId="33" borderId="70"/>
    <xf numFmtId="3" fontId="18" fillId="0" borderId="0"/>
    <xf numFmtId="9" fontId="18" fillId="0" borderId="33"/>
    <xf numFmtId="9" fontId="18" fillId="0" borderId="33"/>
    <xf numFmtId="9" fontId="18" fillId="0" borderId="0"/>
    <xf numFmtId="0" fontId="18" fillId="0" borderId="9">
      <alignment horizontal="center"/>
    </xf>
    <xf numFmtId="186" fontId="18" fillId="0" borderId="71" applyNumberFormat="0" applyFont="0" applyFill="0" applyBorder="0" applyAlignment="0"/>
    <xf numFmtId="0" fontId="18" fillId="37" borderId="58"/>
    <xf numFmtId="0" fontId="18" fillId="37" borderId="58"/>
    <xf numFmtId="0" fontId="18" fillId="37" borderId="58"/>
    <xf numFmtId="14" fontId="18" fillId="0" borderId="59">
      <alignment horizontal="centerContinuous"/>
    </xf>
    <xf numFmtId="217" fontId="18" fillId="0" borderId="0"/>
    <xf numFmtId="0" fontId="18" fillId="75" borderId="60">
      <alignment horizontal="center" wrapText="1"/>
    </xf>
    <xf numFmtId="334" fontId="18" fillId="0" borderId="61"/>
    <xf numFmtId="3" fontId="18" fillId="0" borderId="0"/>
    <xf numFmtId="217" fontId="18" fillId="0" borderId="33" applyNumberFormat="0" applyFont="0" applyFill="0" applyAlignment="0" applyProtection="0"/>
    <xf numFmtId="177" fontId="18" fillId="0" borderId="61"/>
    <xf numFmtId="0" fontId="18" fillId="0" borderId="0"/>
    <xf numFmtId="0" fontId="18" fillId="0" borderId="0" applyAlignment="0"/>
    <xf numFmtId="0" fontId="18" fillId="0" borderId="0"/>
    <xf numFmtId="344" fontId="18" fillId="0" borderId="0" applyFont="0" applyFill="0" applyBorder="0" applyAlignment="0" applyProtection="0"/>
    <xf numFmtId="345" fontId="18" fillId="0" borderId="0" applyFont="0" applyFill="0" applyBorder="0" applyAlignment="0" applyProtection="0"/>
    <xf numFmtId="3" fontId="18" fillId="46" borderId="75"/>
    <xf numFmtId="179" fontId="18" fillId="0" borderId="75"/>
    <xf numFmtId="0" fontId="18" fillId="36" borderId="75">
      <alignment horizontal="right"/>
    </xf>
    <xf numFmtId="0" fontId="25" fillId="0" borderId="0"/>
    <xf numFmtId="0" fontId="26" fillId="83" borderId="0" applyNumberFormat="0" applyBorder="0" applyAlignment="0" applyProtection="0"/>
    <xf numFmtId="0" fontId="18" fillId="0" borderId="75" applyNumberFormat="0" applyFont="0" applyFill="0" applyBorder="0" applyAlignment="0">
      <alignment horizontal="center"/>
    </xf>
    <xf numFmtId="0" fontId="18" fillId="0" borderId="75" applyNumberFormat="0" applyFont="0" applyFill="0" applyBorder="0" applyAlignment="0">
      <alignment horizontal="center"/>
    </xf>
    <xf numFmtId="0" fontId="18" fillId="37" borderId="78" applyNumberFormat="0" applyFill="0" applyBorder="0" applyAlignment="0" applyProtection="0">
      <alignment horizontal="left" vertical="center" wrapText="1"/>
    </xf>
    <xf numFmtId="0" fontId="18" fillId="0" borderId="79" applyNumberFormat="0" applyFill="0"/>
    <xf numFmtId="0" fontId="18" fillId="0" borderId="79" applyNumberFormat="0" applyFill="0"/>
    <xf numFmtId="0" fontId="18" fillId="0" borderId="79" applyNumberFormat="0" applyFill="0"/>
    <xf numFmtId="0" fontId="18" fillId="0" borderId="79" applyNumberFormat="0" applyFill="0"/>
    <xf numFmtId="0" fontId="18" fillId="0" borderId="75" applyNumberFormat="0">
      <alignment horizontal="center" vertical="center"/>
    </xf>
    <xf numFmtId="0" fontId="18" fillId="0" borderId="75" applyNumberFormat="0">
      <alignment horizontal="center" vertical="center"/>
    </xf>
    <xf numFmtId="277" fontId="18" fillId="0" borderId="80"/>
    <xf numFmtId="0" fontId="18" fillId="0" borderId="81">
      <protection locked="0"/>
    </xf>
    <xf numFmtId="0" fontId="18" fillId="0" borderId="81">
      <protection locked="0"/>
    </xf>
    <xf numFmtId="0" fontId="18" fillId="0" borderId="81">
      <protection locked="0"/>
    </xf>
    <xf numFmtId="0" fontId="18" fillId="0" borderId="81">
      <protection locked="0"/>
    </xf>
    <xf numFmtId="0" fontId="18" fillId="36" borderId="75">
      <alignment horizontal="right"/>
    </xf>
    <xf numFmtId="179" fontId="18" fillId="0" borderId="75"/>
    <xf numFmtId="0" fontId="18" fillId="0" borderId="75"/>
    <xf numFmtId="0" fontId="18" fillId="0" borderId="75"/>
    <xf numFmtId="3" fontId="18" fillId="35" borderId="75"/>
    <xf numFmtId="3" fontId="18" fillId="35" borderId="75"/>
    <xf numFmtId="288" fontId="18" fillId="55" borderId="75" applyNumberFormat="0" applyFont="0" applyBorder="0" applyAlignment="0" applyProtection="0"/>
    <xf numFmtId="288" fontId="18" fillId="55" borderId="75" applyNumberFormat="0" applyFont="0" applyBorder="0" applyAlignment="0" applyProtection="0"/>
    <xf numFmtId="0" fontId="18" fillId="54" borderId="75" applyNumberFormat="0" applyFont="0" applyBorder="0" applyAlignment="0" applyProtection="0"/>
    <xf numFmtId="0" fontId="18" fillId="54" borderId="75" applyNumberFormat="0" applyFont="0" applyBorder="0" applyAlignment="0" applyProtection="0"/>
    <xf numFmtId="0" fontId="18" fillId="36" borderId="82">
      <alignment vertical="top"/>
      <protection locked="0"/>
    </xf>
    <xf numFmtId="0" fontId="18" fillId="36" borderId="82">
      <alignment vertical="top"/>
      <protection locked="0"/>
    </xf>
    <xf numFmtId="0" fontId="18" fillId="36" borderId="82">
      <alignment vertical="top"/>
      <protection locked="0"/>
    </xf>
    <xf numFmtId="0" fontId="18" fillId="36" borderId="82">
      <alignment vertical="top"/>
      <protection locked="0"/>
    </xf>
    <xf numFmtId="245" fontId="18" fillId="36" borderId="82">
      <alignment vertical="top"/>
      <protection locked="0"/>
    </xf>
    <xf numFmtId="245" fontId="18" fillId="36" borderId="82">
      <alignment vertical="top"/>
      <protection locked="0"/>
    </xf>
    <xf numFmtId="245" fontId="18" fillId="36" borderId="82">
      <alignment vertical="top"/>
      <protection locked="0"/>
    </xf>
    <xf numFmtId="245" fontId="18" fillId="36" borderId="82">
      <alignment vertical="top"/>
      <protection locked="0"/>
    </xf>
    <xf numFmtId="246" fontId="18" fillId="36" borderId="82">
      <alignment vertical="top"/>
      <protection locked="0"/>
    </xf>
    <xf numFmtId="246" fontId="18" fillId="36" borderId="82">
      <alignment vertical="top"/>
      <protection locked="0"/>
    </xf>
    <xf numFmtId="246" fontId="18" fillId="36" borderId="82">
      <alignment vertical="top"/>
      <protection locked="0"/>
    </xf>
    <xf numFmtId="246" fontId="18" fillId="36" borderId="82">
      <alignment vertical="top"/>
      <protection locked="0"/>
    </xf>
    <xf numFmtId="247" fontId="18" fillId="36" borderId="82">
      <alignment vertical="top"/>
      <protection locked="0"/>
    </xf>
    <xf numFmtId="247" fontId="18" fillId="36" borderId="82">
      <alignment vertical="top"/>
      <protection locked="0"/>
    </xf>
    <xf numFmtId="247" fontId="18" fillId="36" borderId="82">
      <alignment vertical="top"/>
      <protection locked="0"/>
    </xf>
    <xf numFmtId="247" fontId="18" fillId="36" borderId="82">
      <alignment vertical="top"/>
      <protection locked="0"/>
    </xf>
    <xf numFmtId="248" fontId="18" fillId="36" borderId="82">
      <alignment vertical="top"/>
      <protection locked="0"/>
    </xf>
    <xf numFmtId="248" fontId="18" fillId="36" borderId="82">
      <alignment vertical="top"/>
      <protection locked="0"/>
    </xf>
    <xf numFmtId="248" fontId="18" fillId="36" borderId="82">
      <alignment vertical="top"/>
      <protection locked="0"/>
    </xf>
    <xf numFmtId="248" fontId="18" fillId="36" borderId="82">
      <alignment vertical="top"/>
      <protection locked="0"/>
    </xf>
    <xf numFmtId="249" fontId="18" fillId="36" borderId="82">
      <alignment vertical="top"/>
      <protection locked="0"/>
    </xf>
    <xf numFmtId="249" fontId="18" fillId="36" borderId="82">
      <alignment vertical="top"/>
      <protection locked="0"/>
    </xf>
    <xf numFmtId="249" fontId="18" fillId="36" borderId="82">
      <alignment vertical="top"/>
      <protection locked="0"/>
    </xf>
    <xf numFmtId="249" fontId="18" fillId="36" borderId="82">
      <alignment vertical="top"/>
      <protection locked="0"/>
    </xf>
    <xf numFmtId="292" fontId="18" fillId="36" borderId="82">
      <alignment vertical="top"/>
      <protection locked="0"/>
    </xf>
    <xf numFmtId="292" fontId="18" fillId="36" borderId="82">
      <alignment vertical="top"/>
      <protection locked="0"/>
    </xf>
    <xf numFmtId="292" fontId="18" fillId="36" borderId="82">
      <alignment vertical="top"/>
      <protection locked="0"/>
    </xf>
    <xf numFmtId="292" fontId="18" fillId="36" borderId="82">
      <alignment vertical="top"/>
      <protection locked="0"/>
    </xf>
    <xf numFmtId="250" fontId="18" fillId="36" borderId="82">
      <alignment vertical="top"/>
      <protection locked="0"/>
    </xf>
    <xf numFmtId="250" fontId="18" fillId="36" borderId="82">
      <alignment vertical="top"/>
      <protection locked="0"/>
    </xf>
    <xf numFmtId="250" fontId="18" fillId="36" borderId="82">
      <alignment vertical="top"/>
      <protection locked="0"/>
    </xf>
    <xf numFmtId="250" fontId="18" fillId="36" borderId="82">
      <alignment vertical="top"/>
      <protection locked="0"/>
    </xf>
    <xf numFmtId="251" fontId="18" fillId="36" borderId="82">
      <alignment vertical="top"/>
      <protection locked="0"/>
    </xf>
    <xf numFmtId="251" fontId="18" fillId="36" borderId="82">
      <alignment vertical="top"/>
      <protection locked="0"/>
    </xf>
    <xf numFmtId="251" fontId="18" fillId="36" borderId="82">
      <alignment vertical="top"/>
      <protection locked="0"/>
    </xf>
    <xf numFmtId="17" fontId="18" fillId="36" borderId="82">
      <alignment vertical="top"/>
      <protection locked="0"/>
    </xf>
    <xf numFmtId="17" fontId="18" fillId="36" borderId="82">
      <alignment vertical="top"/>
      <protection locked="0"/>
    </xf>
    <xf numFmtId="17" fontId="18" fillId="36" borderId="82">
      <alignment vertical="top"/>
      <protection locked="0"/>
    </xf>
    <xf numFmtId="17" fontId="18" fillId="36" borderId="82">
      <alignment vertical="top"/>
      <protection locked="0"/>
    </xf>
    <xf numFmtId="20" fontId="18" fillId="36" borderId="82">
      <alignment vertical="top"/>
      <protection locked="0"/>
    </xf>
    <xf numFmtId="20" fontId="18" fillId="36" borderId="82">
      <alignment vertical="top"/>
      <protection locked="0"/>
    </xf>
    <xf numFmtId="20" fontId="18" fillId="36" borderId="82">
      <alignment vertical="top"/>
      <protection locked="0"/>
    </xf>
    <xf numFmtId="20" fontId="18" fillId="36" borderId="82">
      <alignment vertical="top"/>
      <protection locked="0"/>
    </xf>
    <xf numFmtId="179" fontId="18" fillId="0" borderId="75">
      <alignment horizontal="right"/>
    </xf>
    <xf numFmtId="179" fontId="18" fillId="0" borderId="75">
      <alignment horizontal="right"/>
    </xf>
    <xf numFmtId="0" fontId="18" fillId="0" borderId="75"/>
    <xf numFmtId="0" fontId="18" fillId="0" borderId="75"/>
    <xf numFmtId="0" fontId="18" fillId="0" borderId="75">
      <alignment horizontal="right"/>
    </xf>
    <xf numFmtId="0" fontId="18" fillId="0" borderId="75">
      <alignment horizontal="right"/>
    </xf>
    <xf numFmtId="0" fontId="18" fillId="0" borderId="75">
      <alignment horizontal="right"/>
    </xf>
    <xf numFmtId="0" fontId="18" fillId="0" borderId="75">
      <alignment horizontal="right"/>
    </xf>
    <xf numFmtId="0" fontId="18" fillId="0" borderId="75">
      <alignment horizontal="right"/>
    </xf>
    <xf numFmtId="0" fontId="18" fillId="0" borderId="75">
      <alignment horizontal="right"/>
    </xf>
    <xf numFmtId="0" fontId="18" fillId="0" borderId="75">
      <alignment horizontal="right"/>
    </xf>
    <xf numFmtId="0" fontId="18" fillId="0" borderId="75">
      <alignment horizontal="right"/>
    </xf>
    <xf numFmtId="0" fontId="18" fillId="0" borderId="75">
      <alignment horizontal="right"/>
    </xf>
    <xf numFmtId="9" fontId="18" fillId="0" borderId="75"/>
    <xf numFmtId="9" fontId="18" fillId="0" borderId="75"/>
    <xf numFmtId="3" fontId="18" fillId="0" borderId="75"/>
    <xf numFmtId="3" fontId="18" fillId="0" borderId="75"/>
    <xf numFmtId="10" fontId="18" fillId="0" borderId="75"/>
    <xf numFmtId="10" fontId="18" fillId="0" borderId="75"/>
    <xf numFmtId="3" fontId="18" fillId="0" borderId="75"/>
    <xf numFmtId="3" fontId="18" fillId="0" borderId="75"/>
    <xf numFmtId="4" fontId="18" fillId="0" borderId="75"/>
    <xf numFmtId="4" fontId="18" fillId="0" borderId="75"/>
    <xf numFmtId="10" fontId="18" fillId="35" borderId="75" applyNumberFormat="0" applyBorder="0" applyAlignment="0" applyProtection="0"/>
    <xf numFmtId="10" fontId="18" fillId="35" borderId="75" applyNumberFormat="0" applyBorder="0" applyAlignment="0" applyProtection="0"/>
    <xf numFmtId="0" fontId="18" fillId="0" borderId="83" applyNumberFormat="0" applyAlignment="0">
      <alignment vertical="center"/>
      <protection locked="0"/>
    </xf>
    <xf numFmtId="0" fontId="18" fillId="0" borderId="83" applyNumberFormat="0" applyAlignment="0">
      <alignment vertical="center"/>
      <protection locked="0"/>
    </xf>
    <xf numFmtId="0" fontId="18" fillId="0" borderId="83" applyNumberFormat="0" applyAlignment="0">
      <alignment vertical="center"/>
      <protection locked="0"/>
    </xf>
    <xf numFmtId="0" fontId="18" fillId="0" borderId="83" applyNumberFormat="0" applyAlignment="0">
      <alignment vertical="center"/>
      <protection locked="0"/>
    </xf>
    <xf numFmtId="294" fontId="18" fillId="56" borderId="83" applyNumberFormat="0" applyAlignment="0">
      <alignment vertical="center"/>
      <protection locked="0"/>
    </xf>
    <xf numFmtId="294" fontId="18" fillId="56" borderId="83" applyNumberFormat="0" applyAlignment="0">
      <alignment vertical="center"/>
      <protection locked="0"/>
    </xf>
    <xf numFmtId="294" fontId="18" fillId="56" borderId="83" applyNumberFormat="0" applyAlignment="0">
      <alignment vertical="center"/>
      <protection locked="0"/>
    </xf>
    <xf numFmtId="294" fontId="18" fillId="56" borderId="83" applyNumberFormat="0" applyAlignment="0">
      <alignment vertical="center"/>
      <protection locked="0"/>
    </xf>
    <xf numFmtId="0" fontId="18" fillId="57" borderId="84" applyNumberFormat="0" applyAlignment="0">
      <protection locked="0"/>
    </xf>
    <xf numFmtId="0" fontId="18" fillId="57" borderId="84" applyNumberFormat="0" applyAlignment="0">
      <protection locked="0"/>
    </xf>
    <xf numFmtId="0" fontId="18" fillId="57" borderId="84" applyNumberFormat="0" applyAlignment="0">
      <protection locked="0"/>
    </xf>
    <xf numFmtId="0" fontId="18" fillId="57" borderId="84" applyNumberFormat="0" applyAlignment="0">
      <protection locked="0"/>
    </xf>
    <xf numFmtId="0" fontId="18" fillId="0" borderId="85" applyNumberFormat="0" applyAlignment="0">
      <alignment vertical="center"/>
      <protection locked="0"/>
    </xf>
    <xf numFmtId="0" fontId="18" fillId="0" borderId="85" applyNumberFormat="0" applyAlignment="0">
      <alignment vertical="center"/>
      <protection locked="0"/>
    </xf>
    <xf numFmtId="0" fontId="18" fillId="0" borderId="85" applyNumberFormat="0" applyAlignment="0">
      <alignment vertical="center"/>
      <protection locked="0"/>
    </xf>
    <xf numFmtId="0" fontId="18" fillId="0" borderId="85" applyNumberFormat="0" applyAlignment="0">
      <alignment vertical="center"/>
      <protection locked="0"/>
    </xf>
    <xf numFmtId="0" fontId="18" fillId="59" borderId="84" applyNumberFormat="0" applyAlignment="0">
      <protection locked="0"/>
    </xf>
    <xf numFmtId="0" fontId="18" fillId="59" borderId="84" applyNumberFormat="0" applyAlignment="0">
      <protection locked="0"/>
    </xf>
    <xf numFmtId="0" fontId="18" fillId="59" borderId="84" applyNumberFormat="0" applyAlignment="0">
      <protection locked="0"/>
    </xf>
    <xf numFmtId="267" fontId="18" fillId="36" borderId="82">
      <alignment vertical="top"/>
      <protection locked="0"/>
    </xf>
    <xf numFmtId="267" fontId="18" fillId="36" borderId="82">
      <alignment vertical="top"/>
      <protection locked="0"/>
    </xf>
    <xf numFmtId="267" fontId="18" fillId="36" borderId="82">
      <alignment vertical="top"/>
      <protection locked="0"/>
    </xf>
    <xf numFmtId="267" fontId="18" fillId="36" borderId="82">
      <alignment vertical="top"/>
      <protection locked="0"/>
    </xf>
    <xf numFmtId="268" fontId="18" fillId="36" borderId="82">
      <alignment vertical="top"/>
      <protection locked="0"/>
    </xf>
    <xf numFmtId="268" fontId="18" fillId="36" borderId="82">
      <alignment vertical="top"/>
      <protection locked="0"/>
    </xf>
    <xf numFmtId="268" fontId="18" fillId="36" borderId="82">
      <alignment vertical="top"/>
      <protection locked="0"/>
    </xf>
    <xf numFmtId="269" fontId="18" fillId="36" borderId="82">
      <alignment vertical="top"/>
      <protection locked="0"/>
    </xf>
    <xf numFmtId="269" fontId="18" fillId="36" borderId="82">
      <alignment vertical="top"/>
      <protection locked="0"/>
    </xf>
    <xf numFmtId="269" fontId="18" fillId="36" borderId="82">
      <alignment vertical="top"/>
      <protection locked="0"/>
    </xf>
    <xf numFmtId="270" fontId="18" fillId="36" borderId="82">
      <alignment vertical="top"/>
      <protection locked="0"/>
    </xf>
    <xf numFmtId="270" fontId="18" fillId="36" borderId="82">
      <alignment vertical="top"/>
      <protection locked="0"/>
    </xf>
    <xf numFmtId="270" fontId="18" fillId="36" borderId="82">
      <alignment vertical="top"/>
      <protection locked="0"/>
    </xf>
    <xf numFmtId="270" fontId="18" fillId="36" borderId="82">
      <alignment vertical="top"/>
      <protection locked="0"/>
    </xf>
    <xf numFmtId="271" fontId="18" fillId="36" borderId="82">
      <alignment vertical="top"/>
      <protection locked="0"/>
    </xf>
    <xf numFmtId="271" fontId="18" fillId="36" borderId="82">
      <alignment vertical="top"/>
      <protection locked="0"/>
    </xf>
    <xf numFmtId="271" fontId="18" fillId="36" borderId="82">
      <alignment vertical="top"/>
      <protection locked="0"/>
    </xf>
    <xf numFmtId="271" fontId="18" fillId="36" borderId="82">
      <alignment vertical="top"/>
      <protection locked="0"/>
    </xf>
    <xf numFmtId="275" fontId="18" fillId="36" borderId="82">
      <alignment vertical="top"/>
      <protection locked="0"/>
    </xf>
    <xf numFmtId="275" fontId="18" fillId="36" borderId="82">
      <alignment vertical="top"/>
      <protection locked="0"/>
    </xf>
    <xf numFmtId="275" fontId="18" fillId="36" borderId="82">
      <alignment vertical="top"/>
      <protection locked="0"/>
    </xf>
    <xf numFmtId="275" fontId="18" fillId="36" borderId="82">
      <alignment vertical="top"/>
      <protection locked="0"/>
    </xf>
    <xf numFmtId="276" fontId="18" fillId="36" borderId="82">
      <alignment vertical="top"/>
      <protection locked="0"/>
    </xf>
    <xf numFmtId="276" fontId="18" fillId="36" borderId="82">
      <alignment vertical="top"/>
      <protection locked="0"/>
    </xf>
    <xf numFmtId="276" fontId="18" fillId="36" borderId="82">
      <alignment vertical="top"/>
      <protection locked="0"/>
    </xf>
    <xf numFmtId="276" fontId="18" fillId="36" borderId="82">
      <alignment vertical="top"/>
      <protection locked="0"/>
    </xf>
    <xf numFmtId="0" fontId="18" fillId="61" borderId="86">
      <alignment horizontal="left" vertical="center" wrapText="1"/>
    </xf>
    <xf numFmtId="0" fontId="18" fillId="61" borderId="86">
      <alignment horizontal="left" vertical="center" wrapText="1"/>
    </xf>
    <xf numFmtId="0" fontId="18" fillId="61" borderId="86">
      <alignment horizontal="left" vertical="center" wrapText="1"/>
    </xf>
    <xf numFmtId="0" fontId="18" fillId="61" borderId="86">
      <alignment horizontal="left" vertical="center" wrapText="1"/>
    </xf>
    <xf numFmtId="0" fontId="18" fillId="36" borderId="82">
      <alignment vertical="top"/>
    </xf>
    <xf numFmtId="0" fontId="18" fillId="36" borderId="82">
      <alignment vertical="top"/>
    </xf>
    <xf numFmtId="0" fontId="18" fillId="36" borderId="82">
      <alignment vertical="top"/>
    </xf>
    <xf numFmtId="0" fontId="18" fillId="36" borderId="82">
      <alignment vertical="top"/>
    </xf>
    <xf numFmtId="0" fontId="18" fillId="36" borderId="82">
      <alignment vertical="top" wrapText="1"/>
      <protection locked="0"/>
    </xf>
    <xf numFmtId="0" fontId="18" fillId="36" borderId="82">
      <alignment vertical="top" wrapText="1"/>
      <protection locked="0"/>
    </xf>
    <xf numFmtId="0" fontId="18" fillId="36" borderId="82">
      <alignment vertical="top" wrapText="1"/>
      <protection locked="0"/>
    </xf>
    <xf numFmtId="0" fontId="18" fillId="36" borderId="82">
      <alignment vertical="top" wrapText="1"/>
      <protection locked="0"/>
    </xf>
    <xf numFmtId="0" fontId="18" fillId="36" borderId="82">
      <alignment vertical="top"/>
      <protection locked="0"/>
    </xf>
    <xf numFmtId="0" fontId="18" fillId="36" borderId="82">
      <alignment vertical="top"/>
      <protection locked="0"/>
    </xf>
    <xf numFmtId="0" fontId="18" fillId="36" borderId="82">
      <alignment vertical="top"/>
      <protection locked="0"/>
    </xf>
    <xf numFmtId="299" fontId="18" fillId="48" borderId="75"/>
    <xf numFmtId="299" fontId="18" fillId="48" borderId="75"/>
    <xf numFmtId="0" fontId="18" fillId="0" borderId="75" applyNumberFormat="0" applyFont="0" applyBorder="0" applyAlignment="0" applyProtection="0">
      <alignment horizontal="center"/>
    </xf>
    <xf numFmtId="0" fontId="18" fillId="0" borderId="75" applyNumberFormat="0" applyFont="0" applyBorder="0" applyAlignment="0" applyProtection="0">
      <alignment horizontal="center"/>
    </xf>
    <xf numFmtId="319" fontId="18" fillId="0" borderId="80"/>
    <xf numFmtId="177" fontId="18" fillId="36" borderId="75"/>
    <xf numFmtId="177" fontId="18" fillId="36" borderId="75"/>
    <xf numFmtId="0" fontId="18" fillId="37" borderId="75">
      <alignment horizontal="right"/>
      <protection locked="0"/>
    </xf>
    <xf numFmtId="0" fontId="18" fillId="37" borderId="75">
      <alignment horizontal="right"/>
      <protection locked="0"/>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vertical="center"/>
    </xf>
    <xf numFmtId="4" fontId="18" fillId="36" borderId="88" applyNumberFormat="0" applyProtection="0">
      <alignment horizontal="left" vertical="center" indent="1"/>
    </xf>
    <xf numFmtId="4" fontId="18" fillId="36" borderId="88" applyNumberFormat="0" applyProtection="0">
      <alignment horizontal="left" vertical="center" indent="1"/>
    </xf>
    <xf numFmtId="4" fontId="18" fillId="36" borderId="88" applyNumberFormat="0" applyProtection="0">
      <alignment horizontal="left" vertical="center" indent="1"/>
    </xf>
    <xf numFmtId="4" fontId="18" fillId="36" borderId="87" applyNumberFormat="0" applyProtection="0">
      <alignment horizontal="left" vertical="center" indent="1"/>
    </xf>
    <xf numFmtId="4" fontId="18" fillId="36" borderId="87" applyNumberFormat="0" applyProtection="0">
      <alignment horizontal="left" vertical="center" indent="1"/>
    </xf>
    <xf numFmtId="4" fontId="18" fillId="36" borderId="87" applyNumberFormat="0" applyProtection="0">
      <alignment horizontal="left" vertical="center" indent="1"/>
    </xf>
    <xf numFmtId="4" fontId="18" fillId="64" borderId="88" applyNumberFormat="0" applyProtection="0">
      <alignment horizontal="right" vertical="center"/>
    </xf>
    <xf numFmtId="4" fontId="18" fillId="64" borderId="88" applyNumberFormat="0" applyProtection="0">
      <alignment horizontal="right" vertical="center"/>
    </xf>
    <xf numFmtId="4" fontId="18" fillId="64" borderId="88" applyNumberFormat="0" applyProtection="0">
      <alignment horizontal="right" vertical="center"/>
    </xf>
    <xf numFmtId="4" fontId="18" fillId="64" borderId="88" applyNumberFormat="0" applyProtection="0">
      <alignment horizontal="right" vertical="center"/>
    </xf>
    <xf numFmtId="4" fontId="18" fillId="65" borderId="88" applyNumberFormat="0" applyProtection="0">
      <alignment horizontal="right" vertical="center"/>
    </xf>
    <xf numFmtId="4" fontId="18" fillId="65" borderId="88" applyNumberFormat="0" applyProtection="0">
      <alignment horizontal="right" vertical="center"/>
    </xf>
    <xf numFmtId="4" fontId="18" fillId="65" borderId="88" applyNumberFormat="0" applyProtection="0">
      <alignment horizontal="right" vertical="center"/>
    </xf>
    <xf numFmtId="4" fontId="18" fillId="65" borderId="88" applyNumberFormat="0" applyProtection="0">
      <alignment horizontal="right" vertical="center"/>
    </xf>
    <xf numFmtId="4" fontId="18" fillId="46" borderId="88" applyNumberFormat="0" applyProtection="0">
      <alignment horizontal="right" vertical="center"/>
    </xf>
    <xf numFmtId="4" fontId="18" fillId="46" borderId="88" applyNumberFormat="0" applyProtection="0">
      <alignment horizontal="right" vertical="center"/>
    </xf>
    <xf numFmtId="4" fontId="18" fillId="46" borderId="88" applyNumberFormat="0" applyProtection="0">
      <alignment horizontal="right" vertical="center"/>
    </xf>
    <xf numFmtId="4" fontId="18" fillId="46" borderId="88" applyNumberFormat="0" applyProtection="0">
      <alignment horizontal="right" vertical="center"/>
    </xf>
    <xf numFmtId="4" fontId="18" fillId="55" borderId="88" applyNumberFormat="0" applyProtection="0">
      <alignment horizontal="right" vertical="center"/>
    </xf>
    <xf numFmtId="4" fontId="18" fillId="55" borderId="88" applyNumberFormat="0" applyProtection="0">
      <alignment horizontal="right" vertical="center"/>
    </xf>
    <xf numFmtId="4" fontId="18" fillId="55" borderId="88" applyNumberFormat="0" applyProtection="0">
      <alignment horizontal="right" vertical="center"/>
    </xf>
    <xf numFmtId="4" fontId="18" fillId="55" borderId="88" applyNumberFormat="0" applyProtection="0">
      <alignment horizontal="right" vertical="center"/>
    </xf>
    <xf numFmtId="4" fontId="18" fillId="66" borderId="88" applyNumberFormat="0" applyProtection="0">
      <alignment horizontal="right" vertical="center"/>
    </xf>
    <xf numFmtId="4" fontId="18" fillId="66" borderId="88" applyNumberFormat="0" applyProtection="0">
      <alignment horizontal="right" vertical="center"/>
    </xf>
    <xf numFmtId="4" fontId="18" fillId="67" borderId="88" applyNumberFormat="0" applyProtection="0">
      <alignment horizontal="right" vertical="center"/>
    </xf>
    <xf numFmtId="4" fontId="18" fillId="67" borderId="88" applyNumberFormat="0" applyProtection="0">
      <alignment horizontal="right" vertical="center"/>
    </xf>
    <xf numFmtId="4" fontId="18" fillId="67" borderId="88" applyNumberFormat="0" applyProtection="0">
      <alignment horizontal="right" vertical="center"/>
    </xf>
    <xf numFmtId="4" fontId="18" fillId="67" borderId="88" applyNumberFormat="0" applyProtection="0">
      <alignment horizontal="right" vertical="center"/>
    </xf>
    <xf numFmtId="4" fontId="18" fillId="68" borderId="88" applyNumberFormat="0" applyProtection="0">
      <alignment horizontal="right" vertical="center"/>
    </xf>
    <xf numFmtId="4" fontId="18" fillId="68" borderId="88" applyNumberFormat="0" applyProtection="0">
      <alignment horizontal="right" vertical="center"/>
    </xf>
    <xf numFmtId="4" fontId="18" fillId="68" borderId="88" applyNumberFormat="0" applyProtection="0">
      <alignment horizontal="right" vertical="center"/>
    </xf>
    <xf numFmtId="4" fontId="18" fillId="68" borderId="88" applyNumberFormat="0" applyProtection="0">
      <alignment horizontal="right" vertical="center"/>
    </xf>
    <xf numFmtId="4" fontId="18" fillId="69" borderId="88" applyNumberFormat="0" applyProtection="0">
      <alignment horizontal="right" vertical="center"/>
    </xf>
    <xf numFmtId="4" fontId="18" fillId="69" borderId="88" applyNumberFormat="0" applyProtection="0">
      <alignment horizontal="right" vertical="center"/>
    </xf>
    <xf numFmtId="4" fontId="18" fillId="69" borderId="88" applyNumberFormat="0" applyProtection="0">
      <alignment horizontal="right" vertical="center"/>
    </xf>
    <xf numFmtId="4" fontId="18" fillId="69" borderId="88" applyNumberFormat="0" applyProtection="0">
      <alignment horizontal="right" vertical="center"/>
    </xf>
    <xf numFmtId="4" fontId="18" fillId="70" borderId="88" applyNumberFormat="0" applyProtection="0">
      <alignment horizontal="right" vertical="center"/>
    </xf>
    <xf numFmtId="4" fontId="18" fillId="70" borderId="88" applyNumberFormat="0" applyProtection="0">
      <alignment horizontal="right" vertical="center"/>
    </xf>
    <xf numFmtId="4" fontId="18" fillId="70" borderId="88" applyNumberFormat="0" applyProtection="0">
      <alignment horizontal="right" vertical="center"/>
    </xf>
    <xf numFmtId="4" fontId="18" fillId="70" borderId="88" applyNumberFormat="0" applyProtection="0">
      <alignment horizontal="right" vertical="center"/>
    </xf>
    <xf numFmtId="4" fontId="18" fillId="44" borderId="88" applyNumberFormat="0" applyProtection="0">
      <alignment horizontal="right" vertical="center"/>
    </xf>
    <xf numFmtId="4" fontId="18" fillId="44" borderId="88" applyNumberFormat="0" applyProtection="0">
      <alignment horizontal="right" vertical="center"/>
    </xf>
    <xf numFmtId="4" fontId="18" fillId="44" borderId="88" applyNumberFormat="0" applyProtection="0">
      <alignment horizontal="right" vertical="center"/>
    </xf>
    <xf numFmtId="4" fontId="18" fillId="44" borderId="88" applyNumberFormat="0" applyProtection="0">
      <alignment horizontal="right" vertical="center"/>
    </xf>
    <xf numFmtId="0" fontId="18" fillId="72" borderId="87" applyNumberFormat="0" applyProtection="0">
      <alignment horizontal="left" vertical="center" indent="1"/>
    </xf>
    <xf numFmtId="0" fontId="18" fillId="72" borderId="87" applyNumberFormat="0" applyProtection="0">
      <alignment horizontal="left" vertical="center" indent="1"/>
    </xf>
    <xf numFmtId="0" fontId="18" fillId="72" borderId="87" applyNumberFormat="0" applyProtection="0">
      <alignment horizontal="left" vertical="center" indent="1"/>
    </xf>
    <xf numFmtId="0" fontId="18" fillId="72" borderId="87" applyNumberFormat="0" applyProtection="0">
      <alignment horizontal="left" vertical="center" indent="1"/>
    </xf>
    <xf numFmtId="0" fontId="18" fillId="38" borderId="87" applyNumberFormat="0" applyProtection="0">
      <alignment horizontal="left" vertical="center" indent="1"/>
    </xf>
    <xf numFmtId="0" fontId="18" fillId="38" borderId="87" applyNumberFormat="0" applyProtection="0">
      <alignment horizontal="left" vertical="center" indent="1"/>
    </xf>
    <xf numFmtId="0" fontId="18" fillId="38" borderId="87" applyNumberFormat="0" applyProtection="0">
      <alignment horizontal="left" vertical="center" indent="1"/>
    </xf>
    <xf numFmtId="0" fontId="18" fillId="38" borderId="87" applyNumberFormat="0" applyProtection="0">
      <alignment horizontal="left" vertical="center" indent="1"/>
    </xf>
    <xf numFmtId="0" fontId="18" fillId="37" borderId="87" applyNumberFormat="0" applyProtection="0">
      <alignment horizontal="left" vertical="center" indent="1"/>
    </xf>
    <xf numFmtId="0" fontId="18" fillId="37" borderId="87" applyNumberFormat="0" applyProtection="0">
      <alignment horizontal="left" vertical="center" indent="1"/>
    </xf>
    <xf numFmtId="0" fontId="18" fillId="37" borderId="87" applyNumberFormat="0" applyProtection="0">
      <alignment horizontal="left" vertical="center" indent="1"/>
    </xf>
    <xf numFmtId="0" fontId="18" fillId="37" borderId="87" applyNumberFormat="0" applyProtection="0">
      <alignment horizontal="left" vertical="center" indent="1"/>
    </xf>
    <xf numFmtId="0" fontId="18" fillId="48" borderId="87" applyNumberFormat="0" applyProtection="0">
      <alignment horizontal="left" vertical="center" indent="1"/>
    </xf>
    <xf numFmtId="0" fontId="18" fillId="48" borderId="87" applyNumberFormat="0" applyProtection="0">
      <alignment horizontal="left" vertical="center" indent="1"/>
    </xf>
    <xf numFmtId="0" fontId="18" fillId="48" borderId="87" applyNumberFormat="0" applyProtection="0">
      <alignment horizontal="left" vertical="center" indent="1"/>
    </xf>
    <xf numFmtId="0" fontId="18" fillId="48" borderId="87" applyNumberFormat="0" applyProtection="0">
      <alignment horizontal="left" vertical="center" indent="1"/>
    </xf>
    <xf numFmtId="4" fontId="18" fillId="51" borderId="88" applyNumberFormat="0" applyProtection="0">
      <alignment vertical="center"/>
    </xf>
    <xf numFmtId="4" fontId="18" fillId="51" borderId="88" applyNumberFormat="0" applyProtection="0">
      <alignment vertical="center"/>
    </xf>
    <xf numFmtId="4" fontId="18" fillId="51" borderId="88" applyNumberFormat="0" applyProtection="0">
      <alignment vertical="center"/>
    </xf>
    <xf numFmtId="4" fontId="18" fillId="51" borderId="88" applyNumberFormat="0" applyProtection="0">
      <alignment vertical="center"/>
    </xf>
    <xf numFmtId="4" fontId="18" fillId="51" borderId="88" applyNumberFormat="0" applyProtection="0">
      <alignment vertical="center"/>
    </xf>
    <xf numFmtId="4" fontId="18" fillId="51" borderId="88" applyNumberFormat="0" applyProtection="0">
      <alignment vertical="center"/>
    </xf>
    <xf numFmtId="4" fontId="18" fillId="51" borderId="88" applyNumberFormat="0" applyProtection="0">
      <alignment vertical="center"/>
    </xf>
    <xf numFmtId="4" fontId="18" fillId="51" borderId="88" applyNumberFormat="0" applyProtection="0">
      <alignment vertical="center"/>
    </xf>
    <xf numFmtId="4" fontId="18" fillId="44" borderId="89" applyNumberFormat="0" applyProtection="0">
      <alignment horizontal="left" vertical="center" indent="1"/>
    </xf>
    <xf numFmtId="4" fontId="18" fillId="44" borderId="89" applyNumberFormat="0" applyProtection="0">
      <alignment horizontal="left" vertical="center" indent="1"/>
    </xf>
    <xf numFmtId="4" fontId="18" fillId="44" borderId="89" applyNumberFormat="0" applyProtection="0">
      <alignment horizontal="left" vertical="center" indent="1"/>
    </xf>
    <xf numFmtId="4" fontId="18" fillId="44" borderId="89" applyNumberFormat="0" applyProtection="0">
      <alignment horizontal="left" vertical="center" indent="1"/>
    </xf>
    <xf numFmtId="4" fontId="18" fillId="35" borderId="87" applyNumberFormat="0" applyProtection="0">
      <alignment horizontal="left" vertical="center" indent="1"/>
    </xf>
    <xf numFmtId="4" fontId="18" fillId="35" borderId="87" applyNumberFormat="0" applyProtection="0">
      <alignment horizontal="left" vertical="center" indent="1"/>
    </xf>
    <xf numFmtId="4" fontId="18" fillId="35" borderId="87" applyNumberFormat="0" applyProtection="0">
      <alignment horizontal="left" vertical="center" indent="1"/>
    </xf>
    <xf numFmtId="4" fontId="18" fillId="35" borderId="87" applyNumberFormat="0" applyProtection="0">
      <alignment horizontal="left" vertical="center" indent="1"/>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4" fontId="18" fillId="44" borderId="88" applyNumberFormat="0" applyProtection="0">
      <alignment horizontal="left" vertical="center" indent="1"/>
    </xf>
    <xf numFmtId="4" fontId="18" fillId="44" borderId="88" applyNumberFormat="0" applyProtection="0">
      <alignment horizontal="left" vertical="center" indent="1"/>
    </xf>
    <xf numFmtId="4" fontId="18" fillId="44" borderId="88" applyNumberFormat="0" applyProtection="0">
      <alignment horizontal="left" vertical="center" indent="1"/>
    </xf>
    <xf numFmtId="4" fontId="18" fillId="44" borderId="88" applyNumberFormat="0" applyProtection="0">
      <alignment horizontal="left" vertical="center" indent="1"/>
    </xf>
    <xf numFmtId="4" fontId="18" fillId="62" borderId="89" applyNumberFormat="0" applyProtection="0">
      <alignment horizontal="left" vertical="center" indent="1"/>
    </xf>
    <xf numFmtId="4" fontId="18" fillId="62" borderId="89" applyNumberFormat="0" applyProtection="0">
      <alignment horizontal="left" vertical="center" indent="1"/>
    </xf>
    <xf numFmtId="4" fontId="18" fillId="62" borderId="89" applyNumberFormat="0" applyProtection="0">
      <alignment horizontal="left" vertical="center" indent="1"/>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4" fontId="18" fillId="51" borderId="88" applyNumberFormat="0" applyProtection="0">
      <alignment horizontal="right" vertical="center"/>
    </xf>
    <xf numFmtId="0" fontId="18" fillId="52" borderId="75">
      <alignment horizontal="center" vertical="center" wrapText="1"/>
      <protection hidden="1"/>
    </xf>
    <xf numFmtId="179" fontId="18" fillId="0" borderId="75" applyBorder="0"/>
    <xf numFmtId="179" fontId="18" fillId="0" borderId="75" applyBorder="0"/>
    <xf numFmtId="0" fontId="18" fillId="75" borderId="90">
      <alignment horizontal="center" wrapText="1"/>
    </xf>
    <xf numFmtId="0" fontId="18" fillId="55" borderId="75"/>
    <xf numFmtId="0" fontId="18" fillId="55" borderId="75"/>
    <xf numFmtId="334" fontId="18" fillId="0" borderId="91"/>
    <xf numFmtId="4" fontId="18" fillId="51" borderId="88" applyNumberFormat="0" applyProtection="0">
      <alignment horizontal="right" vertical="center"/>
    </xf>
    <xf numFmtId="0" fontId="18" fillId="36" borderId="82">
      <alignment vertical="top"/>
      <protection locked="0"/>
    </xf>
    <xf numFmtId="269" fontId="18" fillId="36" borderId="82">
      <alignment vertical="top"/>
      <protection locked="0"/>
    </xf>
    <xf numFmtId="0" fontId="18" fillId="52" borderId="75">
      <alignment horizontal="center" vertical="center" wrapText="1"/>
      <protection hidden="1"/>
    </xf>
    <xf numFmtId="268" fontId="18" fillId="36" borderId="82">
      <alignment vertical="top"/>
      <protection locked="0"/>
    </xf>
    <xf numFmtId="4" fontId="18" fillId="62" borderId="89" applyNumberFormat="0" applyProtection="0">
      <alignment horizontal="left" vertical="center" indent="1"/>
    </xf>
    <xf numFmtId="3" fontId="18" fillId="46" borderId="75"/>
    <xf numFmtId="14" fontId="18" fillId="0" borderId="32" applyFill="0" applyBorder="0"/>
    <xf numFmtId="0" fontId="18" fillId="0" borderId="73" applyNumberFormat="0" applyFill="0" applyBorder="0" applyAlignment="0" applyProtection="0">
      <alignment horizontal="left"/>
    </xf>
    <xf numFmtId="251" fontId="18" fillId="36" borderId="82">
      <alignment vertical="top"/>
      <protection locked="0"/>
    </xf>
    <xf numFmtId="0" fontId="18" fillId="0" borderId="75">
      <alignment horizontal="right"/>
    </xf>
    <xf numFmtId="0" fontId="18" fillId="33" borderId="53"/>
    <xf numFmtId="0" fontId="18" fillId="33" borderId="53"/>
    <xf numFmtId="4" fontId="18" fillId="36" borderId="88" applyNumberFormat="0" applyProtection="0">
      <alignment horizontal="left" vertical="center" indent="1"/>
    </xf>
    <xf numFmtId="4" fontId="18" fillId="36" borderId="87" applyNumberFormat="0" applyProtection="0">
      <alignment horizontal="left" vertical="center" indent="1"/>
    </xf>
    <xf numFmtId="4" fontId="18" fillId="66" borderId="88" applyNumberFormat="0" applyProtection="0">
      <alignment horizontal="right" vertical="center"/>
    </xf>
    <xf numFmtId="4" fontId="18" fillId="66" borderId="88" applyNumberFormat="0" applyProtection="0">
      <alignment horizontal="right" vertical="center"/>
    </xf>
    <xf numFmtId="37" fontId="18" fillId="49" borderId="92" applyNumberFormat="0" applyBorder="0">
      <alignment horizontal="center"/>
    </xf>
    <xf numFmtId="37" fontId="18" fillId="49" borderId="92" applyNumberFormat="0" applyBorder="0">
      <alignment horizontal="center"/>
    </xf>
    <xf numFmtId="37" fontId="18" fillId="49" borderId="92" applyNumberFormat="0" applyBorder="0">
      <alignment horizontal="center"/>
    </xf>
    <xf numFmtId="37" fontId="18" fillId="49" borderId="92" applyNumberFormat="0" applyBorder="0">
      <alignment horizontal="center"/>
    </xf>
    <xf numFmtId="177" fontId="18" fillId="0" borderId="91"/>
    <xf numFmtId="0" fontId="18" fillId="40" borderId="75"/>
    <xf numFmtId="0" fontId="18" fillId="40" borderId="75"/>
    <xf numFmtId="1" fontId="18" fillId="36" borderId="75" applyNumberFormat="0" applyFont="0" applyBorder="0" applyAlignment="0">
      <alignment horizontal="center" vertical="center" wrapText="1"/>
    </xf>
    <xf numFmtId="1" fontId="18" fillId="36" borderId="75" applyNumberFormat="0" applyFont="0" applyBorder="0" applyAlignment="0">
      <alignment horizontal="center" vertical="center" wrapText="1"/>
    </xf>
    <xf numFmtId="0" fontId="18" fillId="67" borderId="82">
      <alignment horizontal="center" vertical="top" wrapText="1"/>
    </xf>
    <xf numFmtId="0" fontId="18" fillId="67" borderId="82">
      <alignment horizontal="center" vertical="top" wrapText="1"/>
    </xf>
    <xf numFmtId="0" fontId="18" fillId="67" borderId="82">
      <alignment horizontal="center" vertical="top" wrapText="1"/>
    </xf>
    <xf numFmtId="0" fontId="18" fillId="67" borderId="82">
      <alignment horizontal="center" vertical="top" wrapText="1"/>
    </xf>
    <xf numFmtId="0" fontId="18" fillId="67" borderId="82">
      <alignment horizontal="center" vertical="top"/>
    </xf>
    <xf numFmtId="0" fontId="18" fillId="67" borderId="82">
      <alignment horizontal="center" vertical="top"/>
    </xf>
    <xf numFmtId="0" fontId="18" fillId="67" borderId="82">
      <alignment horizontal="center" vertical="top"/>
    </xf>
    <xf numFmtId="0" fontId="18" fillId="67" borderId="82">
      <alignment horizontal="center" vertical="top"/>
    </xf>
    <xf numFmtId="0" fontId="18" fillId="67" borderId="82">
      <alignment vertical="top" wrapText="1"/>
    </xf>
    <xf numFmtId="0" fontId="18" fillId="67" borderId="82">
      <alignment vertical="top" wrapText="1"/>
    </xf>
    <xf numFmtId="0" fontId="18" fillId="67" borderId="82">
      <alignment vertical="top" wrapText="1"/>
    </xf>
    <xf numFmtId="0" fontId="18" fillId="67" borderId="82">
      <alignment vertical="top" wrapText="1"/>
    </xf>
    <xf numFmtId="17" fontId="18" fillId="67" borderId="82">
      <alignment horizontal="center" vertical="top"/>
    </xf>
    <xf numFmtId="17" fontId="18" fillId="67" borderId="82">
      <alignment horizontal="center" vertical="top"/>
    </xf>
    <xf numFmtId="17" fontId="18" fillId="67" borderId="82">
      <alignment horizontal="center" vertical="top"/>
    </xf>
    <xf numFmtId="17" fontId="18" fillId="67" borderId="82">
      <alignment horizontal="center" vertical="top"/>
    </xf>
    <xf numFmtId="0" fontId="18" fillId="67" borderId="82">
      <alignment horizontal="centerContinuous" vertical="top" wrapText="1"/>
    </xf>
    <xf numFmtId="0" fontId="18" fillId="67" borderId="82">
      <alignment horizontal="centerContinuous" vertical="top" wrapText="1"/>
    </xf>
    <xf numFmtId="0" fontId="18" fillId="67" borderId="82">
      <alignment horizontal="centerContinuous" vertical="top" wrapText="1"/>
    </xf>
    <xf numFmtId="0" fontId="18" fillId="67" borderId="82">
      <alignment horizontal="centerContinuous" vertical="top" wrapText="1"/>
    </xf>
    <xf numFmtId="0" fontId="18" fillId="67" borderId="82">
      <alignment horizontal="center" vertical="top"/>
    </xf>
    <xf numFmtId="0" fontId="18" fillId="67" borderId="82">
      <alignment horizontal="center" vertical="top"/>
    </xf>
    <xf numFmtId="0" fontId="18" fillId="67" borderId="82">
      <alignment horizontal="center" vertical="top"/>
    </xf>
    <xf numFmtId="0" fontId="18" fillId="67" borderId="82">
      <alignment horizontal="center" vertical="top"/>
    </xf>
    <xf numFmtId="0" fontId="18" fillId="67" borderId="82">
      <alignment horizontal="center" textRotation="90"/>
    </xf>
    <xf numFmtId="0" fontId="18" fillId="67" borderId="82">
      <alignment horizontal="center" textRotation="90"/>
    </xf>
    <xf numFmtId="0" fontId="18" fillId="67" borderId="82">
      <alignment horizontal="center" textRotation="90"/>
    </xf>
    <xf numFmtId="0" fontId="18" fillId="67" borderId="82">
      <alignment horizontal="center" textRotation="90"/>
    </xf>
    <xf numFmtId="338" fontId="18" fillId="67" borderId="82">
      <alignment horizontal="center" vertical="top"/>
    </xf>
    <xf numFmtId="338" fontId="18" fillId="67" borderId="82">
      <alignment horizontal="center" vertical="top"/>
    </xf>
    <xf numFmtId="338" fontId="18" fillId="67" borderId="82">
      <alignment horizontal="center" vertical="top"/>
    </xf>
    <xf numFmtId="338" fontId="18" fillId="67" borderId="82">
      <alignment horizontal="center" vertical="top"/>
    </xf>
    <xf numFmtId="0" fontId="18" fillId="64" borderId="75" applyNumberFormat="0" applyFont="0" applyBorder="0" applyAlignment="0" applyProtection="0">
      <alignment horizontal="center"/>
    </xf>
    <xf numFmtId="0" fontId="18" fillId="64" borderId="75" applyNumberFormat="0" applyFont="0" applyBorder="0" applyAlignment="0" applyProtection="0">
      <alignment horizontal="center"/>
    </xf>
    <xf numFmtId="277" fontId="18" fillId="0" borderId="80"/>
    <xf numFmtId="319" fontId="18" fillId="0" borderId="80"/>
    <xf numFmtId="186" fontId="18" fillId="0" borderId="54" applyNumberFormat="0" applyFont="0" applyFill="0" applyBorder="0" applyAlignment="0"/>
    <xf numFmtId="0" fontId="18" fillId="75" borderId="90">
      <alignment horizontal="center" wrapText="1"/>
    </xf>
    <xf numFmtId="334" fontId="18" fillId="0" borderId="91"/>
    <xf numFmtId="177" fontId="18" fillId="0" borderId="91"/>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0" fontId="1" fillId="0" borderId="0"/>
    <xf numFmtId="0" fontId="1" fillId="0" borderId="0"/>
    <xf numFmtId="0" fontId="24" fillId="0" borderId="0"/>
    <xf numFmtId="0" fontId="1" fillId="0" borderId="0"/>
    <xf numFmtId="0" fontId="1" fillId="0" borderId="0"/>
    <xf numFmtId="0" fontId="1" fillId="0" borderId="0"/>
    <xf numFmtId="0" fontId="1" fillId="0" borderId="0"/>
    <xf numFmtId="0" fontId="1" fillId="0" borderId="0"/>
    <xf numFmtId="0" fontId="18" fillId="38" borderId="133" applyNumberFormat="0" applyProtection="0">
      <alignment horizontal="left" vertical="center" indent="1"/>
    </xf>
    <xf numFmtId="0" fontId="18" fillId="38" borderId="133" applyNumberFormat="0" applyProtection="0">
      <alignment horizontal="left" vertical="center" indent="1"/>
    </xf>
    <xf numFmtId="0" fontId="18" fillId="72" borderId="133" applyNumberFormat="0" applyProtection="0">
      <alignment horizontal="left" vertical="center" indent="1"/>
    </xf>
    <xf numFmtId="0" fontId="18" fillId="72" borderId="133" applyNumberFormat="0" applyProtection="0">
      <alignment horizontal="left" vertical="center" indent="1"/>
    </xf>
    <xf numFmtId="0" fontId="18" fillId="72" borderId="133" applyNumberFormat="0" applyProtection="0">
      <alignment horizontal="left" vertical="center" indent="1"/>
    </xf>
    <xf numFmtId="0" fontId="18" fillId="72" borderId="133" applyNumberFormat="0" applyProtection="0">
      <alignment horizontal="left" vertical="center" indent="1"/>
    </xf>
    <xf numFmtId="4" fontId="18" fillId="44" borderId="134" applyNumberFormat="0" applyProtection="0">
      <alignment horizontal="right" vertical="center"/>
    </xf>
    <xf numFmtId="4" fontId="18" fillId="44" borderId="134" applyNumberFormat="0" applyProtection="0">
      <alignment horizontal="right" vertical="center"/>
    </xf>
    <xf numFmtId="4" fontId="18" fillId="44" borderId="134" applyNumberFormat="0" applyProtection="0">
      <alignment horizontal="right" vertical="center"/>
    </xf>
    <xf numFmtId="4" fontId="18" fillId="44" borderId="134" applyNumberFormat="0" applyProtection="0">
      <alignment horizontal="right" vertical="center"/>
    </xf>
    <xf numFmtId="4" fontId="18" fillId="70" borderId="134" applyNumberFormat="0" applyProtection="0">
      <alignment horizontal="right" vertical="center"/>
    </xf>
    <xf numFmtId="4" fontId="18" fillId="70" borderId="134" applyNumberFormat="0" applyProtection="0">
      <alignment horizontal="right" vertical="center"/>
    </xf>
    <xf numFmtId="4" fontId="18" fillId="70" borderId="134" applyNumberFormat="0" applyProtection="0">
      <alignment horizontal="right" vertical="center"/>
    </xf>
    <xf numFmtId="4" fontId="18" fillId="70" borderId="134" applyNumberFormat="0" applyProtection="0">
      <alignment horizontal="right" vertical="center"/>
    </xf>
    <xf numFmtId="4" fontId="18" fillId="69" borderId="134" applyNumberFormat="0" applyProtection="0">
      <alignment horizontal="right" vertical="center"/>
    </xf>
    <xf numFmtId="4" fontId="18" fillId="69" borderId="134" applyNumberFormat="0" applyProtection="0">
      <alignment horizontal="right" vertical="center"/>
    </xf>
    <xf numFmtId="4" fontId="18" fillId="69" borderId="134" applyNumberFormat="0" applyProtection="0">
      <alignment horizontal="right" vertical="center"/>
    </xf>
    <xf numFmtId="4" fontId="18" fillId="69" borderId="134" applyNumberFormat="0" applyProtection="0">
      <alignment horizontal="right" vertical="center"/>
    </xf>
    <xf numFmtId="4" fontId="18" fillId="68" borderId="134" applyNumberFormat="0" applyProtection="0">
      <alignment horizontal="right" vertical="center"/>
    </xf>
    <xf numFmtId="4" fontId="18" fillId="68" borderId="134" applyNumberFormat="0" applyProtection="0">
      <alignment horizontal="right" vertical="center"/>
    </xf>
    <xf numFmtId="4" fontId="18" fillId="68" borderId="134" applyNumberFormat="0" applyProtection="0">
      <alignment horizontal="right" vertical="center"/>
    </xf>
    <xf numFmtId="4" fontId="18" fillId="68" borderId="134" applyNumberFormat="0" applyProtection="0">
      <alignment horizontal="right" vertical="center"/>
    </xf>
    <xf numFmtId="4" fontId="18" fillId="67" borderId="134" applyNumberFormat="0" applyProtection="0">
      <alignment horizontal="right" vertical="center"/>
    </xf>
    <xf numFmtId="4" fontId="18" fillId="67" borderId="134" applyNumberFormat="0" applyProtection="0">
      <alignment horizontal="right" vertical="center"/>
    </xf>
    <xf numFmtId="4" fontId="18" fillId="67" borderId="134" applyNumberFormat="0" applyProtection="0">
      <alignment horizontal="right" vertical="center"/>
    </xf>
    <xf numFmtId="4" fontId="18" fillId="67" borderId="134" applyNumberFormat="0" applyProtection="0">
      <alignment horizontal="right" vertical="center"/>
    </xf>
    <xf numFmtId="4" fontId="18" fillId="66" borderId="134" applyNumberFormat="0" applyProtection="0">
      <alignment horizontal="right" vertical="center"/>
    </xf>
    <xf numFmtId="10" fontId="18" fillId="34" borderId="76" applyNumberFormat="0" applyBorder="0" applyAlignment="0">
      <alignment horizontal="center"/>
      <protection locked="0"/>
    </xf>
    <xf numFmtId="4" fontId="18" fillId="66" borderId="134" applyNumberFormat="0" applyProtection="0">
      <alignment horizontal="right" vertical="center"/>
    </xf>
    <xf numFmtId="4" fontId="18" fillId="66" borderId="134" applyNumberFormat="0" applyProtection="0">
      <alignment horizontal="right" vertical="center"/>
    </xf>
    <xf numFmtId="4" fontId="18" fillId="66" borderId="134" applyNumberFormat="0" applyProtection="0">
      <alignment horizontal="right" vertical="center"/>
    </xf>
    <xf numFmtId="4" fontId="18" fillId="55" borderId="134" applyNumberFormat="0" applyProtection="0">
      <alignment horizontal="right" vertical="center"/>
    </xf>
    <xf numFmtId="4" fontId="18" fillId="55" borderId="134" applyNumberFormat="0" applyProtection="0">
      <alignment horizontal="right" vertical="center"/>
    </xf>
    <xf numFmtId="4" fontId="18" fillId="55" borderId="134" applyNumberFormat="0" applyProtection="0">
      <alignment horizontal="right" vertical="center"/>
    </xf>
    <xf numFmtId="4" fontId="18" fillId="55" borderId="134" applyNumberFormat="0" applyProtection="0">
      <alignment horizontal="right" vertical="center"/>
    </xf>
    <xf numFmtId="4" fontId="18" fillId="46" borderId="134" applyNumberFormat="0" applyProtection="0">
      <alignment horizontal="right" vertical="center"/>
    </xf>
    <xf numFmtId="4" fontId="18" fillId="46" borderId="134" applyNumberFormat="0" applyProtection="0">
      <alignment horizontal="right" vertical="center"/>
    </xf>
    <xf numFmtId="4" fontId="18" fillId="46" borderId="134" applyNumberFormat="0" applyProtection="0">
      <alignment horizontal="right" vertical="center"/>
    </xf>
    <xf numFmtId="4" fontId="18" fillId="46" borderId="134" applyNumberFormat="0" applyProtection="0">
      <alignment horizontal="right" vertical="center"/>
    </xf>
    <xf numFmtId="4" fontId="18" fillId="65" borderId="134" applyNumberFormat="0" applyProtection="0">
      <alignment horizontal="right" vertical="center"/>
    </xf>
    <xf numFmtId="4" fontId="18" fillId="65" borderId="134" applyNumberFormat="0" applyProtection="0">
      <alignment horizontal="right" vertical="center"/>
    </xf>
    <xf numFmtId="4" fontId="18" fillId="65" borderId="134" applyNumberFormat="0" applyProtection="0">
      <alignment horizontal="right" vertical="center"/>
    </xf>
    <xf numFmtId="4" fontId="18" fillId="65" borderId="134" applyNumberFormat="0" applyProtection="0">
      <alignment horizontal="right" vertical="center"/>
    </xf>
    <xf numFmtId="4" fontId="18" fillId="64" borderId="134" applyNumberFormat="0" applyProtection="0">
      <alignment horizontal="right" vertical="center"/>
    </xf>
    <xf numFmtId="4" fontId="18" fillId="64" borderId="134" applyNumberFormat="0" applyProtection="0">
      <alignment horizontal="right" vertical="center"/>
    </xf>
    <xf numFmtId="4" fontId="18" fillId="64" borderId="134" applyNumberFormat="0" applyProtection="0">
      <alignment horizontal="right" vertical="center"/>
    </xf>
    <xf numFmtId="4" fontId="18" fillId="36" borderId="133" applyNumberFormat="0" applyProtection="0">
      <alignment horizontal="left" vertical="center" indent="1"/>
    </xf>
    <xf numFmtId="4" fontId="18" fillId="36" borderId="133" applyNumberFormat="0" applyProtection="0">
      <alignment horizontal="left" vertical="center" indent="1"/>
    </xf>
    <xf numFmtId="4" fontId="18" fillId="36" borderId="133" applyNumberFormat="0" applyProtection="0">
      <alignment horizontal="left" vertical="center" indent="1"/>
    </xf>
    <xf numFmtId="4" fontId="18" fillId="36" borderId="133" applyNumberFormat="0" applyProtection="0">
      <alignment horizontal="left" vertical="center" indent="1"/>
    </xf>
    <xf numFmtId="4" fontId="18" fillId="36" borderId="134" applyNumberFormat="0" applyProtection="0">
      <alignment horizontal="left" vertical="center" indent="1"/>
    </xf>
    <xf numFmtId="4" fontId="18" fillId="36" borderId="134" applyNumberFormat="0" applyProtection="0">
      <alignment horizontal="left" vertical="center" indent="1"/>
    </xf>
    <xf numFmtId="4" fontId="18" fillId="36" borderId="134" applyNumberFormat="0" applyProtection="0">
      <alignment horizontal="left" vertical="center" indent="1"/>
    </xf>
    <xf numFmtId="4" fontId="18" fillId="36" borderId="134" applyNumberFormat="0" applyProtection="0">
      <alignment horizontal="left" vertical="center" indent="1"/>
    </xf>
    <xf numFmtId="4" fontId="18" fillId="36" borderId="134" applyNumberFormat="0" applyProtection="0">
      <alignment vertical="center"/>
    </xf>
    <xf numFmtId="4" fontId="18" fillId="36" borderId="134" applyNumberFormat="0" applyProtection="0">
      <alignment vertical="center"/>
    </xf>
    <xf numFmtId="4" fontId="18" fillId="36" borderId="134" applyNumberFormat="0" applyProtection="0">
      <alignment vertical="center"/>
    </xf>
    <xf numFmtId="4" fontId="18" fillId="36" borderId="134" applyNumberFormat="0" applyProtection="0">
      <alignment vertical="center"/>
    </xf>
    <xf numFmtId="4" fontId="18" fillId="36" borderId="134" applyNumberFormat="0" applyProtection="0">
      <alignment vertical="center"/>
    </xf>
    <xf numFmtId="4" fontId="18" fillId="36" borderId="134" applyNumberFormat="0" applyProtection="0">
      <alignment vertical="center"/>
    </xf>
    <xf numFmtId="4" fontId="18" fillId="36" borderId="134" applyNumberFormat="0" applyProtection="0">
      <alignment vertical="center"/>
    </xf>
    <xf numFmtId="4" fontId="18" fillId="36" borderId="134" applyNumberFormat="0" applyProtection="0">
      <alignment vertical="center"/>
    </xf>
    <xf numFmtId="319" fontId="18" fillId="0" borderId="126"/>
    <xf numFmtId="0" fontId="18" fillId="36" borderId="128">
      <alignment vertical="top"/>
      <protection locked="0"/>
    </xf>
    <xf numFmtId="0" fontId="18" fillId="36" borderId="128">
      <alignment vertical="top"/>
      <protection locked="0"/>
    </xf>
    <xf numFmtId="0" fontId="18" fillId="36" borderId="128">
      <alignment vertical="top"/>
      <protection locked="0"/>
    </xf>
    <xf numFmtId="0" fontId="18" fillId="36" borderId="128">
      <alignment vertical="top"/>
      <protection locked="0"/>
    </xf>
    <xf numFmtId="0" fontId="18" fillId="36" borderId="128">
      <alignment vertical="top" wrapText="1"/>
      <protection locked="0"/>
    </xf>
    <xf numFmtId="0" fontId="18" fillId="36" borderId="128">
      <alignment vertical="top" wrapText="1"/>
      <protection locked="0"/>
    </xf>
    <xf numFmtId="0" fontId="18" fillId="36" borderId="128">
      <alignment vertical="top" wrapText="1"/>
      <protection locked="0"/>
    </xf>
    <xf numFmtId="0" fontId="18" fillId="36" borderId="128">
      <alignment vertical="top" wrapText="1"/>
      <protection locked="0"/>
    </xf>
    <xf numFmtId="0" fontId="18" fillId="36" borderId="128">
      <alignment vertical="top"/>
    </xf>
    <xf numFmtId="0" fontId="18" fillId="36" borderId="128">
      <alignment vertical="top"/>
    </xf>
    <xf numFmtId="0" fontId="18" fillId="36" borderId="128">
      <alignment vertical="top"/>
    </xf>
    <xf numFmtId="0" fontId="18" fillId="36" borderId="128">
      <alignment vertical="top"/>
    </xf>
    <xf numFmtId="0" fontId="18" fillId="61" borderId="132">
      <alignment horizontal="left" vertical="center" wrapText="1"/>
    </xf>
    <xf numFmtId="0" fontId="18" fillId="61" borderId="132">
      <alignment horizontal="left" vertical="center" wrapText="1"/>
    </xf>
    <xf numFmtId="0" fontId="18" fillId="61" borderId="132">
      <alignment horizontal="left" vertical="center" wrapText="1"/>
    </xf>
    <xf numFmtId="0" fontId="18" fillId="61" borderId="132">
      <alignment horizontal="left" vertical="center" wrapText="1"/>
    </xf>
    <xf numFmtId="276" fontId="18" fillId="36" borderId="128">
      <alignment vertical="top"/>
      <protection locked="0"/>
    </xf>
    <xf numFmtId="276" fontId="18" fillId="36" borderId="128">
      <alignment vertical="top"/>
      <protection locked="0"/>
    </xf>
    <xf numFmtId="276" fontId="18" fillId="36" borderId="128">
      <alignment vertical="top"/>
      <protection locked="0"/>
    </xf>
    <xf numFmtId="276" fontId="18" fillId="36" borderId="128">
      <alignment vertical="top"/>
      <protection locked="0"/>
    </xf>
    <xf numFmtId="275" fontId="18" fillId="36" borderId="128">
      <alignment vertical="top"/>
      <protection locked="0"/>
    </xf>
    <xf numFmtId="275" fontId="18" fillId="36" borderId="128">
      <alignment vertical="top"/>
      <protection locked="0"/>
    </xf>
    <xf numFmtId="275" fontId="18" fillId="36" borderId="128">
      <alignment vertical="top"/>
      <protection locked="0"/>
    </xf>
    <xf numFmtId="275" fontId="18" fillId="36" borderId="128">
      <alignment vertical="top"/>
      <protection locked="0"/>
    </xf>
    <xf numFmtId="271" fontId="18" fillId="36" borderId="128">
      <alignment vertical="top"/>
      <protection locked="0"/>
    </xf>
    <xf numFmtId="271" fontId="18" fillId="36" borderId="128">
      <alignment vertical="top"/>
      <protection locked="0"/>
    </xf>
    <xf numFmtId="271" fontId="18" fillId="36" borderId="128">
      <alignment vertical="top"/>
      <protection locked="0"/>
    </xf>
    <xf numFmtId="271" fontId="18" fillId="36" borderId="128">
      <alignment vertical="top"/>
      <protection locked="0"/>
    </xf>
    <xf numFmtId="270" fontId="18" fillId="36" borderId="128">
      <alignment vertical="top"/>
      <protection locked="0"/>
    </xf>
    <xf numFmtId="270" fontId="18" fillId="36" borderId="128">
      <alignment vertical="top"/>
      <protection locked="0"/>
    </xf>
    <xf numFmtId="270" fontId="18" fillId="36" borderId="128">
      <alignment vertical="top"/>
      <protection locked="0"/>
    </xf>
    <xf numFmtId="270" fontId="18" fillId="36" borderId="128">
      <alignment vertical="top"/>
      <protection locked="0"/>
    </xf>
    <xf numFmtId="269" fontId="18" fillId="36" borderId="128">
      <alignment vertical="top"/>
      <protection locked="0"/>
    </xf>
    <xf numFmtId="269" fontId="18" fillId="36" borderId="128">
      <alignment vertical="top"/>
      <protection locked="0"/>
    </xf>
    <xf numFmtId="269" fontId="18" fillId="36" borderId="128">
      <alignment vertical="top"/>
      <protection locked="0"/>
    </xf>
    <xf numFmtId="269" fontId="18" fillId="36" borderId="128">
      <alignment vertical="top"/>
      <protection locked="0"/>
    </xf>
    <xf numFmtId="268" fontId="18" fillId="36" borderId="128">
      <alignment vertical="top"/>
      <protection locked="0"/>
    </xf>
    <xf numFmtId="268" fontId="18" fillId="36" borderId="128">
      <alignment vertical="top"/>
      <protection locked="0"/>
    </xf>
    <xf numFmtId="268" fontId="18" fillId="36" borderId="128">
      <alignment vertical="top"/>
      <protection locked="0"/>
    </xf>
    <xf numFmtId="268" fontId="18" fillId="36" borderId="128">
      <alignment vertical="top"/>
      <protection locked="0"/>
    </xf>
    <xf numFmtId="267" fontId="18" fillId="36" borderId="128">
      <alignment vertical="top"/>
      <protection locked="0"/>
    </xf>
    <xf numFmtId="267" fontId="18" fillId="36" borderId="128">
      <alignment vertical="top"/>
      <protection locked="0"/>
    </xf>
    <xf numFmtId="267" fontId="18" fillId="36" borderId="128">
      <alignment vertical="top"/>
      <protection locked="0"/>
    </xf>
    <xf numFmtId="267" fontId="18" fillId="36" borderId="128">
      <alignment vertical="top"/>
      <protection locked="0"/>
    </xf>
    <xf numFmtId="0" fontId="18" fillId="59" borderId="130" applyNumberFormat="0" applyAlignment="0">
      <protection locked="0"/>
    </xf>
    <xf numFmtId="0" fontId="18" fillId="59" borderId="130" applyNumberFormat="0" applyAlignment="0">
      <protection locked="0"/>
    </xf>
    <xf numFmtId="0" fontId="18" fillId="59" borderId="130" applyNumberFormat="0" applyAlignment="0">
      <protection locked="0"/>
    </xf>
    <xf numFmtId="0" fontId="18" fillId="59" borderId="130" applyNumberFormat="0" applyAlignment="0">
      <protection locked="0"/>
    </xf>
    <xf numFmtId="0" fontId="18" fillId="0" borderId="131" applyNumberFormat="0" applyAlignment="0">
      <alignment vertical="center"/>
      <protection locked="0"/>
    </xf>
    <xf numFmtId="0" fontId="18" fillId="0" borderId="131" applyNumberFormat="0" applyAlignment="0">
      <alignment vertical="center"/>
      <protection locked="0"/>
    </xf>
    <xf numFmtId="0" fontId="18" fillId="0" borderId="131" applyNumberFormat="0" applyAlignment="0">
      <alignment vertical="center"/>
      <protection locked="0"/>
    </xf>
    <xf numFmtId="0" fontId="18" fillId="0" borderId="131" applyNumberFormat="0" applyAlignment="0">
      <alignment vertical="center"/>
      <protection locked="0"/>
    </xf>
    <xf numFmtId="0" fontId="18" fillId="57" borderId="130" applyNumberFormat="0" applyAlignment="0">
      <protection locked="0"/>
    </xf>
    <xf numFmtId="0" fontId="18" fillId="57" borderId="130" applyNumberFormat="0" applyAlignment="0">
      <protection locked="0"/>
    </xf>
    <xf numFmtId="0" fontId="18" fillId="57" borderId="130" applyNumberFormat="0" applyAlignment="0">
      <protection locked="0"/>
    </xf>
    <xf numFmtId="0" fontId="18" fillId="57" borderId="130" applyNumberFormat="0" applyAlignment="0">
      <protection locked="0"/>
    </xf>
    <xf numFmtId="294" fontId="18" fillId="56" borderId="129" applyNumberFormat="0" applyAlignment="0">
      <alignment vertical="center"/>
      <protection locked="0"/>
    </xf>
    <xf numFmtId="294" fontId="18" fillId="56" borderId="129" applyNumberFormat="0" applyAlignment="0">
      <alignment vertical="center"/>
      <protection locked="0"/>
    </xf>
    <xf numFmtId="294" fontId="18" fillId="56" borderId="129" applyNumberFormat="0" applyAlignment="0">
      <alignment vertical="center"/>
      <protection locked="0"/>
    </xf>
    <xf numFmtId="294" fontId="18" fillId="56" borderId="129" applyNumberFormat="0" applyAlignment="0">
      <alignment vertical="center"/>
      <protection locked="0"/>
    </xf>
    <xf numFmtId="0" fontId="18" fillId="0" borderId="129" applyNumberFormat="0" applyAlignment="0">
      <alignment vertical="center"/>
      <protection locked="0"/>
    </xf>
    <xf numFmtId="0" fontId="18" fillId="0" borderId="129" applyNumberFormat="0" applyAlignment="0">
      <alignment vertical="center"/>
      <protection locked="0"/>
    </xf>
    <xf numFmtId="0" fontId="18" fillId="0" borderId="129" applyNumberFormat="0" applyAlignment="0">
      <alignment vertical="center"/>
      <protection locked="0"/>
    </xf>
    <xf numFmtId="0" fontId="18" fillId="0" borderId="129" applyNumberFormat="0" applyAlignment="0">
      <alignment vertical="center"/>
      <protection locked="0"/>
    </xf>
    <xf numFmtId="20" fontId="18" fillId="36" borderId="128">
      <alignment vertical="top"/>
      <protection locked="0"/>
    </xf>
    <xf numFmtId="20" fontId="18" fillId="36" borderId="128">
      <alignment vertical="top"/>
      <protection locked="0"/>
    </xf>
    <xf numFmtId="20" fontId="18" fillId="36" borderId="128">
      <alignment vertical="top"/>
      <protection locked="0"/>
    </xf>
    <xf numFmtId="20" fontId="18" fillId="36" borderId="128">
      <alignment vertical="top"/>
      <protection locked="0"/>
    </xf>
    <xf numFmtId="17" fontId="18" fillId="36" borderId="128">
      <alignment vertical="top"/>
      <protection locked="0"/>
    </xf>
    <xf numFmtId="17" fontId="18" fillId="36" borderId="128">
      <alignment vertical="top"/>
      <protection locked="0"/>
    </xf>
    <xf numFmtId="17" fontId="18" fillId="36" borderId="128">
      <alignment vertical="top"/>
      <protection locked="0"/>
    </xf>
    <xf numFmtId="17" fontId="18" fillId="36" borderId="128">
      <alignment vertical="top"/>
      <protection locked="0"/>
    </xf>
    <xf numFmtId="251" fontId="18" fillId="36" borderId="128">
      <alignment vertical="top"/>
      <protection locked="0"/>
    </xf>
    <xf numFmtId="251" fontId="18" fillId="36" borderId="128">
      <alignment vertical="top"/>
      <protection locked="0"/>
    </xf>
    <xf numFmtId="251" fontId="18" fillId="36" borderId="128">
      <alignment vertical="top"/>
      <protection locked="0"/>
    </xf>
    <xf numFmtId="251" fontId="18" fillId="36" borderId="128">
      <alignment vertical="top"/>
      <protection locked="0"/>
    </xf>
    <xf numFmtId="250" fontId="18" fillId="36" borderId="128">
      <alignment vertical="top"/>
      <protection locked="0"/>
    </xf>
    <xf numFmtId="250" fontId="18" fillId="36" borderId="128">
      <alignment vertical="top"/>
      <protection locked="0"/>
    </xf>
    <xf numFmtId="250" fontId="18" fillId="36" borderId="128">
      <alignment vertical="top"/>
      <protection locked="0"/>
    </xf>
    <xf numFmtId="250" fontId="18" fillId="36" borderId="128">
      <alignment vertical="top"/>
      <protection locked="0"/>
    </xf>
    <xf numFmtId="292" fontId="18" fillId="36" borderId="128">
      <alignment vertical="top"/>
      <protection locked="0"/>
    </xf>
    <xf numFmtId="292" fontId="18" fillId="36" borderId="128">
      <alignment vertical="top"/>
      <protection locked="0"/>
    </xf>
    <xf numFmtId="292" fontId="18" fillId="36" borderId="128">
      <alignment vertical="top"/>
      <protection locked="0"/>
    </xf>
    <xf numFmtId="292" fontId="18" fillId="36" borderId="128">
      <alignment vertical="top"/>
      <protection locked="0"/>
    </xf>
    <xf numFmtId="249" fontId="18" fillId="36" borderId="128">
      <alignment vertical="top"/>
      <protection locked="0"/>
    </xf>
    <xf numFmtId="249" fontId="18" fillId="36" borderId="128">
      <alignment vertical="top"/>
      <protection locked="0"/>
    </xf>
    <xf numFmtId="249" fontId="18" fillId="36" borderId="128">
      <alignment vertical="top"/>
      <protection locked="0"/>
    </xf>
    <xf numFmtId="249" fontId="18" fillId="36" borderId="128">
      <alignment vertical="top"/>
      <protection locked="0"/>
    </xf>
    <xf numFmtId="248" fontId="18" fillId="36" borderId="128">
      <alignment vertical="top"/>
      <protection locked="0"/>
    </xf>
    <xf numFmtId="248" fontId="18" fillId="36" borderId="128">
      <alignment vertical="top"/>
      <protection locked="0"/>
    </xf>
    <xf numFmtId="248" fontId="18" fillId="36" borderId="128">
      <alignment vertical="top"/>
      <protection locked="0"/>
    </xf>
    <xf numFmtId="248" fontId="18" fillId="36" borderId="128">
      <alignment vertical="top"/>
      <protection locked="0"/>
    </xf>
    <xf numFmtId="247" fontId="18" fillId="36" borderId="128">
      <alignment vertical="top"/>
      <protection locked="0"/>
    </xf>
    <xf numFmtId="247" fontId="18" fillId="36" borderId="128">
      <alignment vertical="top"/>
      <protection locked="0"/>
    </xf>
    <xf numFmtId="247" fontId="18" fillId="36" borderId="128">
      <alignment vertical="top"/>
      <protection locked="0"/>
    </xf>
    <xf numFmtId="247" fontId="18" fillId="36" borderId="128">
      <alignment vertical="top"/>
      <protection locked="0"/>
    </xf>
    <xf numFmtId="246" fontId="18" fillId="36" borderId="128">
      <alignment vertical="top"/>
      <protection locked="0"/>
    </xf>
    <xf numFmtId="246" fontId="18" fillId="36" borderId="128">
      <alignment vertical="top"/>
      <protection locked="0"/>
    </xf>
    <xf numFmtId="246" fontId="18" fillId="36" borderId="128">
      <alignment vertical="top"/>
      <protection locked="0"/>
    </xf>
    <xf numFmtId="246" fontId="18" fillId="36" borderId="128">
      <alignment vertical="top"/>
      <protection locked="0"/>
    </xf>
    <xf numFmtId="245" fontId="18" fillId="36" borderId="128">
      <alignment vertical="top"/>
      <protection locked="0"/>
    </xf>
    <xf numFmtId="245" fontId="18" fillId="36" borderId="128">
      <alignment vertical="top"/>
      <protection locked="0"/>
    </xf>
    <xf numFmtId="245" fontId="18" fillId="36" borderId="128">
      <alignment vertical="top"/>
      <protection locked="0"/>
    </xf>
    <xf numFmtId="245" fontId="18" fillId="36" borderId="128">
      <alignment vertical="top"/>
      <protection locked="0"/>
    </xf>
    <xf numFmtId="0" fontId="18" fillId="36" borderId="128">
      <alignment vertical="top"/>
      <protection locked="0"/>
    </xf>
    <xf numFmtId="0" fontId="18" fillId="36" borderId="128">
      <alignment vertical="top"/>
      <protection locked="0"/>
    </xf>
    <xf numFmtId="0" fontId="18" fillId="36" borderId="128">
      <alignment vertical="top"/>
      <protection locked="0"/>
    </xf>
    <xf numFmtId="0" fontId="18" fillId="36" borderId="128">
      <alignment vertical="top"/>
      <protection locked="0"/>
    </xf>
    <xf numFmtId="0" fontId="18" fillId="0" borderId="127">
      <protection locked="0"/>
    </xf>
    <xf numFmtId="0" fontId="18" fillId="0" borderId="127">
      <protection locked="0"/>
    </xf>
    <xf numFmtId="0" fontId="18" fillId="0" borderId="127">
      <protection locked="0"/>
    </xf>
    <xf numFmtId="0" fontId="18" fillId="0" borderId="127">
      <protection locked="0"/>
    </xf>
    <xf numFmtId="277" fontId="18" fillId="0" borderId="126"/>
    <xf numFmtId="0" fontId="18" fillId="0" borderId="125" applyNumberFormat="0" applyFill="0"/>
    <xf numFmtId="0" fontId="18" fillId="0" borderId="125" applyNumberFormat="0" applyFill="0"/>
    <xf numFmtId="0" fontId="18" fillId="0" borderId="125" applyNumberFormat="0" applyFill="0"/>
    <xf numFmtId="0" fontId="18" fillId="0" borderId="125" applyNumberFormat="0" applyFill="0"/>
    <xf numFmtId="0" fontId="18" fillId="0" borderId="106" applyFont="0" applyFill="0" applyBorder="0" applyAlignment="0" applyProtection="0"/>
    <xf numFmtId="0" fontId="18" fillId="0" borderId="106" applyFont="0" applyFill="0" applyBorder="0" applyAlignment="0" applyProtection="0"/>
    <xf numFmtId="0" fontId="18" fillId="0" borderId="103" applyNumberFormat="0" applyFont="0" applyFill="0" applyBorder="0" applyAlignment="0">
      <alignment horizontal="center"/>
    </xf>
    <xf numFmtId="0" fontId="18" fillId="0" borderId="103" applyNumberFormat="0" applyFont="0" applyFill="0" applyBorder="0" applyAlignment="0">
      <alignment horizontal="center"/>
    </xf>
    <xf numFmtId="0" fontId="18" fillId="37" borderId="107" applyNumberFormat="0" applyFill="0" applyBorder="0" applyAlignment="0" applyProtection="0">
      <alignment horizontal="left" vertical="center" wrapText="1"/>
    </xf>
    <xf numFmtId="37" fontId="18" fillId="0" borderId="76" applyNumberFormat="0" applyFont="0" applyFill="0" applyAlignment="0" applyProtection="0"/>
    <xf numFmtId="0" fontId="18" fillId="0" borderId="76" applyNumberFormat="0" applyFont="0" applyFill="0" applyAlignment="0" applyProtection="0"/>
    <xf numFmtId="0" fontId="18" fillId="0" borderId="108" applyNumberFormat="0" applyFill="0"/>
    <xf numFmtId="0" fontId="18" fillId="0" borderId="108" applyNumberFormat="0" applyFill="0"/>
    <xf numFmtId="0" fontId="18" fillId="0" borderId="108" applyNumberFormat="0" applyFill="0"/>
    <xf numFmtId="0" fontId="18" fillId="0" borderId="108" applyNumberFormat="0" applyFill="0"/>
    <xf numFmtId="0" fontId="18" fillId="0" borderId="103" applyNumberFormat="0">
      <alignment horizontal="center" vertical="center"/>
    </xf>
    <xf numFmtId="0" fontId="18" fillId="0" borderId="103" applyNumberFormat="0">
      <alignment horizontal="center" vertical="center"/>
    </xf>
    <xf numFmtId="179" fontId="18" fillId="0" borderId="103" applyBorder="0"/>
    <xf numFmtId="179" fontId="18" fillId="0" borderId="103" applyBorder="0"/>
    <xf numFmtId="277" fontId="18" fillId="0" borderId="109"/>
    <xf numFmtId="0" fontId="18" fillId="0" borderId="110">
      <protection locked="0"/>
    </xf>
    <xf numFmtId="0" fontId="18" fillId="0" borderId="110">
      <protection locked="0"/>
    </xf>
    <xf numFmtId="0" fontId="18" fillId="0" borderId="110">
      <protection locked="0"/>
    </xf>
    <xf numFmtId="0" fontId="18" fillId="0" borderId="110">
      <protection locked="0"/>
    </xf>
    <xf numFmtId="3" fontId="18" fillId="46" borderId="103"/>
    <xf numFmtId="3" fontId="18" fillId="46" borderId="103"/>
    <xf numFmtId="0" fontId="18" fillId="36" borderId="103">
      <alignment horizontal="right"/>
    </xf>
    <xf numFmtId="0" fontId="18" fillId="36" borderId="103">
      <alignment horizontal="right"/>
    </xf>
    <xf numFmtId="179" fontId="18" fillId="0" borderId="103"/>
    <xf numFmtId="179" fontId="18" fillId="0" borderId="103"/>
    <xf numFmtId="0" fontId="18" fillId="33" borderId="111">
      <alignment vertical="center"/>
    </xf>
    <xf numFmtId="0" fontId="18" fillId="0" borderId="103"/>
    <xf numFmtId="0" fontId="18" fillId="0" borderId="103"/>
    <xf numFmtId="3" fontId="18" fillId="35" borderId="103"/>
    <xf numFmtId="3" fontId="18" fillId="35" borderId="103"/>
    <xf numFmtId="288" fontId="18" fillId="55" borderId="103" applyNumberFormat="0" applyFont="0" applyBorder="0" applyAlignment="0" applyProtection="0"/>
    <xf numFmtId="288" fontId="18" fillId="55" borderId="103" applyNumberFormat="0" applyFont="0" applyBorder="0" applyAlignment="0" applyProtection="0"/>
    <xf numFmtId="0" fontId="18" fillId="54" borderId="103" applyNumberFormat="0" applyFont="0" applyBorder="0" applyAlignment="0" applyProtection="0"/>
    <xf numFmtId="0" fontId="18" fillId="54" borderId="103" applyNumberFormat="0" applyFont="0" applyBorder="0" applyAlignment="0" applyProtection="0"/>
    <xf numFmtId="0" fontId="18" fillId="0" borderId="112" applyNumberFormat="0" applyFill="0" applyBorder="0" applyAlignment="0" applyProtection="0">
      <alignment horizontal="left"/>
    </xf>
    <xf numFmtId="0" fontId="18" fillId="36" borderId="113">
      <alignment vertical="top"/>
      <protection locked="0"/>
    </xf>
    <xf numFmtId="0" fontId="18" fillId="36" borderId="113">
      <alignment vertical="top"/>
      <protection locked="0"/>
    </xf>
    <xf numFmtId="0" fontId="18" fillId="36" borderId="113">
      <alignment vertical="top"/>
      <protection locked="0"/>
    </xf>
    <xf numFmtId="0" fontId="18" fillId="36" borderId="113">
      <alignment vertical="top"/>
      <protection locked="0"/>
    </xf>
    <xf numFmtId="245" fontId="18" fillId="36" borderId="113">
      <alignment vertical="top"/>
      <protection locked="0"/>
    </xf>
    <xf numFmtId="245" fontId="18" fillId="36" borderId="113">
      <alignment vertical="top"/>
      <protection locked="0"/>
    </xf>
    <xf numFmtId="245" fontId="18" fillId="36" borderId="113">
      <alignment vertical="top"/>
      <protection locked="0"/>
    </xf>
    <xf numFmtId="245" fontId="18" fillId="36" borderId="113">
      <alignment vertical="top"/>
      <protection locked="0"/>
    </xf>
    <xf numFmtId="246" fontId="18" fillId="36" borderId="113">
      <alignment vertical="top"/>
      <protection locked="0"/>
    </xf>
    <xf numFmtId="246" fontId="18" fillId="36" borderId="113">
      <alignment vertical="top"/>
      <protection locked="0"/>
    </xf>
    <xf numFmtId="246" fontId="18" fillId="36" borderId="113">
      <alignment vertical="top"/>
      <protection locked="0"/>
    </xf>
    <xf numFmtId="246" fontId="18" fillId="36" borderId="113">
      <alignment vertical="top"/>
      <protection locked="0"/>
    </xf>
    <xf numFmtId="247" fontId="18" fillId="36" borderId="113">
      <alignment vertical="top"/>
      <protection locked="0"/>
    </xf>
    <xf numFmtId="247" fontId="18" fillId="36" borderId="113">
      <alignment vertical="top"/>
      <protection locked="0"/>
    </xf>
    <xf numFmtId="247" fontId="18" fillId="36" borderId="113">
      <alignment vertical="top"/>
      <protection locked="0"/>
    </xf>
    <xf numFmtId="247" fontId="18" fillId="36" borderId="113">
      <alignment vertical="top"/>
      <protection locked="0"/>
    </xf>
    <xf numFmtId="248" fontId="18" fillId="36" borderId="113">
      <alignment vertical="top"/>
      <protection locked="0"/>
    </xf>
    <xf numFmtId="248" fontId="18" fillId="36" borderId="113">
      <alignment vertical="top"/>
      <protection locked="0"/>
    </xf>
    <xf numFmtId="248" fontId="18" fillId="36" borderId="113">
      <alignment vertical="top"/>
      <protection locked="0"/>
    </xf>
    <xf numFmtId="248" fontId="18" fillId="36" borderId="113">
      <alignment vertical="top"/>
      <protection locked="0"/>
    </xf>
    <xf numFmtId="249" fontId="18" fillId="36" borderId="113">
      <alignment vertical="top"/>
      <protection locked="0"/>
    </xf>
    <xf numFmtId="249" fontId="18" fillId="36" borderId="113">
      <alignment vertical="top"/>
      <protection locked="0"/>
    </xf>
    <xf numFmtId="249" fontId="18" fillId="36" borderId="113">
      <alignment vertical="top"/>
      <protection locked="0"/>
    </xf>
    <xf numFmtId="249" fontId="18" fillId="36" borderId="113">
      <alignment vertical="top"/>
      <protection locked="0"/>
    </xf>
    <xf numFmtId="292" fontId="18" fillId="36" borderId="113">
      <alignment vertical="top"/>
      <protection locked="0"/>
    </xf>
    <xf numFmtId="292" fontId="18" fillId="36" borderId="113">
      <alignment vertical="top"/>
      <protection locked="0"/>
    </xf>
    <xf numFmtId="292" fontId="18" fillId="36" borderId="113">
      <alignment vertical="top"/>
      <protection locked="0"/>
    </xf>
    <xf numFmtId="292" fontId="18" fillId="36" borderId="113">
      <alignment vertical="top"/>
      <protection locked="0"/>
    </xf>
    <xf numFmtId="250" fontId="18" fillId="36" borderId="113">
      <alignment vertical="top"/>
      <protection locked="0"/>
    </xf>
    <xf numFmtId="250" fontId="18" fillId="36" borderId="113">
      <alignment vertical="top"/>
      <protection locked="0"/>
    </xf>
    <xf numFmtId="250" fontId="18" fillId="36" borderId="113">
      <alignment vertical="top"/>
      <protection locked="0"/>
    </xf>
    <xf numFmtId="250" fontId="18" fillId="36" borderId="113">
      <alignment vertical="top"/>
      <protection locked="0"/>
    </xf>
    <xf numFmtId="251" fontId="18" fillId="36" borderId="113">
      <alignment vertical="top"/>
      <protection locked="0"/>
    </xf>
    <xf numFmtId="251" fontId="18" fillId="36" borderId="113">
      <alignment vertical="top"/>
      <protection locked="0"/>
    </xf>
    <xf numFmtId="251" fontId="18" fillId="36" borderId="113">
      <alignment vertical="top"/>
      <protection locked="0"/>
    </xf>
    <xf numFmtId="251" fontId="18" fillId="36" borderId="113">
      <alignment vertical="top"/>
      <protection locked="0"/>
    </xf>
    <xf numFmtId="17" fontId="18" fillId="36" borderId="113">
      <alignment vertical="top"/>
      <protection locked="0"/>
    </xf>
    <xf numFmtId="17" fontId="18" fillId="36" borderId="113">
      <alignment vertical="top"/>
      <protection locked="0"/>
    </xf>
    <xf numFmtId="17" fontId="18" fillId="36" borderId="113">
      <alignment vertical="top"/>
      <protection locked="0"/>
    </xf>
    <xf numFmtId="17" fontId="18" fillId="36" borderId="113">
      <alignment vertical="top"/>
      <protection locked="0"/>
    </xf>
    <xf numFmtId="20" fontId="18" fillId="36" borderId="113">
      <alignment vertical="top"/>
      <protection locked="0"/>
    </xf>
    <xf numFmtId="20" fontId="18" fillId="36" borderId="113">
      <alignment vertical="top"/>
      <protection locked="0"/>
    </xf>
    <xf numFmtId="20" fontId="18" fillId="36" borderId="113">
      <alignment vertical="top"/>
      <protection locked="0"/>
    </xf>
    <xf numFmtId="20" fontId="18" fillId="36" borderId="113">
      <alignment vertical="top"/>
      <protection locked="0"/>
    </xf>
    <xf numFmtId="179" fontId="18" fillId="0" borderId="103">
      <alignment horizontal="right"/>
    </xf>
    <xf numFmtId="179" fontId="18" fillId="0" borderId="103">
      <alignment horizontal="right"/>
    </xf>
    <xf numFmtId="0" fontId="18" fillId="0" borderId="103"/>
    <xf numFmtId="0" fontId="18" fillId="0" borderId="103"/>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9" fontId="18" fillId="0" borderId="103"/>
    <xf numFmtId="9" fontId="18" fillId="0" borderId="103"/>
    <xf numFmtId="3" fontId="18" fillId="0" borderId="103"/>
    <xf numFmtId="3" fontId="18" fillId="0" borderId="103"/>
    <xf numFmtId="10" fontId="18" fillId="0" borderId="103"/>
    <xf numFmtId="10" fontId="18" fillId="0" borderId="103"/>
    <xf numFmtId="3" fontId="18" fillId="0" borderId="103"/>
    <xf numFmtId="3" fontId="18" fillId="0" borderId="103"/>
    <xf numFmtId="4" fontId="18" fillId="0" borderId="103"/>
    <xf numFmtId="4" fontId="18" fillId="0" borderId="103"/>
    <xf numFmtId="10" fontId="18" fillId="35" borderId="103" applyNumberFormat="0" applyBorder="0" applyAlignment="0" applyProtection="0"/>
    <xf numFmtId="10" fontId="18" fillId="35" borderId="103" applyNumberFormat="0" applyBorder="0" applyAlignment="0" applyProtection="0"/>
    <xf numFmtId="0" fontId="18" fillId="0" borderId="114" applyNumberFormat="0" applyAlignment="0">
      <alignment vertical="center"/>
      <protection locked="0"/>
    </xf>
    <xf numFmtId="0" fontId="18" fillId="0" borderId="114" applyNumberFormat="0" applyAlignment="0">
      <alignment vertical="center"/>
      <protection locked="0"/>
    </xf>
    <xf numFmtId="0" fontId="18" fillId="0" borderId="114" applyNumberFormat="0" applyAlignment="0">
      <alignment vertical="center"/>
      <protection locked="0"/>
    </xf>
    <xf numFmtId="0" fontId="18" fillId="0" borderId="114" applyNumberFormat="0" applyAlignment="0">
      <alignment vertical="center"/>
      <protection locked="0"/>
    </xf>
    <xf numFmtId="294" fontId="18" fillId="56" borderId="114" applyNumberFormat="0" applyAlignment="0">
      <alignment vertical="center"/>
      <protection locked="0"/>
    </xf>
    <xf numFmtId="294" fontId="18" fillId="56" borderId="114" applyNumberFormat="0" applyAlignment="0">
      <alignment vertical="center"/>
      <protection locked="0"/>
    </xf>
    <xf numFmtId="294" fontId="18" fillId="56" borderId="114" applyNumberFormat="0" applyAlignment="0">
      <alignment vertical="center"/>
      <protection locked="0"/>
    </xf>
    <xf numFmtId="294" fontId="18" fillId="56" borderId="114" applyNumberFormat="0" applyAlignment="0">
      <alignment vertical="center"/>
      <protection locked="0"/>
    </xf>
    <xf numFmtId="0" fontId="18" fillId="57" borderId="115" applyNumberFormat="0" applyAlignment="0">
      <protection locked="0"/>
    </xf>
    <xf numFmtId="0" fontId="18" fillId="57" borderId="115" applyNumberFormat="0" applyAlignment="0">
      <protection locked="0"/>
    </xf>
    <xf numFmtId="0" fontId="18" fillId="57" borderId="115" applyNumberFormat="0" applyAlignment="0">
      <protection locked="0"/>
    </xf>
    <xf numFmtId="0" fontId="18" fillId="57" borderId="115" applyNumberFormat="0" applyAlignment="0">
      <protection locked="0"/>
    </xf>
    <xf numFmtId="0" fontId="18" fillId="0" borderId="116" applyNumberFormat="0" applyAlignment="0">
      <alignment vertical="center"/>
      <protection locked="0"/>
    </xf>
    <xf numFmtId="0" fontId="18" fillId="0" borderId="116" applyNumberFormat="0" applyAlignment="0">
      <alignment vertical="center"/>
      <protection locked="0"/>
    </xf>
    <xf numFmtId="0" fontId="18" fillId="0" borderId="116" applyNumberFormat="0" applyAlignment="0">
      <alignment vertical="center"/>
      <protection locked="0"/>
    </xf>
    <xf numFmtId="0" fontId="18" fillId="0" borderId="116" applyNumberFormat="0" applyAlignment="0">
      <alignment vertical="center"/>
      <protection locked="0"/>
    </xf>
    <xf numFmtId="0" fontId="18" fillId="59" borderId="115" applyNumberFormat="0" applyAlignment="0">
      <protection locked="0"/>
    </xf>
    <xf numFmtId="0" fontId="18" fillId="59" borderId="115" applyNumberFormat="0" applyAlignment="0">
      <protection locked="0"/>
    </xf>
    <xf numFmtId="0" fontId="18" fillId="59" borderId="115" applyNumberFormat="0" applyAlignment="0">
      <protection locked="0"/>
    </xf>
    <xf numFmtId="0" fontId="18" fillId="59" borderId="115" applyNumberFormat="0" applyAlignment="0">
      <protection locked="0"/>
    </xf>
    <xf numFmtId="267" fontId="18" fillId="36" borderId="113">
      <alignment vertical="top"/>
      <protection locked="0"/>
    </xf>
    <xf numFmtId="267" fontId="18" fillId="36" borderId="113">
      <alignment vertical="top"/>
      <protection locked="0"/>
    </xf>
    <xf numFmtId="267" fontId="18" fillId="36" borderId="113">
      <alignment vertical="top"/>
      <protection locked="0"/>
    </xf>
    <xf numFmtId="267" fontId="18" fillId="36" borderId="113">
      <alignment vertical="top"/>
      <protection locked="0"/>
    </xf>
    <xf numFmtId="268" fontId="18" fillId="36" borderId="113">
      <alignment vertical="top"/>
      <protection locked="0"/>
    </xf>
    <xf numFmtId="268" fontId="18" fillId="36" borderId="113">
      <alignment vertical="top"/>
      <protection locked="0"/>
    </xf>
    <xf numFmtId="268" fontId="18" fillId="36" borderId="113">
      <alignment vertical="top"/>
      <protection locked="0"/>
    </xf>
    <xf numFmtId="268" fontId="18" fillId="36" borderId="113">
      <alignment vertical="top"/>
      <protection locked="0"/>
    </xf>
    <xf numFmtId="269" fontId="18" fillId="36" borderId="113">
      <alignment vertical="top"/>
      <protection locked="0"/>
    </xf>
    <xf numFmtId="269" fontId="18" fillId="36" borderId="113">
      <alignment vertical="top"/>
      <protection locked="0"/>
    </xf>
    <xf numFmtId="269" fontId="18" fillId="36" borderId="113">
      <alignment vertical="top"/>
      <protection locked="0"/>
    </xf>
    <xf numFmtId="269" fontId="18" fillId="36" borderId="113">
      <alignment vertical="top"/>
      <protection locked="0"/>
    </xf>
    <xf numFmtId="270" fontId="18" fillId="36" borderId="113">
      <alignment vertical="top"/>
      <protection locked="0"/>
    </xf>
    <xf numFmtId="270" fontId="18" fillId="36" borderId="113">
      <alignment vertical="top"/>
      <protection locked="0"/>
    </xf>
    <xf numFmtId="270" fontId="18" fillId="36" borderId="113">
      <alignment vertical="top"/>
      <protection locked="0"/>
    </xf>
    <xf numFmtId="270" fontId="18" fillId="36" borderId="113">
      <alignment vertical="top"/>
      <protection locked="0"/>
    </xf>
    <xf numFmtId="271" fontId="18" fillId="36" borderId="113">
      <alignment vertical="top"/>
      <protection locked="0"/>
    </xf>
    <xf numFmtId="271" fontId="18" fillId="36" borderId="113">
      <alignment vertical="top"/>
      <protection locked="0"/>
    </xf>
    <xf numFmtId="271" fontId="18" fillId="36" borderId="113">
      <alignment vertical="top"/>
      <protection locked="0"/>
    </xf>
    <xf numFmtId="271" fontId="18" fillId="36" borderId="113">
      <alignment vertical="top"/>
      <protection locked="0"/>
    </xf>
    <xf numFmtId="275" fontId="18" fillId="36" borderId="113">
      <alignment vertical="top"/>
      <protection locked="0"/>
    </xf>
    <xf numFmtId="275" fontId="18" fillId="36" borderId="113">
      <alignment vertical="top"/>
      <protection locked="0"/>
    </xf>
    <xf numFmtId="275" fontId="18" fillId="36" borderId="113">
      <alignment vertical="top"/>
      <protection locked="0"/>
    </xf>
    <xf numFmtId="275" fontId="18" fillId="36" borderId="113">
      <alignment vertical="top"/>
      <protection locked="0"/>
    </xf>
    <xf numFmtId="276" fontId="18" fillId="36" borderId="113">
      <alignment vertical="top"/>
      <protection locked="0"/>
    </xf>
    <xf numFmtId="276" fontId="18" fillId="36" borderId="113">
      <alignment vertical="top"/>
      <protection locked="0"/>
    </xf>
    <xf numFmtId="276" fontId="18" fillId="36" borderId="113">
      <alignment vertical="top"/>
      <protection locked="0"/>
    </xf>
    <xf numFmtId="276" fontId="18" fillId="36" borderId="113">
      <alignment vertical="top"/>
      <protection locked="0"/>
    </xf>
    <xf numFmtId="0" fontId="18" fillId="61" borderId="117">
      <alignment horizontal="left" vertical="center" wrapText="1"/>
    </xf>
    <xf numFmtId="0" fontId="18" fillId="61" borderId="117">
      <alignment horizontal="left" vertical="center" wrapText="1"/>
    </xf>
    <xf numFmtId="0" fontId="18" fillId="61" borderId="117">
      <alignment horizontal="left" vertical="center" wrapText="1"/>
    </xf>
    <xf numFmtId="0" fontId="18" fillId="61" borderId="117">
      <alignment horizontal="left" vertical="center" wrapText="1"/>
    </xf>
    <xf numFmtId="0" fontId="18" fillId="36" borderId="113">
      <alignment vertical="top"/>
    </xf>
    <xf numFmtId="0" fontId="18" fillId="36" borderId="113">
      <alignment vertical="top"/>
    </xf>
    <xf numFmtId="0" fontId="18" fillId="36" borderId="113">
      <alignment vertical="top"/>
    </xf>
    <xf numFmtId="0" fontId="18" fillId="36" borderId="113">
      <alignment vertical="top"/>
    </xf>
    <xf numFmtId="0" fontId="18" fillId="36" borderId="113">
      <alignment vertical="top" wrapText="1"/>
      <protection locked="0"/>
    </xf>
    <xf numFmtId="0" fontId="18" fillId="36" borderId="113">
      <alignment vertical="top" wrapText="1"/>
      <protection locked="0"/>
    </xf>
    <xf numFmtId="0" fontId="18" fillId="36" borderId="113">
      <alignment vertical="top" wrapText="1"/>
      <protection locked="0"/>
    </xf>
    <xf numFmtId="0" fontId="18" fillId="36" borderId="113">
      <alignment vertical="top" wrapText="1"/>
      <protection locked="0"/>
    </xf>
    <xf numFmtId="0" fontId="18" fillId="36" borderId="113">
      <alignment vertical="top"/>
      <protection locked="0"/>
    </xf>
    <xf numFmtId="0" fontId="18" fillId="36" borderId="113">
      <alignment vertical="top"/>
      <protection locked="0"/>
    </xf>
    <xf numFmtId="0" fontId="18" fillId="36" borderId="113">
      <alignment vertical="top"/>
      <protection locked="0"/>
    </xf>
    <xf numFmtId="0" fontId="18" fillId="36" borderId="113">
      <alignment vertical="top"/>
      <protection locked="0"/>
    </xf>
    <xf numFmtId="299" fontId="18" fillId="48" borderId="103"/>
    <xf numFmtId="299" fontId="18" fillId="48" borderId="103"/>
    <xf numFmtId="0" fontId="18" fillId="0" borderId="76"/>
    <xf numFmtId="0" fontId="18" fillId="0" borderId="103" applyNumberFormat="0" applyFont="0" applyBorder="0" applyAlignment="0" applyProtection="0">
      <alignment horizontal="center"/>
    </xf>
    <xf numFmtId="0" fontId="18" fillId="0" borderId="103" applyNumberFormat="0" applyFont="0" applyBorder="0" applyAlignment="0" applyProtection="0">
      <alignment horizontal="center"/>
    </xf>
    <xf numFmtId="319" fontId="18" fillId="0" borderId="109"/>
    <xf numFmtId="177" fontId="18" fillId="36" borderId="103"/>
    <xf numFmtId="177" fontId="18" fillId="36" borderId="103"/>
    <xf numFmtId="0" fontId="18" fillId="37" borderId="103">
      <alignment horizontal="right"/>
      <protection locked="0"/>
    </xf>
    <xf numFmtId="0" fontId="18" fillId="37" borderId="103">
      <alignment horizontal="right"/>
      <protection locked="0"/>
    </xf>
    <xf numFmtId="0" fontId="18" fillId="33" borderId="119"/>
    <xf numFmtId="0" fontId="18" fillId="33" borderId="119"/>
    <xf numFmtId="0" fontId="18" fillId="0" borderId="76">
      <alignment horizont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horizontal="left" vertical="center" indent="1"/>
    </xf>
    <xf numFmtId="4" fontId="18" fillId="36" borderId="120" applyNumberFormat="0" applyProtection="0">
      <alignment horizontal="left" vertical="center" indent="1"/>
    </xf>
    <xf numFmtId="4" fontId="18" fillId="36" borderId="120" applyNumberFormat="0" applyProtection="0">
      <alignment horizontal="left" vertical="center" indent="1"/>
    </xf>
    <xf numFmtId="4" fontId="18" fillId="36" borderId="120" applyNumberFormat="0" applyProtection="0">
      <alignment horizontal="left" vertical="center" indent="1"/>
    </xf>
    <xf numFmtId="4" fontId="18" fillId="36" borderId="118" applyNumberFormat="0" applyProtection="0">
      <alignment horizontal="left" vertical="center" indent="1"/>
    </xf>
    <xf numFmtId="4" fontId="18" fillId="36" borderId="118" applyNumberFormat="0" applyProtection="0">
      <alignment horizontal="left" vertical="center" indent="1"/>
    </xf>
    <xf numFmtId="4" fontId="18" fillId="36" borderId="118" applyNumberFormat="0" applyProtection="0">
      <alignment horizontal="left" vertical="center" indent="1"/>
    </xf>
    <xf numFmtId="4" fontId="18" fillId="36" borderId="118" applyNumberFormat="0" applyProtection="0">
      <alignment horizontal="left" vertical="center" indent="1"/>
    </xf>
    <xf numFmtId="4" fontId="18" fillId="64" borderId="120" applyNumberFormat="0" applyProtection="0">
      <alignment horizontal="right" vertical="center"/>
    </xf>
    <xf numFmtId="4" fontId="18" fillId="64" borderId="120" applyNumberFormat="0" applyProtection="0">
      <alignment horizontal="right" vertical="center"/>
    </xf>
    <xf numFmtId="4" fontId="18" fillId="64" borderId="120" applyNumberFormat="0" applyProtection="0">
      <alignment horizontal="right" vertical="center"/>
    </xf>
    <xf numFmtId="4" fontId="18" fillId="64" borderId="120" applyNumberFormat="0" applyProtection="0">
      <alignment horizontal="right" vertical="center"/>
    </xf>
    <xf numFmtId="4" fontId="18" fillId="65" borderId="120" applyNumberFormat="0" applyProtection="0">
      <alignment horizontal="right" vertical="center"/>
    </xf>
    <xf numFmtId="4" fontId="18" fillId="65" borderId="120" applyNumberFormat="0" applyProtection="0">
      <alignment horizontal="right" vertical="center"/>
    </xf>
    <xf numFmtId="4" fontId="18" fillId="65" borderId="120" applyNumberFormat="0" applyProtection="0">
      <alignment horizontal="right" vertical="center"/>
    </xf>
    <xf numFmtId="4" fontId="18" fillId="65" borderId="120" applyNumberFormat="0" applyProtection="0">
      <alignment horizontal="right" vertical="center"/>
    </xf>
    <xf numFmtId="4" fontId="18" fillId="46" borderId="120" applyNumberFormat="0" applyProtection="0">
      <alignment horizontal="right" vertical="center"/>
    </xf>
    <xf numFmtId="4" fontId="18" fillId="46" borderId="120" applyNumberFormat="0" applyProtection="0">
      <alignment horizontal="right" vertical="center"/>
    </xf>
    <xf numFmtId="4" fontId="18" fillId="46" borderId="120" applyNumberFormat="0" applyProtection="0">
      <alignment horizontal="right" vertical="center"/>
    </xf>
    <xf numFmtId="4" fontId="18" fillId="46" borderId="120" applyNumberFormat="0" applyProtection="0">
      <alignment horizontal="right" vertical="center"/>
    </xf>
    <xf numFmtId="4" fontId="18" fillId="55" borderId="120" applyNumberFormat="0" applyProtection="0">
      <alignment horizontal="right" vertical="center"/>
    </xf>
    <xf numFmtId="4" fontId="18" fillId="55" borderId="120" applyNumberFormat="0" applyProtection="0">
      <alignment horizontal="right" vertical="center"/>
    </xf>
    <xf numFmtId="4" fontId="18" fillId="55" borderId="120" applyNumberFormat="0" applyProtection="0">
      <alignment horizontal="right" vertical="center"/>
    </xf>
    <xf numFmtId="4" fontId="18" fillId="55" borderId="120" applyNumberFormat="0" applyProtection="0">
      <alignment horizontal="right" vertical="center"/>
    </xf>
    <xf numFmtId="4" fontId="18" fillId="66" borderId="120" applyNumberFormat="0" applyProtection="0">
      <alignment horizontal="right" vertical="center"/>
    </xf>
    <xf numFmtId="4" fontId="18" fillId="66" borderId="120" applyNumberFormat="0" applyProtection="0">
      <alignment horizontal="right" vertical="center"/>
    </xf>
    <xf numFmtId="4" fontId="18" fillId="66" borderId="120" applyNumberFormat="0" applyProtection="0">
      <alignment horizontal="right" vertical="center"/>
    </xf>
    <xf numFmtId="4" fontId="18" fillId="66" borderId="120" applyNumberFormat="0" applyProtection="0">
      <alignment horizontal="right" vertical="center"/>
    </xf>
    <xf numFmtId="4" fontId="18" fillId="67" borderId="120" applyNumberFormat="0" applyProtection="0">
      <alignment horizontal="right" vertical="center"/>
    </xf>
    <xf numFmtId="4" fontId="18" fillId="67" borderId="120" applyNumberFormat="0" applyProtection="0">
      <alignment horizontal="right" vertical="center"/>
    </xf>
    <xf numFmtId="4" fontId="18" fillId="67" borderId="120" applyNumberFormat="0" applyProtection="0">
      <alignment horizontal="right" vertical="center"/>
    </xf>
    <xf numFmtId="4" fontId="18" fillId="67" borderId="120" applyNumberFormat="0" applyProtection="0">
      <alignment horizontal="right" vertical="center"/>
    </xf>
    <xf numFmtId="4" fontId="18" fillId="68" borderId="120" applyNumberFormat="0" applyProtection="0">
      <alignment horizontal="right" vertical="center"/>
    </xf>
    <xf numFmtId="4" fontId="18" fillId="68" borderId="120" applyNumberFormat="0" applyProtection="0">
      <alignment horizontal="right" vertical="center"/>
    </xf>
    <xf numFmtId="4" fontId="18" fillId="68" borderId="120" applyNumberFormat="0" applyProtection="0">
      <alignment horizontal="right" vertical="center"/>
    </xf>
    <xf numFmtId="4" fontId="18" fillId="68" borderId="120" applyNumberFormat="0" applyProtection="0">
      <alignment horizontal="right" vertical="center"/>
    </xf>
    <xf numFmtId="4" fontId="18" fillId="69" borderId="120" applyNumberFormat="0" applyProtection="0">
      <alignment horizontal="right" vertical="center"/>
    </xf>
    <xf numFmtId="4" fontId="18" fillId="69" borderId="120" applyNumberFormat="0" applyProtection="0">
      <alignment horizontal="right" vertical="center"/>
    </xf>
    <xf numFmtId="4" fontId="18" fillId="69" borderId="120" applyNumberFormat="0" applyProtection="0">
      <alignment horizontal="right" vertical="center"/>
    </xf>
    <xf numFmtId="4" fontId="18" fillId="69" borderId="120" applyNumberFormat="0" applyProtection="0">
      <alignment horizontal="right" vertical="center"/>
    </xf>
    <xf numFmtId="4" fontId="18" fillId="70" borderId="120" applyNumberFormat="0" applyProtection="0">
      <alignment horizontal="right" vertical="center"/>
    </xf>
    <xf numFmtId="4" fontId="18" fillId="70" borderId="120" applyNumberFormat="0" applyProtection="0">
      <alignment horizontal="right" vertical="center"/>
    </xf>
    <xf numFmtId="4" fontId="18" fillId="70" borderId="120" applyNumberFormat="0" applyProtection="0">
      <alignment horizontal="right" vertical="center"/>
    </xf>
    <xf numFmtId="4" fontId="18" fillId="70" borderId="120" applyNumberFormat="0" applyProtection="0">
      <alignment horizontal="right" vertical="center"/>
    </xf>
    <xf numFmtId="4" fontId="18" fillId="44" borderId="120" applyNumberFormat="0" applyProtection="0">
      <alignment horizontal="right" vertical="center"/>
    </xf>
    <xf numFmtId="4" fontId="18" fillId="44" borderId="120" applyNumberFormat="0" applyProtection="0">
      <alignment horizontal="right" vertical="center"/>
    </xf>
    <xf numFmtId="4" fontId="18" fillId="44" borderId="120" applyNumberFormat="0" applyProtection="0">
      <alignment horizontal="right" vertical="center"/>
    </xf>
    <xf numFmtId="4" fontId="18" fillId="44" borderId="120" applyNumberFormat="0" applyProtection="0">
      <alignment horizontal="right" vertical="center"/>
    </xf>
    <xf numFmtId="0" fontId="18" fillId="72" borderId="118" applyNumberFormat="0" applyProtection="0">
      <alignment horizontal="left" vertical="center" indent="1"/>
    </xf>
    <xf numFmtId="0" fontId="18" fillId="72" borderId="118" applyNumberFormat="0" applyProtection="0">
      <alignment horizontal="left" vertical="center" indent="1"/>
    </xf>
    <xf numFmtId="0" fontId="18" fillId="72" borderId="118" applyNumberFormat="0" applyProtection="0">
      <alignment horizontal="left" vertical="center" indent="1"/>
    </xf>
    <xf numFmtId="0" fontId="18" fillId="72" borderId="118" applyNumberFormat="0" applyProtection="0">
      <alignment horizontal="left" vertical="center" indent="1"/>
    </xf>
    <xf numFmtId="0" fontId="18" fillId="38" borderId="118" applyNumberFormat="0" applyProtection="0">
      <alignment horizontal="left" vertical="center" indent="1"/>
    </xf>
    <xf numFmtId="0" fontId="18" fillId="38" borderId="118" applyNumberFormat="0" applyProtection="0">
      <alignment horizontal="left" vertical="center" indent="1"/>
    </xf>
    <xf numFmtId="0" fontId="18" fillId="38" borderId="118" applyNumberFormat="0" applyProtection="0">
      <alignment horizontal="left" vertical="center" indent="1"/>
    </xf>
    <xf numFmtId="0" fontId="18" fillId="38" borderId="118" applyNumberFormat="0" applyProtection="0">
      <alignment horizontal="left" vertical="center" indent="1"/>
    </xf>
    <xf numFmtId="0" fontId="18" fillId="37" borderId="118" applyNumberFormat="0" applyProtection="0">
      <alignment horizontal="left" vertical="center" indent="1"/>
    </xf>
    <xf numFmtId="0" fontId="18" fillId="37" borderId="118" applyNumberFormat="0" applyProtection="0">
      <alignment horizontal="left" vertical="center" indent="1"/>
    </xf>
    <xf numFmtId="0" fontId="18" fillId="37" borderId="118" applyNumberFormat="0" applyProtection="0">
      <alignment horizontal="left" vertical="center" indent="1"/>
    </xf>
    <xf numFmtId="0" fontId="18" fillId="37" borderId="118" applyNumberFormat="0" applyProtection="0">
      <alignment horizontal="left" vertical="center" indent="1"/>
    </xf>
    <xf numFmtId="0" fontId="18" fillId="48" borderId="118" applyNumberFormat="0" applyProtection="0">
      <alignment horizontal="left" vertical="center" indent="1"/>
    </xf>
    <xf numFmtId="0" fontId="18" fillId="48" borderId="118" applyNumberFormat="0" applyProtection="0">
      <alignment horizontal="left" vertical="center" indent="1"/>
    </xf>
    <xf numFmtId="0" fontId="18" fillId="48" borderId="118" applyNumberFormat="0" applyProtection="0">
      <alignment horizontal="left" vertical="center" indent="1"/>
    </xf>
    <xf numFmtId="0" fontId="18" fillId="48" borderId="118" applyNumberFormat="0" applyProtection="0">
      <alignment horizontal="left" vertical="center" indent="1"/>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44" borderId="121" applyNumberFormat="0" applyProtection="0">
      <alignment horizontal="left" vertical="center" indent="1"/>
    </xf>
    <xf numFmtId="4" fontId="18" fillId="44" borderId="121" applyNumberFormat="0" applyProtection="0">
      <alignment horizontal="left" vertical="center" indent="1"/>
    </xf>
    <xf numFmtId="4" fontId="18" fillId="44" borderId="121" applyNumberFormat="0" applyProtection="0">
      <alignment horizontal="left" vertical="center" indent="1"/>
    </xf>
    <xf numFmtId="4" fontId="18" fillId="44" borderId="121" applyNumberFormat="0" applyProtection="0">
      <alignment horizontal="left" vertical="center" indent="1"/>
    </xf>
    <xf numFmtId="4" fontId="18" fillId="35" borderId="118" applyNumberFormat="0" applyProtection="0">
      <alignment horizontal="left" vertical="center" indent="1"/>
    </xf>
    <xf numFmtId="4" fontId="18" fillId="35" borderId="118" applyNumberFormat="0" applyProtection="0">
      <alignment horizontal="left" vertical="center" indent="1"/>
    </xf>
    <xf numFmtId="4" fontId="18" fillId="35" borderId="118" applyNumberFormat="0" applyProtection="0">
      <alignment horizontal="left" vertical="center" indent="1"/>
    </xf>
    <xf numFmtId="4" fontId="18" fillId="35" borderId="118" applyNumberFormat="0" applyProtection="0">
      <alignment horizontal="left" vertical="center" indent="1"/>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44" borderId="120" applyNumberFormat="0" applyProtection="0">
      <alignment horizontal="left" vertical="center" indent="1"/>
    </xf>
    <xf numFmtId="4" fontId="18" fillId="44" borderId="120" applyNumberFormat="0" applyProtection="0">
      <alignment horizontal="left" vertical="center" indent="1"/>
    </xf>
    <xf numFmtId="4" fontId="18" fillId="44" borderId="120" applyNumberFormat="0" applyProtection="0">
      <alignment horizontal="left" vertical="center" indent="1"/>
    </xf>
    <xf numFmtId="4" fontId="18" fillId="44" borderId="120" applyNumberFormat="0" applyProtection="0">
      <alignment horizontal="left" vertical="center" indent="1"/>
    </xf>
    <xf numFmtId="4" fontId="18" fillId="62" borderId="121" applyNumberFormat="0" applyProtection="0">
      <alignment horizontal="left" vertical="center" indent="1"/>
    </xf>
    <xf numFmtId="4" fontId="18" fillId="62" borderId="121" applyNumberFormat="0" applyProtection="0">
      <alignment horizontal="left" vertical="center" indent="1"/>
    </xf>
    <xf numFmtId="4" fontId="18" fillId="62" borderId="121" applyNumberFormat="0" applyProtection="0">
      <alignment horizontal="left" vertical="center" indent="1"/>
    </xf>
    <xf numFmtId="4" fontId="18" fillId="62" borderId="121" applyNumberFormat="0" applyProtection="0">
      <alignment horizontal="left" vertical="center" indent="1"/>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0" fontId="18" fillId="52" borderId="103">
      <alignment horizontal="center" vertical="center" wrapText="1"/>
      <protection hidden="1"/>
    </xf>
    <xf numFmtId="0" fontId="18" fillId="52" borderId="103">
      <alignment horizontal="center" vertical="center" wrapText="1"/>
      <protection hidden="1"/>
    </xf>
    <xf numFmtId="0" fontId="18" fillId="75" borderId="122">
      <alignment horizontal="center" wrapText="1"/>
    </xf>
    <xf numFmtId="0" fontId="18" fillId="55" borderId="103"/>
    <xf numFmtId="0" fontId="18" fillId="55" borderId="103"/>
    <xf numFmtId="334" fontId="18" fillId="0" borderId="123"/>
    <xf numFmtId="37" fontId="18" fillId="49" borderId="124" applyNumberFormat="0" applyBorder="0">
      <alignment horizontal="center"/>
    </xf>
    <xf numFmtId="37" fontId="18" fillId="49" borderId="124" applyNumberFormat="0" applyBorder="0">
      <alignment horizontal="center"/>
    </xf>
    <xf numFmtId="37" fontId="18" fillId="49" borderId="124" applyNumberFormat="0" applyBorder="0">
      <alignment horizontal="center"/>
    </xf>
    <xf numFmtId="37" fontId="18" fillId="49" borderId="124" applyNumberFormat="0" applyBorder="0">
      <alignment horizontal="center"/>
    </xf>
    <xf numFmtId="177" fontId="18" fillId="0" borderId="123"/>
    <xf numFmtId="0" fontId="18" fillId="40" borderId="103"/>
    <xf numFmtId="0" fontId="18" fillId="40" borderId="103"/>
    <xf numFmtId="1" fontId="18" fillId="36" borderId="103" applyNumberFormat="0" applyFont="0" applyBorder="0" applyAlignment="0">
      <alignment horizontal="center" vertical="center" wrapText="1"/>
    </xf>
    <xf numFmtId="1" fontId="18" fillId="36" borderId="103" applyNumberFormat="0" applyFont="0" applyBorder="0" applyAlignment="0">
      <alignment horizontal="center" vertical="center" wrapText="1"/>
    </xf>
    <xf numFmtId="0" fontId="18" fillId="67" borderId="113">
      <alignment horizontal="center" vertical="top" wrapText="1"/>
    </xf>
    <xf numFmtId="0" fontId="18" fillId="67" borderId="113">
      <alignment horizontal="center" vertical="top" wrapText="1"/>
    </xf>
    <xf numFmtId="0" fontId="18" fillId="67" borderId="113">
      <alignment horizontal="center" vertical="top" wrapText="1"/>
    </xf>
    <xf numFmtId="0" fontId="18" fillId="67" borderId="113">
      <alignment horizontal="center" vertical="top" wrapText="1"/>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vertical="top" wrapText="1"/>
    </xf>
    <xf numFmtId="0" fontId="18" fillId="67" borderId="113">
      <alignment vertical="top" wrapText="1"/>
    </xf>
    <xf numFmtId="0" fontId="18" fillId="67" borderId="113">
      <alignment vertical="top" wrapText="1"/>
    </xf>
    <xf numFmtId="0" fontId="18" fillId="67" borderId="113">
      <alignment vertical="top" wrapText="1"/>
    </xf>
    <xf numFmtId="17" fontId="18" fillId="67" borderId="113">
      <alignment horizontal="center" vertical="top"/>
    </xf>
    <xf numFmtId="17" fontId="18" fillId="67" borderId="113">
      <alignment horizontal="center" vertical="top"/>
    </xf>
    <xf numFmtId="17" fontId="18" fillId="67" borderId="113">
      <alignment horizontal="center" vertical="top"/>
    </xf>
    <xf numFmtId="17" fontId="18" fillId="67" borderId="113">
      <alignment horizontal="center" vertical="top"/>
    </xf>
    <xf numFmtId="0" fontId="18" fillId="67" borderId="113">
      <alignment horizontal="centerContinuous" vertical="top" wrapText="1"/>
    </xf>
    <xf numFmtId="0" fontId="18" fillId="67" borderId="113">
      <alignment horizontal="centerContinuous" vertical="top" wrapText="1"/>
    </xf>
    <xf numFmtId="0" fontId="18" fillId="67" borderId="113">
      <alignment horizontal="centerContinuous" vertical="top" wrapText="1"/>
    </xf>
    <xf numFmtId="0" fontId="18" fillId="67" borderId="113">
      <alignment horizontal="centerContinuous" vertical="top" wrapText="1"/>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horizontal="center" textRotation="90"/>
    </xf>
    <xf numFmtId="0" fontId="18" fillId="67" borderId="113">
      <alignment horizontal="center" textRotation="90"/>
    </xf>
    <xf numFmtId="0" fontId="18" fillId="67" borderId="113">
      <alignment horizontal="center" textRotation="90"/>
    </xf>
    <xf numFmtId="0" fontId="18" fillId="67" borderId="113">
      <alignment horizontal="center" textRotation="90"/>
    </xf>
    <xf numFmtId="338" fontId="18" fillId="67" borderId="113">
      <alignment horizontal="center" vertical="top"/>
    </xf>
    <xf numFmtId="338" fontId="18" fillId="67" borderId="113">
      <alignment horizontal="center" vertical="top"/>
    </xf>
    <xf numFmtId="338" fontId="18" fillId="67" borderId="113">
      <alignment horizontal="center" vertical="top"/>
    </xf>
    <xf numFmtId="338" fontId="18" fillId="67" borderId="113">
      <alignment horizontal="center" vertical="top"/>
    </xf>
    <xf numFmtId="0" fontId="18" fillId="64" borderId="103" applyNumberFormat="0" applyFont="0" applyBorder="0" applyAlignment="0" applyProtection="0">
      <alignment horizontal="center"/>
    </xf>
    <xf numFmtId="0" fontId="18" fillId="64" borderId="103" applyNumberFormat="0" applyFont="0" applyBorder="0" applyAlignment="0" applyProtection="0">
      <alignment horizontal="center"/>
    </xf>
    <xf numFmtId="0" fontId="18" fillId="38" borderId="133" applyNumberFormat="0" applyProtection="0">
      <alignment horizontal="left" vertical="center" indent="1"/>
    </xf>
    <xf numFmtId="0" fontId="18" fillId="38" borderId="133" applyNumberFormat="0" applyProtection="0">
      <alignment horizontal="left" vertical="center" indent="1"/>
    </xf>
    <xf numFmtId="0" fontId="18" fillId="59" borderId="115" applyNumberFormat="0" applyAlignment="0">
      <protection locked="0"/>
    </xf>
    <xf numFmtId="10" fontId="18" fillId="34" borderId="76" applyNumberFormat="0" applyBorder="0" applyAlignment="0">
      <alignment horizontal="center"/>
      <protection locked="0"/>
    </xf>
    <xf numFmtId="4" fontId="18" fillId="64" borderId="134" applyNumberFormat="0" applyProtection="0">
      <alignment horizontal="right" vertical="center"/>
    </xf>
    <xf numFmtId="37" fontId="18" fillId="0" borderId="76" applyNumberFormat="0" applyFont="0" applyFill="0" applyAlignment="0" applyProtection="0"/>
    <xf numFmtId="0" fontId="18" fillId="0" borderId="76" applyNumberFormat="0" applyFont="0" applyFill="0" applyAlignment="0" applyProtection="0"/>
    <xf numFmtId="277" fontId="18" fillId="0" borderId="109"/>
    <xf numFmtId="0" fontId="18" fillId="0" borderId="112" applyNumberFormat="0" applyFill="0" applyBorder="0" applyAlignment="0" applyProtection="0">
      <alignment horizontal="left"/>
    </xf>
    <xf numFmtId="0" fontId="18" fillId="0" borderId="76"/>
    <xf numFmtId="319" fontId="18" fillId="0" borderId="109"/>
    <xf numFmtId="0" fontId="18" fillId="0" borderId="76">
      <alignment horizontal="center"/>
    </xf>
    <xf numFmtId="0" fontId="18" fillId="75" borderId="122">
      <alignment horizontal="center" wrapText="1"/>
    </xf>
    <xf numFmtId="334" fontId="18" fillId="0" borderId="123"/>
    <xf numFmtId="177" fontId="18" fillId="0" borderId="123"/>
    <xf numFmtId="3" fontId="18" fillId="46" borderId="103"/>
    <xf numFmtId="179" fontId="18" fillId="0" borderId="103"/>
    <xf numFmtId="0" fontId="18" fillId="36" borderId="103">
      <alignment horizontal="right"/>
    </xf>
    <xf numFmtId="0" fontId="18" fillId="0" borderId="103" applyNumberFormat="0" applyFont="0" applyFill="0" applyBorder="0" applyAlignment="0">
      <alignment horizontal="center"/>
    </xf>
    <xf numFmtId="0" fontId="18" fillId="0" borderId="103" applyNumberFormat="0" applyFont="0" applyFill="0" applyBorder="0" applyAlignment="0">
      <alignment horizontal="center"/>
    </xf>
    <xf numFmtId="0" fontId="18" fillId="37" borderId="107" applyNumberFormat="0" applyFill="0" applyBorder="0" applyAlignment="0" applyProtection="0">
      <alignment horizontal="left" vertical="center" wrapText="1"/>
    </xf>
    <xf numFmtId="0" fontId="18" fillId="0" borderId="108" applyNumberFormat="0" applyFill="0"/>
    <xf numFmtId="0" fontId="18" fillId="0" borderId="108" applyNumberFormat="0" applyFill="0"/>
    <xf numFmtId="0" fontId="18" fillId="0" borderId="108" applyNumberFormat="0" applyFill="0"/>
    <xf numFmtId="0" fontId="18" fillId="0" borderId="108" applyNumberFormat="0" applyFill="0"/>
    <xf numFmtId="0" fontId="18" fillId="0" borderId="103" applyNumberFormat="0">
      <alignment horizontal="center" vertical="center"/>
    </xf>
    <xf numFmtId="0" fontId="18" fillId="0" borderId="103" applyNumberFormat="0">
      <alignment horizontal="center" vertical="center"/>
    </xf>
    <xf numFmtId="277" fontId="18" fillId="0" borderId="109"/>
    <xf numFmtId="0" fontId="18" fillId="0" borderId="110">
      <protection locked="0"/>
    </xf>
    <xf numFmtId="0" fontId="18" fillId="0" borderId="110">
      <protection locked="0"/>
    </xf>
    <xf numFmtId="0" fontId="18" fillId="0" borderId="110">
      <protection locked="0"/>
    </xf>
    <xf numFmtId="0" fontId="18" fillId="0" borderId="110">
      <protection locked="0"/>
    </xf>
    <xf numFmtId="0" fontId="18" fillId="36" borderId="103">
      <alignment horizontal="right"/>
    </xf>
    <xf numFmtId="179" fontId="18" fillId="0" borderId="103"/>
    <xf numFmtId="0" fontId="18" fillId="0" borderId="103"/>
    <xf numFmtId="0" fontId="18" fillId="0" borderId="103"/>
    <xf numFmtId="3" fontId="18" fillId="35" borderId="103"/>
    <xf numFmtId="3" fontId="18" fillId="35" borderId="103"/>
    <xf numFmtId="288" fontId="18" fillId="55" borderId="103" applyNumberFormat="0" applyFont="0" applyBorder="0" applyAlignment="0" applyProtection="0"/>
    <xf numFmtId="288" fontId="18" fillId="55" borderId="103" applyNumberFormat="0" applyFont="0" applyBorder="0" applyAlignment="0" applyProtection="0"/>
    <xf numFmtId="0" fontId="18" fillId="54" borderId="103" applyNumberFormat="0" applyFont="0" applyBorder="0" applyAlignment="0" applyProtection="0"/>
    <xf numFmtId="0" fontId="18" fillId="54" borderId="103" applyNumberFormat="0" applyFont="0" applyBorder="0" applyAlignment="0" applyProtection="0"/>
    <xf numFmtId="0" fontId="18" fillId="36" borderId="113">
      <alignment vertical="top"/>
      <protection locked="0"/>
    </xf>
    <xf numFmtId="0" fontId="18" fillId="36" borderId="113">
      <alignment vertical="top"/>
      <protection locked="0"/>
    </xf>
    <xf numFmtId="0" fontId="18" fillId="36" borderId="113">
      <alignment vertical="top"/>
      <protection locked="0"/>
    </xf>
    <xf numFmtId="0" fontId="18" fillId="36" borderId="113">
      <alignment vertical="top"/>
      <protection locked="0"/>
    </xf>
    <xf numFmtId="245" fontId="18" fillId="36" borderId="113">
      <alignment vertical="top"/>
      <protection locked="0"/>
    </xf>
    <xf numFmtId="245" fontId="18" fillId="36" borderId="113">
      <alignment vertical="top"/>
      <protection locked="0"/>
    </xf>
    <xf numFmtId="245" fontId="18" fillId="36" borderId="113">
      <alignment vertical="top"/>
      <protection locked="0"/>
    </xf>
    <xf numFmtId="245" fontId="18" fillId="36" borderId="113">
      <alignment vertical="top"/>
      <protection locked="0"/>
    </xf>
    <xf numFmtId="246" fontId="18" fillId="36" borderId="113">
      <alignment vertical="top"/>
      <protection locked="0"/>
    </xf>
    <xf numFmtId="246" fontId="18" fillId="36" borderId="113">
      <alignment vertical="top"/>
      <protection locked="0"/>
    </xf>
    <xf numFmtId="246" fontId="18" fillId="36" borderId="113">
      <alignment vertical="top"/>
      <protection locked="0"/>
    </xf>
    <xf numFmtId="246" fontId="18" fillId="36" borderId="113">
      <alignment vertical="top"/>
      <protection locked="0"/>
    </xf>
    <xf numFmtId="247" fontId="18" fillId="36" borderId="113">
      <alignment vertical="top"/>
      <protection locked="0"/>
    </xf>
    <xf numFmtId="247" fontId="18" fillId="36" borderId="113">
      <alignment vertical="top"/>
      <protection locked="0"/>
    </xf>
    <xf numFmtId="247" fontId="18" fillId="36" borderId="113">
      <alignment vertical="top"/>
      <protection locked="0"/>
    </xf>
    <xf numFmtId="247" fontId="18" fillId="36" borderId="113">
      <alignment vertical="top"/>
      <protection locked="0"/>
    </xf>
    <xf numFmtId="248" fontId="18" fillId="36" borderId="113">
      <alignment vertical="top"/>
      <protection locked="0"/>
    </xf>
    <xf numFmtId="248" fontId="18" fillId="36" borderId="113">
      <alignment vertical="top"/>
      <protection locked="0"/>
    </xf>
    <xf numFmtId="248" fontId="18" fillId="36" borderId="113">
      <alignment vertical="top"/>
      <protection locked="0"/>
    </xf>
    <xf numFmtId="248" fontId="18" fillId="36" borderId="113">
      <alignment vertical="top"/>
      <protection locked="0"/>
    </xf>
    <xf numFmtId="249" fontId="18" fillId="36" borderId="113">
      <alignment vertical="top"/>
      <protection locked="0"/>
    </xf>
    <xf numFmtId="249" fontId="18" fillId="36" borderId="113">
      <alignment vertical="top"/>
      <protection locked="0"/>
    </xf>
    <xf numFmtId="249" fontId="18" fillId="36" borderId="113">
      <alignment vertical="top"/>
      <protection locked="0"/>
    </xf>
    <xf numFmtId="249" fontId="18" fillId="36" borderId="113">
      <alignment vertical="top"/>
      <protection locked="0"/>
    </xf>
    <xf numFmtId="292" fontId="18" fillId="36" borderId="113">
      <alignment vertical="top"/>
      <protection locked="0"/>
    </xf>
    <xf numFmtId="292" fontId="18" fillId="36" borderId="113">
      <alignment vertical="top"/>
      <protection locked="0"/>
    </xf>
    <xf numFmtId="292" fontId="18" fillId="36" borderId="113">
      <alignment vertical="top"/>
      <protection locked="0"/>
    </xf>
    <xf numFmtId="292" fontId="18" fillId="36" borderId="113">
      <alignment vertical="top"/>
      <protection locked="0"/>
    </xf>
    <xf numFmtId="250" fontId="18" fillId="36" borderId="113">
      <alignment vertical="top"/>
      <protection locked="0"/>
    </xf>
    <xf numFmtId="250" fontId="18" fillId="36" borderId="113">
      <alignment vertical="top"/>
      <protection locked="0"/>
    </xf>
    <xf numFmtId="250" fontId="18" fillId="36" borderId="113">
      <alignment vertical="top"/>
      <protection locked="0"/>
    </xf>
    <xf numFmtId="250" fontId="18" fillId="36" borderId="113">
      <alignment vertical="top"/>
      <protection locked="0"/>
    </xf>
    <xf numFmtId="251" fontId="18" fillId="36" borderId="113">
      <alignment vertical="top"/>
      <protection locked="0"/>
    </xf>
    <xf numFmtId="251" fontId="18" fillId="36" borderId="113">
      <alignment vertical="top"/>
      <protection locked="0"/>
    </xf>
    <xf numFmtId="251" fontId="18" fillId="36" borderId="113">
      <alignment vertical="top"/>
      <protection locked="0"/>
    </xf>
    <xf numFmtId="17" fontId="18" fillId="36" borderId="113">
      <alignment vertical="top"/>
      <protection locked="0"/>
    </xf>
    <xf numFmtId="17" fontId="18" fillId="36" borderId="113">
      <alignment vertical="top"/>
      <protection locked="0"/>
    </xf>
    <xf numFmtId="17" fontId="18" fillId="36" borderId="113">
      <alignment vertical="top"/>
      <protection locked="0"/>
    </xf>
    <xf numFmtId="17" fontId="18" fillId="36" borderId="113">
      <alignment vertical="top"/>
      <protection locked="0"/>
    </xf>
    <xf numFmtId="20" fontId="18" fillId="36" borderId="113">
      <alignment vertical="top"/>
      <protection locked="0"/>
    </xf>
    <xf numFmtId="20" fontId="18" fillId="36" borderId="113">
      <alignment vertical="top"/>
      <protection locked="0"/>
    </xf>
    <xf numFmtId="20" fontId="18" fillId="36" borderId="113">
      <alignment vertical="top"/>
      <protection locked="0"/>
    </xf>
    <xf numFmtId="20" fontId="18" fillId="36" borderId="113">
      <alignment vertical="top"/>
      <protection locked="0"/>
    </xf>
    <xf numFmtId="179" fontId="18" fillId="0" borderId="103">
      <alignment horizontal="right"/>
    </xf>
    <xf numFmtId="179" fontId="18" fillId="0" borderId="103">
      <alignment horizontal="right"/>
    </xf>
    <xf numFmtId="0" fontId="18" fillId="0" borderId="103"/>
    <xf numFmtId="0" fontId="18" fillId="0" borderId="103"/>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0" fontId="18" fillId="0" borderId="103">
      <alignment horizontal="right"/>
    </xf>
    <xf numFmtId="9" fontId="18" fillId="0" borderId="103"/>
    <xf numFmtId="9" fontId="18" fillId="0" borderId="103"/>
    <xf numFmtId="3" fontId="18" fillId="0" borderId="103"/>
    <xf numFmtId="3" fontId="18" fillId="0" borderId="103"/>
    <xf numFmtId="10" fontId="18" fillId="0" borderId="103"/>
    <xf numFmtId="10" fontId="18" fillId="0" borderId="103"/>
    <xf numFmtId="3" fontId="18" fillId="0" borderId="103"/>
    <xf numFmtId="3" fontId="18" fillId="0" borderId="103"/>
    <xf numFmtId="4" fontId="18" fillId="0" borderId="103"/>
    <xf numFmtId="4" fontId="18" fillId="0" borderId="103"/>
    <xf numFmtId="10" fontId="18" fillId="35" borderId="103" applyNumberFormat="0" applyBorder="0" applyAlignment="0" applyProtection="0"/>
    <xf numFmtId="10" fontId="18" fillId="35" borderId="103" applyNumberFormat="0" applyBorder="0" applyAlignment="0" applyProtection="0"/>
    <xf numFmtId="0" fontId="18" fillId="0" borderId="114" applyNumberFormat="0" applyAlignment="0">
      <alignment vertical="center"/>
      <protection locked="0"/>
    </xf>
    <xf numFmtId="0" fontId="18" fillId="0" borderId="114" applyNumberFormat="0" applyAlignment="0">
      <alignment vertical="center"/>
      <protection locked="0"/>
    </xf>
    <xf numFmtId="0" fontId="18" fillId="0" borderId="114" applyNumberFormat="0" applyAlignment="0">
      <alignment vertical="center"/>
      <protection locked="0"/>
    </xf>
    <xf numFmtId="0" fontId="18" fillId="0" borderId="114" applyNumberFormat="0" applyAlignment="0">
      <alignment vertical="center"/>
      <protection locked="0"/>
    </xf>
    <xf numFmtId="294" fontId="18" fillId="56" borderId="114" applyNumberFormat="0" applyAlignment="0">
      <alignment vertical="center"/>
      <protection locked="0"/>
    </xf>
    <xf numFmtId="294" fontId="18" fillId="56" borderId="114" applyNumberFormat="0" applyAlignment="0">
      <alignment vertical="center"/>
      <protection locked="0"/>
    </xf>
    <xf numFmtId="294" fontId="18" fillId="56" borderId="114" applyNumberFormat="0" applyAlignment="0">
      <alignment vertical="center"/>
      <protection locked="0"/>
    </xf>
    <xf numFmtId="294" fontId="18" fillId="56" borderId="114" applyNumberFormat="0" applyAlignment="0">
      <alignment vertical="center"/>
      <protection locked="0"/>
    </xf>
    <xf numFmtId="0" fontId="18" fillId="57" borderId="115" applyNumberFormat="0" applyAlignment="0">
      <protection locked="0"/>
    </xf>
    <xf numFmtId="0" fontId="18" fillId="57" borderId="115" applyNumberFormat="0" applyAlignment="0">
      <protection locked="0"/>
    </xf>
    <xf numFmtId="0" fontId="18" fillId="57" borderId="115" applyNumberFormat="0" applyAlignment="0">
      <protection locked="0"/>
    </xf>
    <xf numFmtId="0" fontId="18" fillId="57" borderId="115" applyNumberFormat="0" applyAlignment="0">
      <protection locked="0"/>
    </xf>
    <xf numFmtId="0" fontId="18" fillId="0" borderId="116" applyNumberFormat="0" applyAlignment="0">
      <alignment vertical="center"/>
      <protection locked="0"/>
    </xf>
    <xf numFmtId="0" fontId="18" fillId="0" borderId="116" applyNumberFormat="0" applyAlignment="0">
      <alignment vertical="center"/>
      <protection locked="0"/>
    </xf>
    <xf numFmtId="0" fontId="18" fillId="0" borderId="116" applyNumberFormat="0" applyAlignment="0">
      <alignment vertical="center"/>
      <protection locked="0"/>
    </xf>
    <xf numFmtId="0" fontId="18" fillId="0" borderId="116" applyNumberFormat="0" applyAlignment="0">
      <alignment vertical="center"/>
      <protection locked="0"/>
    </xf>
    <xf numFmtId="0" fontId="18" fillId="59" borderId="115" applyNumberFormat="0" applyAlignment="0">
      <protection locked="0"/>
    </xf>
    <xf numFmtId="0" fontId="18" fillId="59" borderId="115" applyNumberFormat="0" applyAlignment="0">
      <protection locked="0"/>
    </xf>
    <xf numFmtId="0" fontId="18" fillId="59" borderId="115" applyNumberFormat="0" applyAlignment="0">
      <protection locked="0"/>
    </xf>
    <xf numFmtId="267" fontId="18" fillId="36" borderId="113">
      <alignment vertical="top"/>
      <protection locked="0"/>
    </xf>
    <xf numFmtId="267" fontId="18" fillId="36" borderId="113">
      <alignment vertical="top"/>
      <protection locked="0"/>
    </xf>
    <xf numFmtId="267" fontId="18" fillId="36" borderId="113">
      <alignment vertical="top"/>
      <protection locked="0"/>
    </xf>
    <xf numFmtId="267" fontId="18" fillId="36" borderId="113">
      <alignment vertical="top"/>
      <protection locked="0"/>
    </xf>
    <xf numFmtId="268" fontId="18" fillId="36" borderId="113">
      <alignment vertical="top"/>
      <protection locked="0"/>
    </xf>
    <xf numFmtId="268" fontId="18" fillId="36" borderId="113">
      <alignment vertical="top"/>
      <protection locked="0"/>
    </xf>
    <xf numFmtId="268" fontId="18" fillId="36" borderId="113">
      <alignment vertical="top"/>
      <protection locked="0"/>
    </xf>
    <xf numFmtId="269" fontId="18" fillId="36" borderId="113">
      <alignment vertical="top"/>
      <protection locked="0"/>
    </xf>
    <xf numFmtId="269" fontId="18" fillId="36" borderId="113">
      <alignment vertical="top"/>
      <protection locked="0"/>
    </xf>
    <xf numFmtId="269" fontId="18" fillId="36" borderId="113">
      <alignment vertical="top"/>
      <protection locked="0"/>
    </xf>
    <xf numFmtId="270" fontId="18" fillId="36" borderId="113">
      <alignment vertical="top"/>
      <protection locked="0"/>
    </xf>
    <xf numFmtId="270" fontId="18" fillId="36" borderId="113">
      <alignment vertical="top"/>
      <protection locked="0"/>
    </xf>
    <xf numFmtId="270" fontId="18" fillId="36" borderId="113">
      <alignment vertical="top"/>
      <protection locked="0"/>
    </xf>
    <xf numFmtId="270" fontId="18" fillId="36" borderId="113">
      <alignment vertical="top"/>
      <protection locked="0"/>
    </xf>
    <xf numFmtId="271" fontId="18" fillId="36" borderId="113">
      <alignment vertical="top"/>
      <protection locked="0"/>
    </xf>
    <xf numFmtId="271" fontId="18" fillId="36" borderId="113">
      <alignment vertical="top"/>
      <protection locked="0"/>
    </xf>
    <xf numFmtId="271" fontId="18" fillId="36" borderId="113">
      <alignment vertical="top"/>
      <protection locked="0"/>
    </xf>
    <xf numFmtId="271" fontId="18" fillId="36" borderId="113">
      <alignment vertical="top"/>
      <protection locked="0"/>
    </xf>
    <xf numFmtId="275" fontId="18" fillId="36" borderId="113">
      <alignment vertical="top"/>
      <protection locked="0"/>
    </xf>
    <xf numFmtId="275" fontId="18" fillId="36" borderId="113">
      <alignment vertical="top"/>
      <protection locked="0"/>
    </xf>
    <xf numFmtId="275" fontId="18" fillId="36" borderId="113">
      <alignment vertical="top"/>
      <protection locked="0"/>
    </xf>
    <xf numFmtId="275" fontId="18" fillId="36" borderId="113">
      <alignment vertical="top"/>
      <protection locked="0"/>
    </xf>
    <xf numFmtId="276" fontId="18" fillId="36" borderId="113">
      <alignment vertical="top"/>
      <protection locked="0"/>
    </xf>
    <xf numFmtId="276" fontId="18" fillId="36" borderId="113">
      <alignment vertical="top"/>
      <protection locked="0"/>
    </xf>
    <xf numFmtId="276" fontId="18" fillId="36" borderId="113">
      <alignment vertical="top"/>
      <protection locked="0"/>
    </xf>
    <xf numFmtId="276" fontId="18" fillId="36" borderId="113">
      <alignment vertical="top"/>
      <protection locked="0"/>
    </xf>
    <xf numFmtId="0" fontId="18" fillId="61" borderId="117">
      <alignment horizontal="left" vertical="center" wrapText="1"/>
    </xf>
    <xf numFmtId="0" fontId="18" fillId="61" borderId="117">
      <alignment horizontal="left" vertical="center" wrapText="1"/>
    </xf>
    <xf numFmtId="0" fontId="18" fillId="61" borderId="117">
      <alignment horizontal="left" vertical="center" wrapText="1"/>
    </xf>
    <xf numFmtId="0" fontId="18" fillId="61" borderId="117">
      <alignment horizontal="left" vertical="center" wrapText="1"/>
    </xf>
    <xf numFmtId="0" fontId="18" fillId="36" borderId="113">
      <alignment vertical="top"/>
    </xf>
    <xf numFmtId="0" fontId="18" fillId="36" borderId="113">
      <alignment vertical="top"/>
    </xf>
    <xf numFmtId="0" fontId="18" fillId="36" borderId="113">
      <alignment vertical="top"/>
    </xf>
    <xf numFmtId="0" fontId="18" fillId="36" borderId="113">
      <alignment vertical="top"/>
    </xf>
    <xf numFmtId="0" fontId="18" fillId="36" borderId="113">
      <alignment vertical="top" wrapText="1"/>
      <protection locked="0"/>
    </xf>
    <xf numFmtId="0" fontId="18" fillId="36" borderId="113">
      <alignment vertical="top" wrapText="1"/>
      <protection locked="0"/>
    </xf>
    <xf numFmtId="0" fontId="18" fillId="36" borderId="113">
      <alignment vertical="top" wrapText="1"/>
      <protection locked="0"/>
    </xf>
    <xf numFmtId="0" fontId="18" fillId="36" borderId="113">
      <alignment vertical="top" wrapText="1"/>
      <protection locked="0"/>
    </xf>
    <xf numFmtId="0" fontId="18" fillId="36" borderId="113">
      <alignment vertical="top"/>
      <protection locked="0"/>
    </xf>
    <xf numFmtId="0" fontId="18" fillId="36" borderId="113">
      <alignment vertical="top"/>
      <protection locked="0"/>
    </xf>
    <xf numFmtId="0" fontId="18" fillId="36" borderId="113">
      <alignment vertical="top"/>
      <protection locked="0"/>
    </xf>
    <xf numFmtId="299" fontId="18" fillId="48" borderId="103"/>
    <xf numFmtId="299" fontId="18" fillId="48" borderId="103"/>
    <xf numFmtId="0" fontId="18" fillId="0" borderId="103" applyNumberFormat="0" applyFont="0" applyBorder="0" applyAlignment="0" applyProtection="0">
      <alignment horizontal="center"/>
    </xf>
    <xf numFmtId="0" fontId="18" fillId="0" borderId="103" applyNumberFormat="0" applyFont="0" applyBorder="0" applyAlignment="0" applyProtection="0">
      <alignment horizontal="center"/>
    </xf>
    <xf numFmtId="319" fontId="18" fillId="0" borderId="109"/>
    <xf numFmtId="177" fontId="18" fillId="36" borderId="103"/>
    <xf numFmtId="177" fontId="18" fillId="36" borderId="103"/>
    <xf numFmtId="0" fontId="18" fillId="37" borderId="103">
      <alignment horizontal="right"/>
      <protection locked="0"/>
    </xf>
    <xf numFmtId="0" fontId="18" fillId="37" borderId="103">
      <alignment horizontal="right"/>
      <protection locked="0"/>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vertical="center"/>
    </xf>
    <xf numFmtId="4" fontId="18" fillId="36" borderId="120" applyNumberFormat="0" applyProtection="0">
      <alignment horizontal="left" vertical="center" indent="1"/>
    </xf>
    <xf numFmtId="4" fontId="18" fillId="36" borderId="120" applyNumberFormat="0" applyProtection="0">
      <alignment horizontal="left" vertical="center" indent="1"/>
    </xf>
    <xf numFmtId="4" fontId="18" fillId="36" borderId="120" applyNumberFormat="0" applyProtection="0">
      <alignment horizontal="left" vertical="center" indent="1"/>
    </xf>
    <xf numFmtId="4" fontId="18" fillId="36" borderId="118" applyNumberFormat="0" applyProtection="0">
      <alignment horizontal="left" vertical="center" indent="1"/>
    </xf>
    <xf numFmtId="4" fontId="18" fillId="36" borderId="118" applyNumberFormat="0" applyProtection="0">
      <alignment horizontal="left" vertical="center" indent="1"/>
    </xf>
    <xf numFmtId="4" fontId="18" fillId="36" borderId="118" applyNumberFormat="0" applyProtection="0">
      <alignment horizontal="left" vertical="center" indent="1"/>
    </xf>
    <xf numFmtId="4" fontId="18" fillId="64" borderId="120" applyNumberFormat="0" applyProtection="0">
      <alignment horizontal="right" vertical="center"/>
    </xf>
    <xf numFmtId="4" fontId="18" fillId="64" borderId="120" applyNumberFormat="0" applyProtection="0">
      <alignment horizontal="right" vertical="center"/>
    </xf>
    <xf numFmtId="4" fontId="18" fillId="64" borderId="120" applyNumberFormat="0" applyProtection="0">
      <alignment horizontal="right" vertical="center"/>
    </xf>
    <xf numFmtId="4" fontId="18" fillId="64" borderId="120" applyNumberFormat="0" applyProtection="0">
      <alignment horizontal="right" vertical="center"/>
    </xf>
    <xf numFmtId="4" fontId="18" fillId="65" borderId="120" applyNumberFormat="0" applyProtection="0">
      <alignment horizontal="right" vertical="center"/>
    </xf>
    <xf numFmtId="4" fontId="18" fillId="65" borderId="120" applyNumberFormat="0" applyProtection="0">
      <alignment horizontal="right" vertical="center"/>
    </xf>
    <xf numFmtId="4" fontId="18" fillId="65" borderId="120" applyNumberFormat="0" applyProtection="0">
      <alignment horizontal="right" vertical="center"/>
    </xf>
    <xf numFmtId="4" fontId="18" fillId="65" borderId="120" applyNumberFormat="0" applyProtection="0">
      <alignment horizontal="right" vertical="center"/>
    </xf>
    <xf numFmtId="4" fontId="18" fillId="46" borderId="120" applyNumberFormat="0" applyProtection="0">
      <alignment horizontal="right" vertical="center"/>
    </xf>
    <xf numFmtId="4" fontId="18" fillId="46" borderId="120" applyNumberFormat="0" applyProtection="0">
      <alignment horizontal="right" vertical="center"/>
    </xf>
    <xf numFmtId="4" fontId="18" fillId="46" borderId="120" applyNumberFormat="0" applyProtection="0">
      <alignment horizontal="right" vertical="center"/>
    </xf>
    <xf numFmtId="4" fontId="18" fillId="46" borderId="120" applyNumberFormat="0" applyProtection="0">
      <alignment horizontal="right" vertical="center"/>
    </xf>
    <xf numFmtId="4" fontId="18" fillId="55" borderId="120" applyNumberFormat="0" applyProtection="0">
      <alignment horizontal="right" vertical="center"/>
    </xf>
    <xf numFmtId="4" fontId="18" fillId="55" borderId="120" applyNumberFormat="0" applyProtection="0">
      <alignment horizontal="right" vertical="center"/>
    </xf>
    <xf numFmtId="4" fontId="18" fillId="55" borderId="120" applyNumberFormat="0" applyProtection="0">
      <alignment horizontal="right" vertical="center"/>
    </xf>
    <xf numFmtId="4" fontId="18" fillId="55" borderId="120" applyNumberFormat="0" applyProtection="0">
      <alignment horizontal="right" vertical="center"/>
    </xf>
    <xf numFmtId="4" fontId="18" fillId="66" borderId="120" applyNumberFormat="0" applyProtection="0">
      <alignment horizontal="right" vertical="center"/>
    </xf>
    <xf numFmtId="4" fontId="18" fillId="66" borderId="120" applyNumberFormat="0" applyProtection="0">
      <alignment horizontal="right" vertical="center"/>
    </xf>
    <xf numFmtId="4" fontId="18" fillId="67" borderId="120" applyNumberFormat="0" applyProtection="0">
      <alignment horizontal="right" vertical="center"/>
    </xf>
    <xf numFmtId="4" fontId="18" fillId="67" borderId="120" applyNumberFormat="0" applyProtection="0">
      <alignment horizontal="right" vertical="center"/>
    </xf>
    <xf numFmtId="4" fontId="18" fillId="67" borderId="120" applyNumberFormat="0" applyProtection="0">
      <alignment horizontal="right" vertical="center"/>
    </xf>
    <xf numFmtId="4" fontId="18" fillId="67" borderId="120" applyNumberFormat="0" applyProtection="0">
      <alignment horizontal="right" vertical="center"/>
    </xf>
    <xf numFmtId="4" fontId="18" fillId="68" borderId="120" applyNumberFormat="0" applyProtection="0">
      <alignment horizontal="right" vertical="center"/>
    </xf>
    <xf numFmtId="4" fontId="18" fillId="68" borderId="120" applyNumberFormat="0" applyProtection="0">
      <alignment horizontal="right" vertical="center"/>
    </xf>
    <xf numFmtId="4" fontId="18" fillId="68" borderId="120" applyNumberFormat="0" applyProtection="0">
      <alignment horizontal="right" vertical="center"/>
    </xf>
    <xf numFmtId="4" fontId="18" fillId="68" borderId="120" applyNumberFormat="0" applyProtection="0">
      <alignment horizontal="right" vertical="center"/>
    </xf>
    <xf numFmtId="4" fontId="18" fillId="69" borderId="120" applyNumberFormat="0" applyProtection="0">
      <alignment horizontal="right" vertical="center"/>
    </xf>
    <xf numFmtId="4" fontId="18" fillId="69" borderId="120" applyNumberFormat="0" applyProtection="0">
      <alignment horizontal="right" vertical="center"/>
    </xf>
    <xf numFmtId="4" fontId="18" fillId="69" borderId="120" applyNumberFormat="0" applyProtection="0">
      <alignment horizontal="right" vertical="center"/>
    </xf>
    <xf numFmtId="4" fontId="18" fillId="69" borderId="120" applyNumberFormat="0" applyProtection="0">
      <alignment horizontal="right" vertical="center"/>
    </xf>
    <xf numFmtId="4" fontId="18" fillId="70" borderId="120" applyNumberFormat="0" applyProtection="0">
      <alignment horizontal="right" vertical="center"/>
    </xf>
    <xf numFmtId="4" fontId="18" fillId="70" borderId="120" applyNumberFormat="0" applyProtection="0">
      <alignment horizontal="right" vertical="center"/>
    </xf>
    <xf numFmtId="4" fontId="18" fillId="70" borderId="120" applyNumberFormat="0" applyProtection="0">
      <alignment horizontal="right" vertical="center"/>
    </xf>
    <xf numFmtId="4" fontId="18" fillId="70" borderId="120" applyNumberFormat="0" applyProtection="0">
      <alignment horizontal="right" vertical="center"/>
    </xf>
    <xf numFmtId="4" fontId="18" fillId="44" borderId="120" applyNumberFormat="0" applyProtection="0">
      <alignment horizontal="right" vertical="center"/>
    </xf>
    <xf numFmtId="4" fontId="18" fillId="44" borderId="120" applyNumberFormat="0" applyProtection="0">
      <alignment horizontal="right" vertical="center"/>
    </xf>
    <xf numFmtId="4" fontId="18" fillId="44" borderId="120" applyNumberFormat="0" applyProtection="0">
      <alignment horizontal="right" vertical="center"/>
    </xf>
    <xf numFmtId="4" fontId="18" fillId="44" borderId="120" applyNumberFormat="0" applyProtection="0">
      <alignment horizontal="right" vertical="center"/>
    </xf>
    <xf numFmtId="0" fontId="18" fillId="72" borderId="118" applyNumberFormat="0" applyProtection="0">
      <alignment horizontal="left" vertical="center" indent="1"/>
    </xf>
    <xf numFmtId="0" fontId="18" fillId="72" borderId="118" applyNumberFormat="0" applyProtection="0">
      <alignment horizontal="left" vertical="center" indent="1"/>
    </xf>
    <xf numFmtId="0" fontId="18" fillId="72" borderId="118" applyNumberFormat="0" applyProtection="0">
      <alignment horizontal="left" vertical="center" indent="1"/>
    </xf>
    <xf numFmtId="0" fontId="18" fillId="72" borderId="118" applyNumberFormat="0" applyProtection="0">
      <alignment horizontal="left" vertical="center" indent="1"/>
    </xf>
    <xf numFmtId="0" fontId="18" fillId="38" borderId="118" applyNumberFormat="0" applyProtection="0">
      <alignment horizontal="left" vertical="center" indent="1"/>
    </xf>
    <xf numFmtId="0" fontId="18" fillId="38" borderId="118" applyNumberFormat="0" applyProtection="0">
      <alignment horizontal="left" vertical="center" indent="1"/>
    </xf>
    <xf numFmtId="0" fontId="18" fillId="38" borderId="118" applyNumberFormat="0" applyProtection="0">
      <alignment horizontal="left" vertical="center" indent="1"/>
    </xf>
    <xf numFmtId="0" fontId="18" fillId="38" borderId="118" applyNumberFormat="0" applyProtection="0">
      <alignment horizontal="left" vertical="center" indent="1"/>
    </xf>
    <xf numFmtId="0" fontId="18" fillId="37" borderId="118" applyNumberFormat="0" applyProtection="0">
      <alignment horizontal="left" vertical="center" indent="1"/>
    </xf>
    <xf numFmtId="0" fontId="18" fillId="37" borderId="118" applyNumberFormat="0" applyProtection="0">
      <alignment horizontal="left" vertical="center" indent="1"/>
    </xf>
    <xf numFmtId="0" fontId="18" fillId="37" borderId="118" applyNumberFormat="0" applyProtection="0">
      <alignment horizontal="left" vertical="center" indent="1"/>
    </xf>
    <xf numFmtId="0" fontId="18" fillId="37" borderId="118" applyNumberFormat="0" applyProtection="0">
      <alignment horizontal="left" vertical="center" indent="1"/>
    </xf>
    <xf numFmtId="0" fontId="18" fillId="48" borderId="118" applyNumberFormat="0" applyProtection="0">
      <alignment horizontal="left" vertical="center" indent="1"/>
    </xf>
    <xf numFmtId="0" fontId="18" fillId="48" borderId="118" applyNumberFormat="0" applyProtection="0">
      <alignment horizontal="left" vertical="center" indent="1"/>
    </xf>
    <xf numFmtId="0" fontId="18" fillId="48" borderId="118" applyNumberFormat="0" applyProtection="0">
      <alignment horizontal="left" vertical="center" indent="1"/>
    </xf>
    <xf numFmtId="0" fontId="18" fillId="48" borderId="118" applyNumberFormat="0" applyProtection="0">
      <alignment horizontal="left" vertical="center" indent="1"/>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51" borderId="120" applyNumberFormat="0" applyProtection="0">
      <alignment vertical="center"/>
    </xf>
    <xf numFmtId="4" fontId="18" fillId="44" borderId="121" applyNumberFormat="0" applyProtection="0">
      <alignment horizontal="left" vertical="center" indent="1"/>
    </xf>
    <xf numFmtId="4" fontId="18" fillId="44" borderId="121" applyNumberFormat="0" applyProtection="0">
      <alignment horizontal="left" vertical="center" indent="1"/>
    </xf>
    <xf numFmtId="4" fontId="18" fillId="44" borderId="121" applyNumberFormat="0" applyProtection="0">
      <alignment horizontal="left" vertical="center" indent="1"/>
    </xf>
    <xf numFmtId="4" fontId="18" fillId="44" borderId="121" applyNumberFormat="0" applyProtection="0">
      <alignment horizontal="left" vertical="center" indent="1"/>
    </xf>
    <xf numFmtId="4" fontId="18" fillId="35" borderId="118" applyNumberFormat="0" applyProtection="0">
      <alignment horizontal="left" vertical="center" indent="1"/>
    </xf>
    <xf numFmtId="4" fontId="18" fillId="35" borderId="118" applyNumberFormat="0" applyProtection="0">
      <alignment horizontal="left" vertical="center" indent="1"/>
    </xf>
    <xf numFmtId="4" fontId="18" fillId="35" borderId="118" applyNumberFormat="0" applyProtection="0">
      <alignment horizontal="left" vertical="center" indent="1"/>
    </xf>
    <xf numFmtId="4" fontId="18" fillId="35" borderId="118" applyNumberFormat="0" applyProtection="0">
      <alignment horizontal="left" vertical="center" indent="1"/>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44" borderId="120" applyNumberFormat="0" applyProtection="0">
      <alignment horizontal="left" vertical="center" indent="1"/>
    </xf>
    <xf numFmtId="4" fontId="18" fillId="44" borderId="120" applyNumberFormat="0" applyProtection="0">
      <alignment horizontal="left" vertical="center" indent="1"/>
    </xf>
    <xf numFmtId="4" fontId="18" fillId="44" borderId="120" applyNumberFormat="0" applyProtection="0">
      <alignment horizontal="left" vertical="center" indent="1"/>
    </xf>
    <xf numFmtId="4" fontId="18" fillId="44" borderId="120" applyNumberFormat="0" applyProtection="0">
      <alignment horizontal="left" vertical="center" indent="1"/>
    </xf>
    <xf numFmtId="4" fontId="18" fillId="62" borderId="121" applyNumberFormat="0" applyProtection="0">
      <alignment horizontal="left" vertical="center" indent="1"/>
    </xf>
    <xf numFmtId="4" fontId="18" fillId="62" borderId="121" applyNumberFormat="0" applyProtection="0">
      <alignment horizontal="left" vertical="center" indent="1"/>
    </xf>
    <xf numFmtId="4" fontId="18" fillId="62" borderId="121" applyNumberFormat="0" applyProtection="0">
      <alignment horizontal="left" vertical="center" indent="1"/>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4" fontId="18" fillId="51" borderId="120" applyNumberFormat="0" applyProtection="0">
      <alignment horizontal="right" vertical="center"/>
    </xf>
    <xf numFmtId="0" fontId="18" fillId="52" borderId="103">
      <alignment horizontal="center" vertical="center" wrapText="1"/>
      <protection hidden="1"/>
    </xf>
    <xf numFmtId="179" fontId="18" fillId="0" borderId="103" applyBorder="0"/>
    <xf numFmtId="179" fontId="18" fillId="0" borderId="103" applyBorder="0"/>
    <xf numFmtId="0" fontId="18" fillId="75" borderId="122">
      <alignment horizontal="center" wrapText="1"/>
    </xf>
    <xf numFmtId="0" fontId="18" fillId="55" borderId="103"/>
    <xf numFmtId="0" fontId="18" fillId="55" borderId="103"/>
    <xf numFmtId="334" fontId="18" fillId="0" borderId="123"/>
    <xf numFmtId="4" fontId="18" fillId="51" borderId="120" applyNumberFormat="0" applyProtection="0">
      <alignment horizontal="right" vertical="center"/>
    </xf>
    <xf numFmtId="0" fontId="18" fillId="36" borderId="113">
      <alignment vertical="top"/>
      <protection locked="0"/>
    </xf>
    <xf numFmtId="269" fontId="18" fillId="36" borderId="113">
      <alignment vertical="top"/>
      <protection locked="0"/>
    </xf>
    <xf numFmtId="0" fontId="18" fillId="52" borderId="103">
      <alignment horizontal="center" vertical="center" wrapText="1"/>
      <protection hidden="1"/>
    </xf>
    <xf numFmtId="268" fontId="18" fillId="36" borderId="113">
      <alignment vertical="top"/>
      <protection locked="0"/>
    </xf>
    <xf numFmtId="4" fontId="18" fillId="62" borderId="121" applyNumberFormat="0" applyProtection="0">
      <alignment horizontal="left" vertical="center" indent="1"/>
    </xf>
    <xf numFmtId="3" fontId="18" fillId="46" borderId="103"/>
    <xf numFmtId="251" fontId="18" fillId="36" borderId="113">
      <alignment vertical="top"/>
      <protection locked="0"/>
    </xf>
    <xf numFmtId="0" fontId="18" fillId="0" borderId="103">
      <alignment horizontal="right"/>
    </xf>
    <xf numFmtId="0" fontId="18" fillId="33" borderId="119"/>
    <xf numFmtId="0" fontId="18" fillId="33" borderId="119"/>
    <xf numFmtId="4" fontId="18" fillId="36" borderId="120" applyNumberFormat="0" applyProtection="0">
      <alignment horizontal="left" vertical="center" indent="1"/>
    </xf>
    <xf numFmtId="4" fontId="18" fillId="36" borderId="118" applyNumberFormat="0" applyProtection="0">
      <alignment horizontal="left" vertical="center" indent="1"/>
    </xf>
    <xf numFmtId="4" fontId="18" fillId="66" borderId="120" applyNumberFormat="0" applyProtection="0">
      <alignment horizontal="right" vertical="center"/>
    </xf>
    <xf numFmtId="4" fontId="18" fillId="66" borderId="120" applyNumberFormat="0" applyProtection="0">
      <alignment horizontal="right" vertical="center"/>
    </xf>
    <xf numFmtId="37" fontId="18" fillId="49" borderId="124" applyNumberFormat="0" applyBorder="0">
      <alignment horizontal="center"/>
    </xf>
    <xf numFmtId="37" fontId="18" fillId="49" borderId="124" applyNumberFormat="0" applyBorder="0">
      <alignment horizontal="center"/>
    </xf>
    <xf numFmtId="37" fontId="18" fillId="49" borderId="124" applyNumberFormat="0" applyBorder="0">
      <alignment horizontal="center"/>
    </xf>
    <xf numFmtId="37" fontId="18" fillId="49" borderId="124" applyNumberFormat="0" applyBorder="0">
      <alignment horizontal="center"/>
    </xf>
    <xf numFmtId="177" fontId="18" fillId="0" borderId="123"/>
    <xf numFmtId="0" fontId="18" fillId="40" borderId="103"/>
    <xf numFmtId="0" fontId="18" fillId="40" borderId="103"/>
    <xf numFmtId="1" fontId="18" fillId="36" borderId="103" applyNumberFormat="0" applyFont="0" applyBorder="0" applyAlignment="0">
      <alignment horizontal="center" vertical="center" wrapText="1"/>
    </xf>
    <xf numFmtId="1" fontId="18" fillId="36" borderId="103" applyNumberFormat="0" applyFont="0" applyBorder="0" applyAlignment="0">
      <alignment horizontal="center" vertical="center" wrapText="1"/>
    </xf>
    <xf numFmtId="0" fontId="18" fillId="67" borderId="113">
      <alignment horizontal="center" vertical="top" wrapText="1"/>
    </xf>
    <xf numFmtId="0" fontId="18" fillId="67" borderId="113">
      <alignment horizontal="center" vertical="top" wrapText="1"/>
    </xf>
    <xf numFmtId="0" fontId="18" fillId="67" borderId="113">
      <alignment horizontal="center" vertical="top" wrapText="1"/>
    </xf>
    <xf numFmtId="0" fontId="18" fillId="67" borderId="113">
      <alignment horizontal="center" vertical="top" wrapText="1"/>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vertical="top" wrapText="1"/>
    </xf>
    <xf numFmtId="0" fontId="18" fillId="67" borderId="113">
      <alignment vertical="top" wrapText="1"/>
    </xf>
    <xf numFmtId="0" fontId="18" fillId="67" borderId="113">
      <alignment vertical="top" wrapText="1"/>
    </xf>
    <xf numFmtId="0" fontId="18" fillId="67" borderId="113">
      <alignment vertical="top" wrapText="1"/>
    </xf>
    <xf numFmtId="17" fontId="18" fillId="67" borderId="113">
      <alignment horizontal="center" vertical="top"/>
    </xf>
    <xf numFmtId="17" fontId="18" fillId="67" borderId="113">
      <alignment horizontal="center" vertical="top"/>
    </xf>
    <xf numFmtId="17" fontId="18" fillId="67" borderId="113">
      <alignment horizontal="center" vertical="top"/>
    </xf>
    <xf numFmtId="17" fontId="18" fillId="67" borderId="113">
      <alignment horizontal="center" vertical="top"/>
    </xf>
    <xf numFmtId="0" fontId="18" fillId="67" borderId="113">
      <alignment horizontal="centerContinuous" vertical="top" wrapText="1"/>
    </xf>
    <xf numFmtId="0" fontId="18" fillId="67" borderId="113">
      <alignment horizontal="centerContinuous" vertical="top" wrapText="1"/>
    </xf>
    <xf numFmtId="0" fontId="18" fillId="67" borderId="113">
      <alignment horizontal="centerContinuous" vertical="top" wrapText="1"/>
    </xf>
    <xf numFmtId="0" fontId="18" fillId="67" borderId="113">
      <alignment horizontal="centerContinuous" vertical="top" wrapText="1"/>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horizontal="center" vertical="top"/>
    </xf>
    <xf numFmtId="0" fontId="18" fillId="67" borderId="113">
      <alignment horizontal="center" textRotation="90"/>
    </xf>
    <xf numFmtId="0" fontId="18" fillId="67" borderId="113">
      <alignment horizontal="center" textRotation="90"/>
    </xf>
    <xf numFmtId="0" fontId="18" fillId="67" borderId="113">
      <alignment horizontal="center" textRotation="90"/>
    </xf>
    <xf numFmtId="0" fontId="18" fillId="67" borderId="113">
      <alignment horizontal="center" textRotation="90"/>
    </xf>
    <xf numFmtId="338" fontId="18" fillId="67" borderId="113">
      <alignment horizontal="center" vertical="top"/>
    </xf>
    <xf numFmtId="338" fontId="18" fillId="67" borderId="113">
      <alignment horizontal="center" vertical="top"/>
    </xf>
    <xf numFmtId="338" fontId="18" fillId="67" borderId="113">
      <alignment horizontal="center" vertical="top"/>
    </xf>
    <xf numFmtId="338" fontId="18" fillId="67" borderId="113">
      <alignment horizontal="center" vertical="top"/>
    </xf>
    <xf numFmtId="0" fontId="18" fillId="64" borderId="103" applyNumberFormat="0" applyFont="0" applyBorder="0" applyAlignment="0" applyProtection="0">
      <alignment horizontal="center"/>
    </xf>
    <xf numFmtId="0" fontId="18" fillId="64" borderId="103" applyNumberFormat="0" applyFont="0" applyBorder="0" applyAlignment="0" applyProtection="0">
      <alignment horizontal="center"/>
    </xf>
    <xf numFmtId="277" fontId="18" fillId="0" borderId="109"/>
    <xf numFmtId="319" fontId="18" fillId="0" borderId="109"/>
    <xf numFmtId="0" fontId="18" fillId="75" borderId="122">
      <alignment horizontal="center" wrapText="1"/>
    </xf>
    <xf numFmtId="334" fontId="18" fillId="0" borderId="123"/>
    <xf numFmtId="177" fontId="18" fillId="0" borderId="123"/>
    <xf numFmtId="0" fontId="18" fillId="37" borderId="133" applyNumberFormat="0" applyProtection="0">
      <alignment horizontal="left" vertical="center" indent="1"/>
    </xf>
    <xf numFmtId="0" fontId="18" fillId="37" borderId="133" applyNumberFormat="0" applyProtection="0">
      <alignment horizontal="left" vertical="center" indent="1"/>
    </xf>
    <xf numFmtId="0" fontId="18" fillId="37" borderId="133" applyNumberFormat="0" applyProtection="0">
      <alignment horizontal="left" vertical="center" indent="1"/>
    </xf>
    <xf numFmtId="0" fontId="18" fillId="37" borderId="133" applyNumberFormat="0" applyProtection="0">
      <alignment horizontal="left" vertical="center" indent="1"/>
    </xf>
    <xf numFmtId="0" fontId="18" fillId="48" borderId="133" applyNumberFormat="0" applyProtection="0">
      <alignment horizontal="left" vertical="center" indent="1"/>
    </xf>
    <xf numFmtId="0" fontId="18" fillId="48" borderId="133" applyNumberFormat="0" applyProtection="0">
      <alignment horizontal="left" vertical="center" indent="1"/>
    </xf>
    <xf numFmtId="0" fontId="18" fillId="48" borderId="133" applyNumberFormat="0" applyProtection="0">
      <alignment horizontal="left" vertical="center" indent="1"/>
    </xf>
    <xf numFmtId="0" fontId="18" fillId="48" borderId="133" applyNumberFormat="0" applyProtection="0">
      <alignment horizontal="left" vertical="center" indent="1"/>
    </xf>
    <xf numFmtId="4" fontId="18" fillId="51" borderId="134" applyNumberFormat="0" applyProtection="0">
      <alignment vertical="center"/>
    </xf>
    <xf numFmtId="4" fontId="18" fillId="51" borderId="134" applyNumberFormat="0" applyProtection="0">
      <alignment vertical="center"/>
    </xf>
    <xf numFmtId="4" fontId="18" fillId="51" borderId="134" applyNumberFormat="0" applyProtection="0">
      <alignment vertical="center"/>
    </xf>
    <xf numFmtId="4" fontId="18" fillId="51" borderId="134" applyNumberFormat="0" applyProtection="0">
      <alignment vertical="center"/>
    </xf>
    <xf numFmtId="4" fontId="18" fillId="51" borderId="134" applyNumberFormat="0" applyProtection="0">
      <alignment vertical="center"/>
    </xf>
    <xf numFmtId="4" fontId="18" fillId="51" borderId="134" applyNumberFormat="0" applyProtection="0">
      <alignment vertical="center"/>
    </xf>
    <xf numFmtId="4" fontId="18" fillId="51" borderId="134" applyNumberFormat="0" applyProtection="0">
      <alignment vertical="center"/>
    </xf>
    <xf numFmtId="4" fontId="18" fillId="51" borderId="134" applyNumberFormat="0" applyProtection="0">
      <alignment vertical="center"/>
    </xf>
    <xf numFmtId="4" fontId="18" fillId="44" borderId="135" applyNumberFormat="0" applyProtection="0">
      <alignment horizontal="left" vertical="center" indent="1"/>
    </xf>
    <xf numFmtId="4" fontId="18" fillId="44" borderId="135" applyNumberFormat="0" applyProtection="0">
      <alignment horizontal="left" vertical="center" indent="1"/>
    </xf>
    <xf numFmtId="4" fontId="18" fillId="44" borderId="135" applyNumberFormat="0" applyProtection="0">
      <alignment horizontal="left" vertical="center" indent="1"/>
    </xf>
    <xf numFmtId="4" fontId="18" fillId="44" borderId="135" applyNumberFormat="0" applyProtection="0">
      <alignment horizontal="left" vertical="center" indent="1"/>
    </xf>
    <xf numFmtId="4" fontId="18" fillId="35" borderId="133" applyNumberFormat="0" applyProtection="0">
      <alignment horizontal="left" vertical="center" indent="1"/>
    </xf>
    <xf numFmtId="4" fontId="18" fillId="35" borderId="133" applyNumberFormat="0" applyProtection="0">
      <alignment horizontal="left" vertical="center" indent="1"/>
    </xf>
    <xf numFmtId="4" fontId="18" fillId="35" borderId="133" applyNumberFormat="0" applyProtection="0">
      <alignment horizontal="left" vertical="center" indent="1"/>
    </xf>
    <xf numFmtId="4" fontId="18" fillId="35" borderId="133" applyNumberFormat="0" applyProtection="0">
      <alignment horizontal="left" vertical="center" indent="1"/>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44" borderId="134" applyNumberFormat="0" applyProtection="0">
      <alignment horizontal="left" vertical="center" indent="1"/>
    </xf>
    <xf numFmtId="4" fontId="18" fillId="44" borderId="134" applyNumberFormat="0" applyProtection="0">
      <alignment horizontal="left" vertical="center" indent="1"/>
    </xf>
    <xf numFmtId="4" fontId="18" fillId="44" borderId="134" applyNumberFormat="0" applyProtection="0">
      <alignment horizontal="left" vertical="center" indent="1"/>
    </xf>
    <xf numFmtId="4" fontId="18" fillId="44" borderId="134" applyNumberFormat="0" applyProtection="0">
      <alignment horizontal="left" vertical="center" indent="1"/>
    </xf>
    <xf numFmtId="4" fontId="18" fillId="62" borderId="135" applyNumberFormat="0" applyProtection="0">
      <alignment horizontal="left" vertical="center" indent="1"/>
    </xf>
    <xf numFmtId="4" fontId="18" fillId="62" borderId="135" applyNumberFormat="0" applyProtection="0">
      <alignment horizontal="left" vertical="center" indent="1"/>
    </xf>
    <xf numFmtId="4" fontId="18" fillId="62" borderId="135" applyNumberFormat="0" applyProtection="0">
      <alignment horizontal="left" vertical="center" indent="1"/>
    </xf>
    <xf numFmtId="4" fontId="18" fillId="62" borderId="135" applyNumberFormat="0" applyProtection="0">
      <alignment horizontal="left" vertical="center" indent="1"/>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4" fontId="18" fillId="51" borderId="134" applyNumberFormat="0" applyProtection="0">
      <alignment horizontal="right" vertical="center"/>
    </xf>
    <xf numFmtId="0" fontId="18" fillId="75" borderId="136">
      <alignment horizontal="center" wrapText="1"/>
    </xf>
    <xf numFmtId="334" fontId="18" fillId="0" borderId="137"/>
    <xf numFmtId="37" fontId="18" fillId="49" borderId="138" applyNumberFormat="0" applyBorder="0">
      <alignment horizontal="center"/>
    </xf>
    <xf numFmtId="37" fontId="18" fillId="49" borderId="138" applyNumberFormat="0" applyBorder="0">
      <alignment horizontal="center"/>
    </xf>
    <xf numFmtId="37" fontId="18" fillId="49" borderId="138" applyNumberFormat="0" applyBorder="0">
      <alignment horizontal="center"/>
    </xf>
    <xf numFmtId="37" fontId="18" fillId="49" borderId="138" applyNumberFormat="0" applyBorder="0">
      <alignment horizontal="center"/>
    </xf>
    <xf numFmtId="177" fontId="18" fillId="0" borderId="137"/>
    <xf numFmtId="0" fontId="18" fillId="67" borderId="128">
      <alignment horizontal="center" vertical="top" wrapText="1"/>
    </xf>
    <xf numFmtId="0" fontId="18" fillId="67" borderId="128">
      <alignment horizontal="center" vertical="top" wrapText="1"/>
    </xf>
    <xf numFmtId="0" fontId="18" fillId="67" borderId="128">
      <alignment horizontal="center" vertical="top" wrapText="1"/>
    </xf>
    <xf numFmtId="0" fontId="18" fillId="67" borderId="128">
      <alignment horizontal="center" vertical="top" wrapText="1"/>
    </xf>
    <xf numFmtId="0" fontId="18" fillId="67" borderId="128">
      <alignment horizontal="center" vertical="top"/>
    </xf>
    <xf numFmtId="0" fontId="18" fillId="67" borderId="128">
      <alignment horizontal="center" vertical="top"/>
    </xf>
    <xf numFmtId="0" fontId="18" fillId="67" borderId="128">
      <alignment horizontal="center" vertical="top"/>
    </xf>
    <xf numFmtId="0" fontId="18" fillId="67" borderId="128">
      <alignment horizontal="center" vertical="top"/>
    </xf>
    <xf numFmtId="0" fontId="18" fillId="67" borderId="128">
      <alignment vertical="top" wrapText="1"/>
    </xf>
    <xf numFmtId="0" fontId="18" fillId="67" borderId="128">
      <alignment vertical="top" wrapText="1"/>
    </xf>
    <xf numFmtId="0" fontId="18" fillId="67" borderId="128">
      <alignment vertical="top" wrapText="1"/>
    </xf>
    <xf numFmtId="0" fontId="18" fillId="67" borderId="128">
      <alignment vertical="top" wrapText="1"/>
    </xf>
    <xf numFmtId="17" fontId="18" fillId="67" borderId="128">
      <alignment horizontal="center" vertical="top"/>
    </xf>
    <xf numFmtId="17" fontId="18" fillId="67" borderId="128">
      <alignment horizontal="center" vertical="top"/>
    </xf>
    <xf numFmtId="17" fontId="18" fillId="67" borderId="128">
      <alignment horizontal="center" vertical="top"/>
    </xf>
    <xf numFmtId="17" fontId="18" fillId="67" borderId="128">
      <alignment horizontal="center" vertical="top"/>
    </xf>
    <xf numFmtId="0" fontId="18" fillId="67" borderId="128">
      <alignment horizontal="centerContinuous" vertical="top" wrapText="1"/>
    </xf>
    <xf numFmtId="0" fontId="18" fillId="67" borderId="128">
      <alignment horizontal="centerContinuous" vertical="top" wrapText="1"/>
    </xf>
    <xf numFmtId="0" fontId="18" fillId="67" borderId="128">
      <alignment horizontal="centerContinuous" vertical="top" wrapText="1"/>
    </xf>
    <xf numFmtId="0" fontId="18" fillId="67" borderId="128">
      <alignment horizontal="centerContinuous" vertical="top" wrapText="1"/>
    </xf>
    <xf numFmtId="0" fontId="18" fillId="67" borderId="128">
      <alignment horizontal="center" vertical="top"/>
    </xf>
    <xf numFmtId="0" fontId="18" fillId="67" borderId="128">
      <alignment horizontal="center" vertical="top"/>
    </xf>
    <xf numFmtId="0" fontId="18" fillId="67" borderId="128">
      <alignment horizontal="center" vertical="top"/>
    </xf>
    <xf numFmtId="0" fontId="18" fillId="67" borderId="128">
      <alignment horizontal="center" vertical="top"/>
    </xf>
    <xf numFmtId="0" fontId="18" fillId="67" borderId="128">
      <alignment horizontal="center" textRotation="90"/>
    </xf>
    <xf numFmtId="0" fontId="18" fillId="67" borderId="128">
      <alignment horizontal="center" textRotation="90"/>
    </xf>
    <xf numFmtId="0" fontId="18" fillId="67" borderId="128">
      <alignment horizontal="center" textRotation="90"/>
    </xf>
    <xf numFmtId="0" fontId="18" fillId="67" borderId="128">
      <alignment horizontal="center" textRotation="90"/>
    </xf>
    <xf numFmtId="338" fontId="18" fillId="67" borderId="128">
      <alignment horizontal="center" vertical="top"/>
    </xf>
    <xf numFmtId="338" fontId="18" fillId="67" borderId="128">
      <alignment horizontal="center" vertical="top"/>
    </xf>
    <xf numFmtId="338" fontId="18" fillId="67" borderId="128">
      <alignment horizontal="center" vertical="top"/>
    </xf>
    <xf numFmtId="338" fontId="18" fillId="67" borderId="128">
      <alignment horizontal="center" vertical="top"/>
    </xf>
    <xf numFmtId="0" fontId="18" fillId="59" borderId="146" applyNumberFormat="0" applyAlignment="0">
      <protection locked="0"/>
    </xf>
    <xf numFmtId="277" fontId="18" fillId="0" borderId="126"/>
    <xf numFmtId="319" fontId="18" fillId="0" borderId="126"/>
    <xf numFmtId="0" fontId="18" fillId="75" borderId="136">
      <alignment horizontal="center" wrapText="1"/>
    </xf>
    <xf numFmtId="334" fontId="18" fillId="0" borderId="137"/>
    <xf numFmtId="177" fontId="18" fillId="0" borderId="137"/>
    <xf numFmtId="3" fontId="18" fillId="46" borderId="139"/>
    <xf numFmtId="179" fontId="18" fillId="0" borderId="139"/>
    <xf numFmtId="0" fontId="18" fillId="36" borderId="139">
      <alignment horizontal="right"/>
    </xf>
    <xf numFmtId="0" fontId="18" fillId="0" borderId="139" applyNumberFormat="0" applyFont="0" applyFill="0" applyBorder="0" applyAlignment="0">
      <alignment horizontal="center"/>
    </xf>
    <xf numFmtId="0" fontId="18" fillId="0" borderId="139" applyNumberFormat="0" applyFont="0" applyFill="0" applyBorder="0" applyAlignment="0">
      <alignment horizontal="center"/>
    </xf>
    <xf numFmtId="0" fontId="18" fillId="37" borderId="140" applyNumberFormat="0" applyFill="0" applyBorder="0" applyAlignment="0" applyProtection="0">
      <alignment horizontal="left" vertical="center" wrapText="1"/>
    </xf>
    <xf numFmtId="0" fontId="18" fillId="0" borderId="141" applyNumberFormat="0" applyFill="0"/>
    <xf numFmtId="0" fontId="18" fillId="0" borderId="141" applyNumberFormat="0" applyFill="0"/>
    <xf numFmtId="0" fontId="18" fillId="0" borderId="141" applyNumberFormat="0" applyFill="0"/>
    <xf numFmtId="0" fontId="18" fillId="0" borderId="141" applyNumberFormat="0" applyFill="0"/>
    <xf numFmtId="0" fontId="18" fillId="0" borderId="139" applyNumberFormat="0">
      <alignment horizontal="center" vertical="center"/>
    </xf>
    <xf numFmtId="0" fontId="18" fillId="0" borderId="139" applyNumberFormat="0">
      <alignment horizontal="center" vertical="center"/>
    </xf>
    <xf numFmtId="277" fontId="18" fillId="0" borderId="142"/>
    <xf numFmtId="0" fontId="18" fillId="0" borderId="143">
      <protection locked="0"/>
    </xf>
    <xf numFmtId="0" fontId="18" fillId="0" borderId="143">
      <protection locked="0"/>
    </xf>
    <xf numFmtId="0" fontId="18" fillId="0" borderId="143">
      <protection locked="0"/>
    </xf>
    <xf numFmtId="0" fontId="18" fillId="0" borderId="143">
      <protection locked="0"/>
    </xf>
    <xf numFmtId="0" fontId="18" fillId="36" borderId="139">
      <alignment horizontal="right"/>
    </xf>
    <xf numFmtId="179" fontId="18" fillId="0" borderId="139"/>
    <xf numFmtId="0" fontId="18" fillId="0" borderId="139"/>
    <xf numFmtId="0" fontId="18" fillId="0" borderId="139"/>
    <xf numFmtId="3" fontId="18" fillId="35" borderId="139"/>
    <xf numFmtId="3" fontId="18" fillId="35" borderId="139"/>
    <xf numFmtId="288" fontId="18" fillId="55" borderId="139" applyNumberFormat="0" applyFont="0" applyBorder="0" applyAlignment="0" applyProtection="0"/>
    <xf numFmtId="288" fontId="18" fillId="55" borderId="139" applyNumberFormat="0" applyFont="0" applyBorder="0" applyAlignment="0" applyProtection="0"/>
    <xf numFmtId="0" fontId="18" fillId="54" borderId="139" applyNumberFormat="0" applyFont="0" applyBorder="0" applyAlignment="0" applyProtection="0"/>
    <xf numFmtId="0" fontId="18" fillId="54" borderId="139" applyNumberFormat="0" applyFont="0" applyBorder="0" applyAlignment="0" applyProtection="0"/>
    <xf numFmtId="0" fontId="18" fillId="36" borderId="144">
      <alignment vertical="top"/>
      <protection locked="0"/>
    </xf>
    <xf numFmtId="0" fontId="18" fillId="36" borderId="144">
      <alignment vertical="top"/>
      <protection locked="0"/>
    </xf>
    <xf numFmtId="0" fontId="18" fillId="36" borderId="144">
      <alignment vertical="top"/>
      <protection locked="0"/>
    </xf>
    <xf numFmtId="0" fontId="18" fillId="36" borderId="144">
      <alignment vertical="top"/>
      <protection locked="0"/>
    </xf>
    <xf numFmtId="245" fontId="18" fillId="36" borderId="144">
      <alignment vertical="top"/>
      <protection locked="0"/>
    </xf>
    <xf numFmtId="245" fontId="18" fillId="36" borderId="144">
      <alignment vertical="top"/>
      <protection locked="0"/>
    </xf>
    <xf numFmtId="245" fontId="18" fillId="36" borderId="144">
      <alignment vertical="top"/>
      <protection locked="0"/>
    </xf>
    <xf numFmtId="245" fontId="18" fillId="36" borderId="144">
      <alignment vertical="top"/>
      <protection locked="0"/>
    </xf>
    <xf numFmtId="246" fontId="18" fillId="36" borderId="144">
      <alignment vertical="top"/>
      <protection locked="0"/>
    </xf>
    <xf numFmtId="246" fontId="18" fillId="36" borderId="144">
      <alignment vertical="top"/>
      <protection locked="0"/>
    </xf>
    <xf numFmtId="246" fontId="18" fillId="36" borderId="144">
      <alignment vertical="top"/>
      <protection locked="0"/>
    </xf>
    <xf numFmtId="246" fontId="18" fillId="36" borderId="144">
      <alignment vertical="top"/>
      <protection locked="0"/>
    </xf>
    <xf numFmtId="247" fontId="18" fillId="36" borderId="144">
      <alignment vertical="top"/>
      <protection locked="0"/>
    </xf>
    <xf numFmtId="247" fontId="18" fillId="36" borderId="144">
      <alignment vertical="top"/>
      <protection locked="0"/>
    </xf>
    <xf numFmtId="247" fontId="18" fillId="36" borderId="144">
      <alignment vertical="top"/>
      <protection locked="0"/>
    </xf>
    <xf numFmtId="247" fontId="18" fillId="36" borderId="144">
      <alignment vertical="top"/>
      <protection locked="0"/>
    </xf>
    <xf numFmtId="248" fontId="18" fillId="36" borderId="144">
      <alignment vertical="top"/>
      <protection locked="0"/>
    </xf>
    <xf numFmtId="248" fontId="18" fillId="36" borderId="144">
      <alignment vertical="top"/>
      <protection locked="0"/>
    </xf>
    <xf numFmtId="248" fontId="18" fillId="36" borderId="144">
      <alignment vertical="top"/>
      <protection locked="0"/>
    </xf>
    <xf numFmtId="248" fontId="18" fillId="36" borderId="144">
      <alignment vertical="top"/>
      <protection locked="0"/>
    </xf>
    <xf numFmtId="249" fontId="18" fillId="36" borderId="144">
      <alignment vertical="top"/>
      <protection locked="0"/>
    </xf>
    <xf numFmtId="249" fontId="18" fillId="36" borderId="144">
      <alignment vertical="top"/>
      <protection locked="0"/>
    </xf>
    <xf numFmtId="249" fontId="18" fillId="36" borderId="144">
      <alignment vertical="top"/>
      <protection locked="0"/>
    </xf>
    <xf numFmtId="249" fontId="18" fillId="36" borderId="144">
      <alignment vertical="top"/>
      <protection locked="0"/>
    </xf>
    <xf numFmtId="292" fontId="18" fillId="36" borderId="144">
      <alignment vertical="top"/>
      <protection locked="0"/>
    </xf>
    <xf numFmtId="292" fontId="18" fillId="36" borderId="144">
      <alignment vertical="top"/>
      <protection locked="0"/>
    </xf>
    <xf numFmtId="292" fontId="18" fillId="36" borderId="144">
      <alignment vertical="top"/>
      <protection locked="0"/>
    </xf>
    <xf numFmtId="292" fontId="18" fillId="36" borderId="144">
      <alignment vertical="top"/>
      <protection locked="0"/>
    </xf>
    <xf numFmtId="250" fontId="18" fillId="36" borderId="144">
      <alignment vertical="top"/>
      <protection locked="0"/>
    </xf>
    <xf numFmtId="250" fontId="18" fillId="36" borderId="144">
      <alignment vertical="top"/>
      <protection locked="0"/>
    </xf>
    <xf numFmtId="250" fontId="18" fillId="36" borderId="144">
      <alignment vertical="top"/>
      <protection locked="0"/>
    </xf>
    <xf numFmtId="250" fontId="18" fillId="36" borderId="144">
      <alignment vertical="top"/>
      <protection locked="0"/>
    </xf>
    <xf numFmtId="251" fontId="18" fillId="36" borderId="144">
      <alignment vertical="top"/>
      <protection locked="0"/>
    </xf>
    <xf numFmtId="251" fontId="18" fillId="36" borderId="144">
      <alignment vertical="top"/>
      <protection locked="0"/>
    </xf>
    <xf numFmtId="251" fontId="18" fillId="36" borderId="144">
      <alignment vertical="top"/>
      <protection locked="0"/>
    </xf>
    <xf numFmtId="17" fontId="18" fillId="36" borderId="144">
      <alignment vertical="top"/>
      <protection locked="0"/>
    </xf>
    <xf numFmtId="17" fontId="18" fillId="36" borderId="144">
      <alignment vertical="top"/>
      <protection locked="0"/>
    </xf>
    <xf numFmtId="17" fontId="18" fillId="36" borderId="144">
      <alignment vertical="top"/>
      <protection locked="0"/>
    </xf>
    <xf numFmtId="17" fontId="18" fillId="36" borderId="144">
      <alignment vertical="top"/>
      <protection locked="0"/>
    </xf>
    <xf numFmtId="20" fontId="18" fillId="36" borderId="144">
      <alignment vertical="top"/>
      <protection locked="0"/>
    </xf>
    <xf numFmtId="20" fontId="18" fillId="36" borderId="144">
      <alignment vertical="top"/>
      <protection locked="0"/>
    </xf>
    <xf numFmtId="20" fontId="18" fillId="36" borderId="144">
      <alignment vertical="top"/>
      <protection locked="0"/>
    </xf>
    <xf numFmtId="20" fontId="18" fillId="36" borderId="144">
      <alignment vertical="top"/>
      <protection locked="0"/>
    </xf>
    <xf numFmtId="179" fontId="18" fillId="0" borderId="139">
      <alignment horizontal="right"/>
    </xf>
    <xf numFmtId="179" fontId="18" fillId="0" borderId="139">
      <alignment horizontal="right"/>
    </xf>
    <xf numFmtId="0" fontId="18" fillId="0" borderId="139"/>
    <xf numFmtId="0" fontId="18" fillId="0" borderId="139"/>
    <xf numFmtId="0" fontId="18" fillId="0" borderId="139">
      <alignment horizontal="right"/>
    </xf>
    <xf numFmtId="0" fontId="18" fillId="0" borderId="139">
      <alignment horizontal="right"/>
    </xf>
    <xf numFmtId="0" fontId="18" fillId="0" borderId="139">
      <alignment horizontal="right"/>
    </xf>
    <xf numFmtId="0" fontId="18" fillId="0" borderId="139">
      <alignment horizontal="right"/>
    </xf>
    <xf numFmtId="0" fontId="18" fillId="0" borderId="139">
      <alignment horizontal="right"/>
    </xf>
    <xf numFmtId="0" fontId="18" fillId="0" borderId="139">
      <alignment horizontal="right"/>
    </xf>
    <xf numFmtId="0" fontId="18" fillId="0" borderId="139">
      <alignment horizontal="right"/>
    </xf>
    <xf numFmtId="0" fontId="18" fillId="0" borderId="139">
      <alignment horizontal="right"/>
    </xf>
    <xf numFmtId="0" fontId="18" fillId="0" borderId="139">
      <alignment horizontal="right"/>
    </xf>
    <xf numFmtId="9" fontId="18" fillId="0" borderId="139"/>
    <xf numFmtId="9" fontId="18" fillId="0" borderId="139"/>
    <xf numFmtId="3" fontId="18" fillId="0" borderId="139"/>
    <xf numFmtId="3" fontId="18" fillId="0" borderId="139"/>
    <xf numFmtId="10" fontId="18" fillId="0" borderId="139"/>
    <xf numFmtId="10" fontId="18" fillId="0" borderId="139"/>
    <xf numFmtId="3" fontId="18" fillId="0" borderId="139"/>
    <xf numFmtId="3" fontId="18" fillId="0" borderId="139"/>
    <xf numFmtId="4" fontId="18" fillId="0" borderId="139"/>
    <xf numFmtId="4" fontId="18" fillId="0" borderId="139"/>
    <xf numFmtId="10" fontId="18" fillId="35" borderId="139" applyNumberFormat="0" applyBorder="0" applyAlignment="0" applyProtection="0"/>
    <xf numFmtId="10" fontId="18" fillId="35" borderId="139" applyNumberFormat="0" applyBorder="0" applyAlignment="0" applyProtection="0"/>
    <xf numFmtId="0" fontId="18" fillId="0" borderId="145" applyNumberFormat="0" applyAlignment="0">
      <alignment vertical="center"/>
      <protection locked="0"/>
    </xf>
    <xf numFmtId="0" fontId="18" fillId="0" borderId="145" applyNumberFormat="0" applyAlignment="0">
      <alignment vertical="center"/>
      <protection locked="0"/>
    </xf>
    <xf numFmtId="0" fontId="18" fillId="0" borderId="145" applyNumberFormat="0" applyAlignment="0">
      <alignment vertical="center"/>
      <protection locked="0"/>
    </xf>
    <xf numFmtId="0" fontId="18" fillId="0" borderId="145" applyNumberFormat="0" applyAlignment="0">
      <alignment vertical="center"/>
      <protection locked="0"/>
    </xf>
    <xf numFmtId="294" fontId="18" fillId="56" borderId="145" applyNumberFormat="0" applyAlignment="0">
      <alignment vertical="center"/>
      <protection locked="0"/>
    </xf>
    <xf numFmtId="294" fontId="18" fillId="56" borderId="145" applyNumberFormat="0" applyAlignment="0">
      <alignment vertical="center"/>
      <protection locked="0"/>
    </xf>
    <xf numFmtId="294" fontId="18" fillId="56" borderId="145" applyNumberFormat="0" applyAlignment="0">
      <alignment vertical="center"/>
      <protection locked="0"/>
    </xf>
    <xf numFmtId="294" fontId="18" fillId="56" borderId="145" applyNumberFormat="0" applyAlignment="0">
      <alignment vertical="center"/>
      <protection locked="0"/>
    </xf>
    <xf numFmtId="0" fontId="18" fillId="57" borderId="146" applyNumberFormat="0" applyAlignment="0">
      <protection locked="0"/>
    </xf>
    <xf numFmtId="0" fontId="18" fillId="57" borderId="146" applyNumberFormat="0" applyAlignment="0">
      <protection locked="0"/>
    </xf>
    <xf numFmtId="0" fontId="18" fillId="57" borderId="146" applyNumberFormat="0" applyAlignment="0">
      <protection locked="0"/>
    </xf>
    <xf numFmtId="0" fontId="18" fillId="57" borderId="146" applyNumberFormat="0" applyAlignment="0">
      <protection locked="0"/>
    </xf>
    <xf numFmtId="0" fontId="18" fillId="0" borderId="147" applyNumberFormat="0" applyAlignment="0">
      <alignment vertical="center"/>
      <protection locked="0"/>
    </xf>
    <xf numFmtId="0" fontId="18" fillId="0" borderId="147" applyNumberFormat="0" applyAlignment="0">
      <alignment vertical="center"/>
      <protection locked="0"/>
    </xf>
    <xf numFmtId="0" fontId="18" fillId="0" borderId="147" applyNumberFormat="0" applyAlignment="0">
      <alignment vertical="center"/>
      <protection locked="0"/>
    </xf>
    <xf numFmtId="0" fontId="18" fillId="0" borderId="147" applyNumberFormat="0" applyAlignment="0">
      <alignment vertical="center"/>
      <protection locked="0"/>
    </xf>
    <xf numFmtId="0" fontId="18" fillId="59" borderId="146" applyNumberFormat="0" applyAlignment="0">
      <protection locked="0"/>
    </xf>
    <xf numFmtId="0" fontId="18" fillId="59" borderId="146" applyNumberFormat="0" applyAlignment="0">
      <protection locked="0"/>
    </xf>
    <xf numFmtId="0" fontId="18" fillId="59" borderId="146" applyNumberFormat="0" applyAlignment="0">
      <protection locked="0"/>
    </xf>
    <xf numFmtId="267" fontId="18" fillId="36" borderId="144">
      <alignment vertical="top"/>
      <protection locked="0"/>
    </xf>
    <xf numFmtId="267" fontId="18" fillId="36" borderId="144">
      <alignment vertical="top"/>
      <protection locked="0"/>
    </xf>
    <xf numFmtId="267" fontId="18" fillId="36" borderId="144">
      <alignment vertical="top"/>
      <protection locked="0"/>
    </xf>
    <xf numFmtId="267" fontId="18" fillId="36" borderId="144">
      <alignment vertical="top"/>
      <protection locked="0"/>
    </xf>
    <xf numFmtId="268" fontId="18" fillId="36" borderId="144">
      <alignment vertical="top"/>
      <protection locked="0"/>
    </xf>
    <xf numFmtId="268" fontId="18" fillId="36" borderId="144">
      <alignment vertical="top"/>
      <protection locked="0"/>
    </xf>
    <xf numFmtId="268" fontId="18" fillId="36" borderId="144">
      <alignment vertical="top"/>
      <protection locked="0"/>
    </xf>
    <xf numFmtId="269" fontId="18" fillId="36" borderId="144">
      <alignment vertical="top"/>
      <protection locked="0"/>
    </xf>
    <xf numFmtId="269" fontId="18" fillId="36" borderId="144">
      <alignment vertical="top"/>
      <protection locked="0"/>
    </xf>
    <xf numFmtId="269" fontId="18" fillId="36" borderId="144">
      <alignment vertical="top"/>
      <protection locked="0"/>
    </xf>
    <xf numFmtId="270" fontId="18" fillId="36" borderId="144">
      <alignment vertical="top"/>
      <protection locked="0"/>
    </xf>
    <xf numFmtId="270" fontId="18" fillId="36" borderId="144">
      <alignment vertical="top"/>
      <protection locked="0"/>
    </xf>
    <xf numFmtId="270" fontId="18" fillId="36" borderId="144">
      <alignment vertical="top"/>
      <protection locked="0"/>
    </xf>
    <xf numFmtId="270" fontId="18" fillId="36" borderId="144">
      <alignment vertical="top"/>
      <protection locked="0"/>
    </xf>
    <xf numFmtId="271" fontId="18" fillId="36" borderId="144">
      <alignment vertical="top"/>
      <protection locked="0"/>
    </xf>
    <xf numFmtId="271" fontId="18" fillId="36" borderId="144">
      <alignment vertical="top"/>
      <protection locked="0"/>
    </xf>
    <xf numFmtId="271" fontId="18" fillId="36" borderId="144">
      <alignment vertical="top"/>
      <protection locked="0"/>
    </xf>
    <xf numFmtId="271" fontId="18" fillId="36" borderId="144">
      <alignment vertical="top"/>
      <protection locked="0"/>
    </xf>
    <xf numFmtId="275" fontId="18" fillId="36" borderId="144">
      <alignment vertical="top"/>
      <protection locked="0"/>
    </xf>
    <xf numFmtId="275" fontId="18" fillId="36" borderId="144">
      <alignment vertical="top"/>
      <protection locked="0"/>
    </xf>
    <xf numFmtId="275" fontId="18" fillId="36" borderId="144">
      <alignment vertical="top"/>
      <protection locked="0"/>
    </xf>
    <xf numFmtId="275" fontId="18" fillId="36" borderId="144">
      <alignment vertical="top"/>
      <protection locked="0"/>
    </xf>
    <xf numFmtId="276" fontId="18" fillId="36" borderId="144">
      <alignment vertical="top"/>
      <protection locked="0"/>
    </xf>
    <xf numFmtId="276" fontId="18" fillId="36" borderId="144">
      <alignment vertical="top"/>
      <protection locked="0"/>
    </xf>
    <xf numFmtId="276" fontId="18" fillId="36" borderId="144">
      <alignment vertical="top"/>
      <protection locked="0"/>
    </xf>
    <xf numFmtId="276" fontId="18" fillId="36" borderId="144">
      <alignment vertical="top"/>
      <protection locked="0"/>
    </xf>
    <xf numFmtId="0" fontId="18" fillId="61" borderId="148">
      <alignment horizontal="left" vertical="center" wrapText="1"/>
    </xf>
    <xf numFmtId="0" fontId="18" fillId="61" borderId="148">
      <alignment horizontal="left" vertical="center" wrapText="1"/>
    </xf>
    <xf numFmtId="0" fontId="18" fillId="61" borderId="148">
      <alignment horizontal="left" vertical="center" wrapText="1"/>
    </xf>
    <xf numFmtId="0" fontId="18" fillId="61" borderId="148">
      <alignment horizontal="left" vertical="center" wrapText="1"/>
    </xf>
    <xf numFmtId="0" fontId="18" fillId="36" borderId="144">
      <alignment vertical="top"/>
    </xf>
    <xf numFmtId="0" fontId="18" fillId="36" borderId="144">
      <alignment vertical="top"/>
    </xf>
    <xf numFmtId="0" fontId="18" fillId="36" borderId="144">
      <alignment vertical="top"/>
    </xf>
    <xf numFmtId="0" fontId="18" fillId="36" borderId="144">
      <alignment vertical="top"/>
    </xf>
    <xf numFmtId="0" fontId="18" fillId="36" borderId="144">
      <alignment vertical="top" wrapText="1"/>
      <protection locked="0"/>
    </xf>
    <xf numFmtId="0" fontId="18" fillId="36" borderId="144">
      <alignment vertical="top" wrapText="1"/>
      <protection locked="0"/>
    </xf>
    <xf numFmtId="0" fontId="18" fillId="36" borderId="144">
      <alignment vertical="top" wrapText="1"/>
      <protection locked="0"/>
    </xf>
    <xf numFmtId="0" fontId="18" fillId="36" borderId="144">
      <alignment vertical="top" wrapText="1"/>
      <protection locked="0"/>
    </xf>
    <xf numFmtId="0" fontId="18" fillId="36" borderId="144">
      <alignment vertical="top"/>
      <protection locked="0"/>
    </xf>
    <xf numFmtId="0" fontId="18" fillId="36" borderId="144">
      <alignment vertical="top"/>
      <protection locked="0"/>
    </xf>
    <xf numFmtId="0" fontId="18" fillId="36" borderId="144">
      <alignment vertical="top"/>
      <protection locked="0"/>
    </xf>
    <xf numFmtId="299" fontId="18" fillId="48" borderId="139"/>
    <xf numFmtId="299" fontId="18" fillId="48" borderId="139"/>
    <xf numFmtId="0" fontId="18" fillId="0" borderId="139" applyNumberFormat="0" applyFont="0" applyBorder="0" applyAlignment="0" applyProtection="0">
      <alignment horizontal="center"/>
    </xf>
    <xf numFmtId="0" fontId="18" fillId="0" borderId="139" applyNumberFormat="0" applyFont="0" applyBorder="0" applyAlignment="0" applyProtection="0">
      <alignment horizontal="center"/>
    </xf>
    <xf numFmtId="319" fontId="18" fillId="0" borderId="142"/>
    <xf numFmtId="177" fontId="18" fillId="36" borderId="139"/>
    <xf numFmtId="177" fontId="18" fillId="36" borderId="139"/>
    <xf numFmtId="0" fontId="18" fillId="37" borderId="139">
      <alignment horizontal="right"/>
      <protection locked="0"/>
    </xf>
    <xf numFmtId="0" fontId="18" fillId="37" borderId="139">
      <alignment horizontal="right"/>
      <protection locked="0"/>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vertical="center"/>
    </xf>
    <xf numFmtId="4" fontId="18" fillId="36" borderId="150" applyNumberFormat="0" applyProtection="0">
      <alignment horizontal="left" vertical="center" indent="1"/>
    </xf>
    <xf numFmtId="4" fontId="18" fillId="36" borderId="150" applyNumberFormat="0" applyProtection="0">
      <alignment horizontal="left" vertical="center" indent="1"/>
    </xf>
    <xf numFmtId="4" fontId="18" fillId="36" borderId="150" applyNumberFormat="0" applyProtection="0">
      <alignment horizontal="left" vertical="center" indent="1"/>
    </xf>
    <xf numFmtId="4" fontId="18" fillId="36" borderId="149" applyNumberFormat="0" applyProtection="0">
      <alignment horizontal="left" vertical="center" indent="1"/>
    </xf>
    <xf numFmtId="4" fontId="18" fillId="36" borderId="149" applyNumberFormat="0" applyProtection="0">
      <alignment horizontal="left" vertical="center" indent="1"/>
    </xf>
    <xf numFmtId="4" fontId="18" fillId="36" borderId="149" applyNumberFormat="0" applyProtection="0">
      <alignment horizontal="left" vertical="center" indent="1"/>
    </xf>
    <xf numFmtId="4" fontId="18" fillId="64" borderId="150" applyNumberFormat="0" applyProtection="0">
      <alignment horizontal="right" vertical="center"/>
    </xf>
    <xf numFmtId="4" fontId="18" fillId="64" borderId="150" applyNumberFormat="0" applyProtection="0">
      <alignment horizontal="right" vertical="center"/>
    </xf>
    <xf numFmtId="4" fontId="18" fillId="64" borderId="150" applyNumberFormat="0" applyProtection="0">
      <alignment horizontal="right" vertical="center"/>
    </xf>
    <xf numFmtId="4" fontId="18" fillId="64" borderId="150" applyNumberFormat="0" applyProtection="0">
      <alignment horizontal="right" vertical="center"/>
    </xf>
    <xf numFmtId="4" fontId="18" fillId="65" borderId="150" applyNumberFormat="0" applyProtection="0">
      <alignment horizontal="right" vertical="center"/>
    </xf>
    <xf numFmtId="4" fontId="18" fillId="65" borderId="150" applyNumberFormat="0" applyProtection="0">
      <alignment horizontal="right" vertical="center"/>
    </xf>
    <xf numFmtId="4" fontId="18" fillId="65" borderId="150" applyNumberFormat="0" applyProtection="0">
      <alignment horizontal="right" vertical="center"/>
    </xf>
    <xf numFmtId="4" fontId="18" fillId="65" borderId="150" applyNumberFormat="0" applyProtection="0">
      <alignment horizontal="right" vertical="center"/>
    </xf>
    <xf numFmtId="4" fontId="18" fillId="46" borderId="150" applyNumberFormat="0" applyProtection="0">
      <alignment horizontal="right" vertical="center"/>
    </xf>
    <xf numFmtId="4" fontId="18" fillId="46" borderId="150" applyNumberFormat="0" applyProtection="0">
      <alignment horizontal="right" vertical="center"/>
    </xf>
    <xf numFmtId="4" fontId="18" fillId="46" borderId="150" applyNumberFormat="0" applyProtection="0">
      <alignment horizontal="right" vertical="center"/>
    </xf>
    <xf numFmtId="4" fontId="18" fillId="46" borderId="150" applyNumberFormat="0" applyProtection="0">
      <alignment horizontal="right" vertical="center"/>
    </xf>
    <xf numFmtId="4" fontId="18" fillId="55" borderId="150" applyNumberFormat="0" applyProtection="0">
      <alignment horizontal="right" vertical="center"/>
    </xf>
    <xf numFmtId="4" fontId="18" fillId="55" borderId="150" applyNumberFormat="0" applyProtection="0">
      <alignment horizontal="right" vertical="center"/>
    </xf>
    <xf numFmtId="4" fontId="18" fillId="55" borderId="150" applyNumberFormat="0" applyProtection="0">
      <alignment horizontal="right" vertical="center"/>
    </xf>
    <xf numFmtId="4" fontId="18" fillId="55" borderId="150" applyNumberFormat="0" applyProtection="0">
      <alignment horizontal="right" vertical="center"/>
    </xf>
    <xf numFmtId="4" fontId="18" fillId="66" borderId="150" applyNumberFormat="0" applyProtection="0">
      <alignment horizontal="right" vertical="center"/>
    </xf>
    <xf numFmtId="4" fontId="18" fillId="66" borderId="150" applyNumberFormat="0" applyProtection="0">
      <alignment horizontal="right" vertical="center"/>
    </xf>
    <xf numFmtId="4" fontId="18" fillId="67" borderId="150" applyNumberFormat="0" applyProtection="0">
      <alignment horizontal="right" vertical="center"/>
    </xf>
    <xf numFmtId="4" fontId="18" fillId="67" borderId="150" applyNumberFormat="0" applyProtection="0">
      <alignment horizontal="right" vertical="center"/>
    </xf>
    <xf numFmtId="4" fontId="18" fillId="67" borderId="150" applyNumberFormat="0" applyProtection="0">
      <alignment horizontal="right" vertical="center"/>
    </xf>
    <xf numFmtId="4" fontId="18" fillId="67" borderId="150" applyNumberFormat="0" applyProtection="0">
      <alignment horizontal="right" vertical="center"/>
    </xf>
    <xf numFmtId="4" fontId="18" fillId="68" borderId="150" applyNumberFormat="0" applyProtection="0">
      <alignment horizontal="right" vertical="center"/>
    </xf>
    <xf numFmtId="4" fontId="18" fillId="68" borderId="150" applyNumberFormat="0" applyProtection="0">
      <alignment horizontal="right" vertical="center"/>
    </xf>
    <xf numFmtId="4" fontId="18" fillId="68" borderId="150" applyNumberFormat="0" applyProtection="0">
      <alignment horizontal="right" vertical="center"/>
    </xf>
    <xf numFmtId="4" fontId="18" fillId="68" borderId="150" applyNumberFormat="0" applyProtection="0">
      <alignment horizontal="right" vertical="center"/>
    </xf>
    <xf numFmtId="4" fontId="18" fillId="69" borderId="150" applyNumberFormat="0" applyProtection="0">
      <alignment horizontal="right" vertical="center"/>
    </xf>
    <xf numFmtId="4" fontId="18" fillId="69" borderId="150" applyNumberFormat="0" applyProtection="0">
      <alignment horizontal="right" vertical="center"/>
    </xf>
    <xf numFmtId="4" fontId="18" fillId="69" borderId="150" applyNumberFormat="0" applyProtection="0">
      <alignment horizontal="right" vertical="center"/>
    </xf>
    <xf numFmtId="4" fontId="18" fillId="69" borderId="150" applyNumberFormat="0" applyProtection="0">
      <alignment horizontal="right" vertical="center"/>
    </xf>
    <xf numFmtId="4" fontId="18" fillId="70" borderId="150" applyNumberFormat="0" applyProtection="0">
      <alignment horizontal="right" vertical="center"/>
    </xf>
    <xf numFmtId="4" fontId="18" fillId="70" borderId="150" applyNumberFormat="0" applyProtection="0">
      <alignment horizontal="right" vertical="center"/>
    </xf>
    <xf numFmtId="4" fontId="18" fillId="70" borderId="150" applyNumberFormat="0" applyProtection="0">
      <alignment horizontal="right" vertical="center"/>
    </xf>
    <xf numFmtId="4" fontId="18" fillId="70" borderId="150" applyNumberFormat="0" applyProtection="0">
      <alignment horizontal="right" vertical="center"/>
    </xf>
    <xf numFmtId="4" fontId="18" fillId="44" borderId="150" applyNumberFormat="0" applyProtection="0">
      <alignment horizontal="right" vertical="center"/>
    </xf>
    <xf numFmtId="4" fontId="18" fillId="44" borderId="150" applyNumberFormat="0" applyProtection="0">
      <alignment horizontal="right" vertical="center"/>
    </xf>
    <xf numFmtId="4" fontId="18" fillId="44" borderId="150" applyNumberFormat="0" applyProtection="0">
      <alignment horizontal="right" vertical="center"/>
    </xf>
    <xf numFmtId="4" fontId="18" fillId="44" borderId="150" applyNumberFormat="0" applyProtection="0">
      <alignment horizontal="right" vertical="center"/>
    </xf>
    <xf numFmtId="0" fontId="18" fillId="72" borderId="149" applyNumberFormat="0" applyProtection="0">
      <alignment horizontal="left" vertical="center" indent="1"/>
    </xf>
    <xf numFmtId="0" fontId="18" fillId="72" borderId="149" applyNumberFormat="0" applyProtection="0">
      <alignment horizontal="left" vertical="center" indent="1"/>
    </xf>
    <xf numFmtId="0" fontId="18" fillId="72" borderId="149" applyNumberFormat="0" applyProtection="0">
      <alignment horizontal="left" vertical="center" indent="1"/>
    </xf>
    <xf numFmtId="0" fontId="18" fillId="72" borderId="149" applyNumberFormat="0" applyProtection="0">
      <alignment horizontal="left" vertical="center" indent="1"/>
    </xf>
    <xf numFmtId="0" fontId="18" fillId="38" borderId="149" applyNumberFormat="0" applyProtection="0">
      <alignment horizontal="left" vertical="center" indent="1"/>
    </xf>
    <xf numFmtId="0" fontId="18" fillId="38" borderId="149" applyNumberFormat="0" applyProtection="0">
      <alignment horizontal="left" vertical="center" indent="1"/>
    </xf>
    <xf numFmtId="0" fontId="18" fillId="38" borderId="149" applyNumberFormat="0" applyProtection="0">
      <alignment horizontal="left" vertical="center" indent="1"/>
    </xf>
    <xf numFmtId="0" fontId="18" fillId="38" borderId="149" applyNumberFormat="0" applyProtection="0">
      <alignment horizontal="left" vertical="center" indent="1"/>
    </xf>
    <xf numFmtId="0" fontId="18" fillId="37" borderId="149" applyNumberFormat="0" applyProtection="0">
      <alignment horizontal="left" vertical="center" indent="1"/>
    </xf>
    <xf numFmtId="0" fontId="18" fillId="37" borderId="149" applyNumberFormat="0" applyProtection="0">
      <alignment horizontal="left" vertical="center" indent="1"/>
    </xf>
    <xf numFmtId="0" fontId="18" fillId="37" borderId="149" applyNumberFormat="0" applyProtection="0">
      <alignment horizontal="left" vertical="center" indent="1"/>
    </xf>
    <xf numFmtId="0" fontId="18" fillId="37" borderId="149" applyNumberFormat="0" applyProtection="0">
      <alignment horizontal="left" vertical="center" indent="1"/>
    </xf>
    <xf numFmtId="0" fontId="18" fillId="48" borderId="149" applyNumberFormat="0" applyProtection="0">
      <alignment horizontal="left" vertical="center" indent="1"/>
    </xf>
    <xf numFmtId="0" fontId="18" fillId="48" borderId="149" applyNumberFormat="0" applyProtection="0">
      <alignment horizontal="left" vertical="center" indent="1"/>
    </xf>
    <xf numFmtId="0" fontId="18" fillId="48" borderId="149" applyNumberFormat="0" applyProtection="0">
      <alignment horizontal="left" vertical="center" indent="1"/>
    </xf>
    <xf numFmtId="0" fontId="18" fillId="48" borderId="149" applyNumberFormat="0" applyProtection="0">
      <alignment horizontal="left" vertical="center" indent="1"/>
    </xf>
    <xf numFmtId="4" fontId="18" fillId="51" borderId="150" applyNumberFormat="0" applyProtection="0">
      <alignment vertical="center"/>
    </xf>
    <xf numFmtId="4" fontId="18" fillId="51" borderId="150" applyNumberFormat="0" applyProtection="0">
      <alignment vertical="center"/>
    </xf>
    <xf numFmtId="4" fontId="18" fillId="51" borderId="150" applyNumberFormat="0" applyProtection="0">
      <alignment vertical="center"/>
    </xf>
    <xf numFmtId="4" fontId="18" fillId="51" borderId="150" applyNumberFormat="0" applyProtection="0">
      <alignment vertical="center"/>
    </xf>
    <xf numFmtId="4" fontId="18" fillId="51" borderId="150" applyNumberFormat="0" applyProtection="0">
      <alignment vertical="center"/>
    </xf>
    <xf numFmtId="4" fontId="18" fillId="51" borderId="150" applyNumberFormat="0" applyProtection="0">
      <alignment vertical="center"/>
    </xf>
    <xf numFmtId="4" fontId="18" fillId="51" borderId="150" applyNumberFormat="0" applyProtection="0">
      <alignment vertical="center"/>
    </xf>
    <xf numFmtId="4" fontId="18" fillId="51" borderId="150" applyNumberFormat="0" applyProtection="0">
      <alignment vertical="center"/>
    </xf>
    <xf numFmtId="4" fontId="18" fillId="44" borderId="151" applyNumberFormat="0" applyProtection="0">
      <alignment horizontal="left" vertical="center" indent="1"/>
    </xf>
    <xf numFmtId="4" fontId="18" fillId="44" borderId="151" applyNumberFormat="0" applyProtection="0">
      <alignment horizontal="left" vertical="center" indent="1"/>
    </xf>
    <xf numFmtId="4" fontId="18" fillId="44" borderId="151" applyNumberFormat="0" applyProtection="0">
      <alignment horizontal="left" vertical="center" indent="1"/>
    </xf>
    <xf numFmtId="4" fontId="18" fillId="44" borderId="151" applyNumberFormat="0" applyProtection="0">
      <alignment horizontal="left" vertical="center" indent="1"/>
    </xf>
    <xf numFmtId="4" fontId="18" fillId="35" borderId="149" applyNumberFormat="0" applyProtection="0">
      <alignment horizontal="left" vertical="center" indent="1"/>
    </xf>
    <xf numFmtId="4" fontId="18" fillId="35" borderId="149" applyNumberFormat="0" applyProtection="0">
      <alignment horizontal="left" vertical="center" indent="1"/>
    </xf>
    <xf numFmtId="4" fontId="18" fillId="35" borderId="149" applyNumberFormat="0" applyProtection="0">
      <alignment horizontal="left" vertical="center" indent="1"/>
    </xf>
    <xf numFmtId="4" fontId="18" fillId="35" borderId="149" applyNumberFormat="0" applyProtection="0">
      <alignment horizontal="left" vertical="center" indent="1"/>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4" fontId="18" fillId="44" borderId="150" applyNumberFormat="0" applyProtection="0">
      <alignment horizontal="left" vertical="center" indent="1"/>
    </xf>
    <xf numFmtId="4" fontId="18" fillId="44" borderId="150" applyNumberFormat="0" applyProtection="0">
      <alignment horizontal="left" vertical="center" indent="1"/>
    </xf>
    <xf numFmtId="4" fontId="18" fillId="44" borderId="150" applyNumberFormat="0" applyProtection="0">
      <alignment horizontal="left" vertical="center" indent="1"/>
    </xf>
    <xf numFmtId="4" fontId="18" fillId="44" borderId="150" applyNumberFormat="0" applyProtection="0">
      <alignment horizontal="left" vertical="center" indent="1"/>
    </xf>
    <xf numFmtId="4" fontId="18" fillId="62" borderId="151" applyNumberFormat="0" applyProtection="0">
      <alignment horizontal="left" vertical="center" indent="1"/>
    </xf>
    <xf numFmtId="4" fontId="18" fillId="62" borderId="151" applyNumberFormat="0" applyProtection="0">
      <alignment horizontal="left" vertical="center" indent="1"/>
    </xf>
    <xf numFmtId="4" fontId="18" fillId="62" borderId="151" applyNumberFormat="0" applyProtection="0">
      <alignment horizontal="left" vertical="center" indent="1"/>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4" fontId="18" fillId="51" borderId="150" applyNumberFormat="0" applyProtection="0">
      <alignment horizontal="right" vertical="center"/>
    </xf>
    <xf numFmtId="0" fontId="18" fillId="52" borderId="139">
      <alignment horizontal="center" vertical="center" wrapText="1"/>
      <protection hidden="1"/>
    </xf>
    <xf numFmtId="179" fontId="18" fillId="0" borderId="139" applyBorder="0"/>
    <xf numFmtId="179" fontId="18" fillId="0" borderId="139" applyBorder="0"/>
    <xf numFmtId="0" fontId="18" fillId="75" borderId="152">
      <alignment horizontal="center" wrapText="1"/>
    </xf>
    <xf numFmtId="0" fontId="18" fillId="55" borderId="139"/>
    <xf numFmtId="0" fontId="18" fillId="55" borderId="139"/>
    <xf numFmtId="334" fontId="18" fillId="0" borderId="153"/>
    <xf numFmtId="4" fontId="18" fillId="51" borderId="150" applyNumberFormat="0" applyProtection="0">
      <alignment horizontal="right" vertical="center"/>
    </xf>
    <xf numFmtId="0" fontId="18" fillId="36" borderId="144">
      <alignment vertical="top"/>
      <protection locked="0"/>
    </xf>
    <xf numFmtId="269" fontId="18" fillId="36" borderId="144">
      <alignment vertical="top"/>
      <protection locked="0"/>
    </xf>
    <xf numFmtId="0" fontId="18" fillId="52" borderId="139">
      <alignment horizontal="center" vertical="center" wrapText="1"/>
      <protection hidden="1"/>
    </xf>
    <xf numFmtId="268" fontId="18" fillId="36" borderId="144">
      <alignment vertical="top"/>
      <protection locked="0"/>
    </xf>
    <xf numFmtId="4" fontId="18" fillId="62" borderId="151" applyNumberFormat="0" applyProtection="0">
      <alignment horizontal="left" vertical="center" indent="1"/>
    </xf>
    <xf numFmtId="3" fontId="18" fillId="46" borderId="139"/>
    <xf numFmtId="0" fontId="18" fillId="0" borderId="112" applyNumberFormat="0" applyFill="0" applyBorder="0" applyAlignment="0" applyProtection="0">
      <alignment horizontal="left"/>
    </xf>
    <xf numFmtId="251" fontId="18" fillId="36" borderId="144">
      <alignment vertical="top"/>
      <protection locked="0"/>
    </xf>
    <xf numFmtId="0" fontId="18" fillId="0" borderId="139">
      <alignment horizontal="right"/>
    </xf>
    <xf numFmtId="4" fontId="18" fillId="36" borderId="150" applyNumberFormat="0" applyProtection="0">
      <alignment horizontal="left" vertical="center" indent="1"/>
    </xf>
    <xf numFmtId="4" fontId="18" fillId="36" borderId="149" applyNumberFormat="0" applyProtection="0">
      <alignment horizontal="left" vertical="center" indent="1"/>
    </xf>
    <xf numFmtId="4" fontId="18" fillId="66" borderId="150" applyNumberFormat="0" applyProtection="0">
      <alignment horizontal="right" vertical="center"/>
    </xf>
    <xf numFmtId="4" fontId="18" fillId="66" borderId="150" applyNumberFormat="0" applyProtection="0">
      <alignment horizontal="right" vertical="center"/>
    </xf>
    <xf numFmtId="37" fontId="18" fillId="49" borderId="154" applyNumberFormat="0" applyBorder="0">
      <alignment horizontal="center"/>
    </xf>
    <xf numFmtId="37" fontId="18" fillId="49" borderId="154" applyNumberFormat="0" applyBorder="0">
      <alignment horizontal="center"/>
    </xf>
    <xf numFmtId="37" fontId="18" fillId="49" borderId="154" applyNumberFormat="0" applyBorder="0">
      <alignment horizontal="center"/>
    </xf>
    <xf numFmtId="37" fontId="18" fillId="49" borderId="154" applyNumberFormat="0" applyBorder="0">
      <alignment horizontal="center"/>
    </xf>
    <xf numFmtId="177" fontId="18" fillId="0" borderId="153"/>
    <xf numFmtId="0" fontId="18" fillId="40" borderId="139"/>
    <xf numFmtId="0" fontId="18" fillId="40" borderId="139"/>
    <xf numFmtId="1" fontId="18" fillId="36" borderId="139" applyNumberFormat="0" applyFont="0" applyBorder="0" applyAlignment="0">
      <alignment horizontal="center" vertical="center" wrapText="1"/>
    </xf>
    <xf numFmtId="1" fontId="18" fillId="36" borderId="139" applyNumberFormat="0" applyFont="0" applyBorder="0" applyAlignment="0">
      <alignment horizontal="center" vertical="center" wrapText="1"/>
    </xf>
    <xf numFmtId="0" fontId="18" fillId="67" borderId="144">
      <alignment horizontal="center" vertical="top" wrapText="1"/>
    </xf>
    <xf numFmtId="0" fontId="18" fillId="67" borderId="144">
      <alignment horizontal="center" vertical="top" wrapText="1"/>
    </xf>
    <xf numFmtId="0" fontId="18" fillId="67" borderId="144">
      <alignment horizontal="center" vertical="top" wrapText="1"/>
    </xf>
    <xf numFmtId="0" fontId="18" fillId="67" borderId="144">
      <alignment horizontal="center" vertical="top" wrapText="1"/>
    </xf>
    <xf numFmtId="0" fontId="18" fillId="67" borderId="144">
      <alignment horizontal="center" vertical="top"/>
    </xf>
    <xf numFmtId="0" fontId="18" fillId="67" borderId="144">
      <alignment horizontal="center" vertical="top"/>
    </xf>
    <xf numFmtId="0" fontId="18" fillId="67" borderId="144">
      <alignment horizontal="center" vertical="top"/>
    </xf>
    <xf numFmtId="0" fontId="18" fillId="67" borderId="144">
      <alignment horizontal="center" vertical="top"/>
    </xf>
    <xf numFmtId="0" fontId="18" fillId="67" borderId="144">
      <alignment vertical="top" wrapText="1"/>
    </xf>
    <xf numFmtId="0" fontId="18" fillId="67" borderId="144">
      <alignment vertical="top" wrapText="1"/>
    </xf>
    <xf numFmtId="0" fontId="18" fillId="67" borderId="144">
      <alignment vertical="top" wrapText="1"/>
    </xf>
    <xf numFmtId="0" fontId="18" fillId="67" borderId="144">
      <alignment vertical="top" wrapText="1"/>
    </xf>
    <xf numFmtId="17" fontId="18" fillId="67" borderId="144">
      <alignment horizontal="center" vertical="top"/>
    </xf>
    <xf numFmtId="17" fontId="18" fillId="67" borderId="144">
      <alignment horizontal="center" vertical="top"/>
    </xf>
    <xf numFmtId="17" fontId="18" fillId="67" borderId="144">
      <alignment horizontal="center" vertical="top"/>
    </xf>
    <xf numFmtId="17" fontId="18" fillId="67" borderId="144">
      <alignment horizontal="center" vertical="top"/>
    </xf>
    <xf numFmtId="0" fontId="18" fillId="67" borderId="144">
      <alignment horizontal="centerContinuous" vertical="top" wrapText="1"/>
    </xf>
    <xf numFmtId="0" fontId="18" fillId="67" borderId="144">
      <alignment horizontal="centerContinuous" vertical="top" wrapText="1"/>
    </xf>
    <xf numFmtId="0" fontId="18" fillId="67" borderId="144">
      <alignment horizontal="centerContinuous" vertical="top" wrapText="1"/>
    </xf>
    <xf numFmtId="0" fontId="18" fillId="67" borderId="144">
      <alignment horizontal="centerContinuous" vertical="top" wrapText="1"/>
    </xf>
    <xf numFmtId="0" fontId="18" fillId="67" borderId="144">
      <alignment horizontal="center" vertical="top"/>
    </xf>
    <xf numFmtId="0" fontId="18" fillId="67" borderId="144">
      <alignment horizontal="center" vertical="top"/>
    </xf>
    <xf numFmtId="0" fontId="18" fillId="67" borderId="144">
      <alignment horizontal="center" vertical="top"/>
    </xf>
    <xf numFmtId="0" fontId="18" fillId="67" borderId="144">
      <alignment horizontal="center" vertical="top"/>
    </xf>
    <xf numFmtId="0" fontId="18" fillId="67" borderId="144">
      <alignment horizontal="center" textRotation="90"/>
    </xf>
    <xf numFmtId="0" fontId="18" fillId="67" borderId="144">
      <alignment horizontal="center" textRotation="90"/>
    </xf>
    <xf numFmtId="0" fontId="18" fillId="67" borderId="144">
      <alignment horizontal="center" textRotation="90"/>
    </xf>
    <xf numFmtId="0" fontId="18" fillId="67" borderId="144">
      <alignment horizontal="center" textRotation="90"/>
    </xf>
    <xf numFmtId="338" fontId="18" fillId="67" borderId="144">
      <alignment horizontal="center" vertical="top"/>
    </xf>
    <xf numFmtId="338" fontId="18" fillId="67" borderId="144">
      <alignment horizontal="center" vertical="top"/>
    </xf>
    <xf numFmtId="338" fontId="18" fillId="67" borderId="144">
      <alignment horizontal="center" vertical="top"/>
    </xf>
    <xf numFmtId="338" fontId="18" fillId="67" borderId="144">
      <alignment horizontal="center" vertical="top"/>
    </xf>
    <xf numFmtId="0" fontId="18" fillId="64" borderId="139" applyNumberFormat="0" applyFont="0" applyBorder="0" applyAlignment="0" applyProtection="0">
      <alignment horizontal="center"/>
    </xf>
    <xf numFmtId="0" fontId="18" fillId="64" borderId="139" applyNumberFormat="0" applyFont="0" applyBorder="0" applyAlignment="0" applyProtection="0">
      <alignment horizontal="center"/>
    </xf>
    <xf numFmtId="277" fontId="18" fillId="0" borderId="142"/>
    <xf numFmtId="319" fontId="18" fillId="0" borderId="142"/>
    <xf numFmtId="0" fontId="18" fillId="75" borderId="152">
      <alignment horizontal="center" wrapText="1"/>
    </xf>
    <xf numFmtId="334" fontId="18" fillId="0" borderId="153"/>
    <xf numFmtId="177" fontId="18" fillId="0" borderId="153"/>
    <xf numFmtId="0" fontId="53" fillId="0" borderId="0" applyNumberFormat="0" applyFill="0" applyBorder="0" applyAlignment="0" applyProtection="0"/>
    <xf numFmtId="165" fontId="1" fillId="0" borderId="0" applyFont="0" applyFill="0" applyBorder="0" applyAlignment="0" applyProtection="0"/>
    <xf numFmtId="166" fontId="18" fillId="0" borderId="0"/>
    <xf numFmtId="166" fontId="18" fillId="0" borderId="0"/>
    <xf numFmtId="166" fontId="18" fillId="0" borderId="0"/>
    <xf numFmtId="166" fontId="18" fillId="0" borderId="0"/>
    <xf numFmtId="166" fontId="18" fillId="0" borderId="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xf numFmtId="166" fontId="18" fillId="0" borderId="0" applyFont="0" applyFill="0" applyBorder="0" applyAlignment="0" applyProtection="0"/>
    <xf numFmtId="166" fontId="18" fillId="0" borderId="0" applyFont="0" applyFill="0" applyBorder="0" applyAlignment="0" applyProtection="0"/>
    <xf numFmtId="166" fontId="17" fillId="0" borderId="0" applyFont="0" applyFill="0" applyBorder="0" applyAlignment="0" applyProtection="0"/>
    <xf numFmtId="166" fontId="18" fillId="0" borderId="0" applyFont="0" applyFill="0" applyBorder="0" applyAlignment="0" applyProtection="0"/>
    <xf numFmtId="164" fontId="18" fillId="0" borderId="0"/>
    <xf numFmtId="164" fontId="18" fillId="0" borderId="0" applyFill="0" applyBorder="0" applyProtection="0"/>
    <xf numFmtId="166" fontId="1" fillId="0" borderId="0" applyFont="0" applyFill="0" applyBorder="0" applyAlignment="0" applyProtection="0"/>
    <xf numFmtId="0" fontId="18" fillId="59" borderId="170" applyNumberFormat="0" applyAlignment="0">
      <protection locked="0"/>
    </xf>
    <xf numFmtId="0" fontId="18" fillId="0" borderId="166" applyNumberFormat="0" applyFill="0"/>
    <xf numFmtId="0" fontId="18" fillId="0" borderId="166" applyNumberFormat="0" applyFill="0"/>
    <xf numFmtId="0" fontId="18" fillId="0" borderId="166" applyNumberFormat="0" applyFill="0"/>
    <xf numFmtId="0" fontId="18" fillId="0" borderId="166" applyNumberFormat="0" applyFill="0"/>
    <xf numFmtId="277" fontId="18" fillId="0" borderId="126"/>
    <xf numFmtId="0" fontId="18" fillId="0" borderId="167">
      <protection locked="0"/>
    </xf>
    <xf numFmtId="0" fontId="18" fillId="0" borderId="167">
      <protection locked="0"/>
    </xf>
    <xf numFmtId="0" fontId="18" fillId="0" borderId="167">
      <protection locked="0"/>
    </xf>
    <xf numFmtId="0" fontId="18" fillId="0" borderId="167">
      <protection locked="0"/>
    </xf>
    <xf numFmtId="0" fontId="18" fillId="36" borderId="168">
      <alignment vertical="top"/>
      <protection locked="0"/>
    </xf>
    <xf numFmtId="0" fontId="18" fillId="36" borderId="168">
      <alignment vertical="top"/>
      <protection locked="0"/>
    </xf>
    <xf numFmtId="0" fontId="18" fillId="36" borderId="168">
      <alignment vertical="top"/>
      <protection locked="0"/>
    </xf>
    <xf numFmtId="0" fontId="18" fillId="36" borderId="168">
      <alignment vertical="top"/>
      <protection locked="0"/>
    </xf>
    <xf numFmtId="245" fontId="18" fillId="36" borderId="168">
      <alignment vertical="top"/>
      <protection locked="0"/>
    </xf>
    <xf numFmtId="245" fontId="18" fillId="36" borderId="168">
      <alignment vertical="top"/>
      <protection locked="0"/>
    </xf>
    <xf numFmtId="245" fontId="18" fillId="36" borderId="168">
      <alignment vertical="top"/>
      <protection locked="0"/>
    </xf>
    <xf numFmtId="245" fontId="18" fillId="36" borderId="168">
      <alignment vertical="top"/>
      <protection locked="0"/>
    </xf>
    <xf numFmtId="246" fontId="18" fillId="36" borderId="168">
      <alignment vertical="top"/>
      <protection locked="0"/>
    </xf>
    <xf numFmtId="246" fontId="18" fillId="36" borderId="168">
      <alignment vertical="top"/>
      <protection locked="0"/>
    </xf>
    <xf numFmtId="246" fontId="18" fillId="36" borderId="168">
      <alignment vertical="top"/>
      <protection locked="0"/>
    </xf>
    <xf numFmtId="246" fontId="18" fillId="36" borderId="168">
      <alignment vertical="top"/>
      <protection locked="0"/>
    </xf>
    <xf numFmtId="247" fontId="18" fillId="36" borderId="168">
      <alignment vertical="top"/>
      <protection locked="0"/>
    </xf>
    <xf numFmtId="247" fontId="18" fillId="36" borderId="168">
      <alignment vertical="top"/>
      <protection locked="0"/>
    </xf>
    <xf numFmtId="247" fontId="18" fillId="36" borderId="168">
      <alignment vertical="top"/>
      <protection locked="0"/>
    </xf>
    <xf numFmtId="247" fontId="18" fillId="36" borderId="168">
      <alignment vertical="top"/>
      <protection locked="0"/>
    </xf>
    <xf numFmtId="248" fontId="18" fillId="36" borderId="168">
      <alignment vertical="top"/>
      <protection locked="0"/>
    </xf>
    <xf numFmtId="248" fontId="18" fillId="36" borderId="168">
      <alignment vertical="top"/>
      <protection locked="0"/>
    </xf>
    <xf numFmtId="248" fontId="18" fillId="36" borderId="168">
      <alignment vertical="top"/>
      <protection locked="0"/>
    </xf>
    <xf numFmtId="248" fontId="18" fillId="36" borderId="168">
      <alignment vertical="top"/>
      <protection locked="0"/>
    </xf>
    <xf numFmtId="249" fontId="18" fillId="36" borderId="168">
      <alignment vertical="top"/>
      <protection locked="0"/>
    </xf>
    <xf numFmtId="249" fontId="18" fillId="36" borderId="168">
      <alignment vertical="top"/>
      <protection locked="0"/>
    </xf>
    <xf numFmtId="249" fontId="18" fillId="36" borderId="168">
      <alignment vertical="top"/>
      <protection locked="0"/>
    </xf>
    <xf numFmtId="249" fontId="18" fillId="36" borderId="168">
      <alignment vertical="top"/>
      <protection locked="0"/>
    </xf>
    <xf numFmtId="292" fontId="18" fillId="36" borderId="168">
      <alignment vertical="top"/>
      <protection locked="0"/>
    </xf>
    <xf numFmtId="292" fontId="18" fillId="36" borderId="168">
      <alignment vertical="top"/>
      <protection locked="0"/>
    </xf>
    <xf numFmtId="292" fontId="18" fillId="36" borderId="168">
      <alignment vertical="top"/>
      <protection locked="0"/>
    </xf>
    <xf numFmtId="292" fontId="18" fillId="36" borderId="168">
      <alignment vertical="top"/>
      <protection locked="0"/>
    </xf>
    <xf numFmtId="250" fontId="18" fillId="36" borderId="168">
      <alignment vertical="top"/>
      <protection locked="0"/>
    </xf>
    <xf numFmtId="250" fontId="18" fillId="36" borderId="168">
      <alignment vertical="top"/>
      <protection locked="0"/>
    </xf>
    <xf numFmtId="250" fontId="18" fillId="36" borderId="168">
      <alignment vertical="top"/>
      <protection locked="0"/>
    </xf>
    <xf numFmtId="250" fontId="18" fillId="36" borderId="168">
      <alignment vertical="top"/>
      <protection locked="0"/>
    </xf>
    <xf numFmtId="251" fontId="18" fillId="36" borderId="168">
      <alignment vertical="top"/>
      <protection locked="0"/>
    </xf>
    <xf numFmtId="251" fontId="18" fillId="36" borderId="168">
      <alignment vertical="top"/>
      <protection locked="0"/>
    </xf>
    <xf numFmtId="251" fontId="18" fillId="36" borderId="168">
      <alignment vertical="top"/>
      <protection locked="0"/>
    </xf>
    <xf numFmtId="17" fontId="18" fillId="36" borderId="168">
      <alignment vertical="top"/>
      <protection locked="0"/>
    </xf>
    <xf numFmtId="17" fontId="18" fillId="36" borderId="168">
      <alignment vertical="top"/>
      <protection locked="0"/>
    </xf>
    <xf numFmtId="17" fontId="18" fillId="36" borderId="168">
      <alignment vertical="top"/>
      <protection locked="0"/>
    </xf>
    <xf numFmtId="17" fontId="18" fillId="36" borderId="168">
      <alignment vertical="top"/>
      <protection locked="0"/>
    </xf>
    <xf numFmtId="20" fontId="18" fillId="36" borderId="168">
      <alignment vertical="top"/>
      <protection locked="0"/>
    </xf>
    <xf numFmtId="20" fontId="18" fillId="36" borderId="168">
      <alignment vertical="top"/>
      <protection locked="0"/>
    </xf>
    <xf numFmtId="20" fontId="18" fillId="36" borderId="168">
      <alignment vertical="top"/>
      <protection locked="0"/>
    </xf>
    <xf numFmtId="20" fontId="18" fillId="36" borderId="168">
      <alignment vertical="top"/>
      <protection locked="0"/>
    </xf>
    <xf numFmtId="0" fontId="18" fillId="0" borderId="169" applyNumberFormat="0" applyAlignment="0">
      <alignment vertical="center"/>
      <protection locked="0"/>
    </xf>
    <xf numFmtId="0" fontId="18" fillId="0" borderId="169" applyNumberFormat="0" applyAlignment="0">
      <alignment vertical="center"/>
      <protection locked="0"/>
    </xf>
    <xf numFmtId="0" fontId="18" fillId="0" borderId="169" applyNumberFormat="0" applyAlignment="0">
      <alignment vertical="center"/>
      <protection locked="0"/>
    </xf>
    <xf numFmtId="0" fontId="18" fillId="0" borderId="169" applyNumberFormat="0" applyAlignment="0">
      <alignment vertical="center"/>
      <protection locked="0"/>
    </xf>
    <xf numFmtId="294" fontId="18" fillId="56" borderId="169" applyNumberFormat="0" applyAlignment="0">
      <alignment vertical="center"/>
      <protection locked="0"/>
    </xf>
    <xf numFmtId="294" fontId="18" fillId="56" borderId="169" applyNumberFormat="0" applyAlignment="0">
      <alignment vertical="center"/>
      <protection locked="0"/>
    </xf>
    <xf numFmtId="294" fontId="18" fillId="56" borderId="169" applyNumberFormat="0" applyAlignment="0">
      <alignment vertical="center"/>
      <protection locked="0"/>
    </xf>
    <xf numFmtId="294" fontId="18" fillId="56" borderId="169" applyNumberFormat="0" applyAlignment="0">
      <alignment vertical="center"/>
      <protection locked="0"/>
    </xf>
    <xf numFmtId="0" fontId="18" fillId="57" borderId="170" applyNumberFormat="0" applyAlignment="0">
      <protection locked="0"/>
    </xf>
    <xf numFmtId="0" fontId="18" fillId="57" borderId="170" applyNumberFormat="0" applyAlignment="0">
      <protection locked="0"/>
    </xf>
    <xf numFmtId="0" fontId="18" fillId="57" borderId="170" applyNumberFormat="0" applyAlignment="0">
      <protection locked="0"/>
    </xf>
    <xf numFmtId="0" fontId="18" fillId="57" borderId="170" applyNumberFormat="0" applyAlignment="0">
      <protection locked="0"/>
    </xf>
    <xf numFmtId="0" fontId="18" fillId="0" borderId="171" applyNumberFormat="0" applyAlignment="0">
      <alignment vertical="center"/>
      <protection locked="0"/>
    </xf>
    <xf numFmtId="0" fontId="18" fillId="0" borderId="171" applyNumberFormat="0" applyAlignment="0">
      <alignment vertical="center"/>
      <protection locked="0"/>
    </xf>
    <xf numFmtId="0" fontId="18" fillId="0" borderId="171" applyNumberFormat="0" applyAlignment="0">
      <alignment vertical="center"/>
      <protection locked="0"/>
    </xf>
    <xf numFmtId="0" fontId="18" fillId="0" borderId="171" applyNumberFormat="0" applyAlignment="0">
      <alignment vertical="center"/>
      <protection locked="0"/>
    </xf>
    <xf numFmtId="0" fontId="18" fillId="59" borderId="170" applyNumberFormat="0" applyAlignment="0">
      <protection locked="0"/>
    </xf>
    <xf numFmtId="0" fontId="18" fillId="59" borderId="170" applyNumberFormat="0" applyAlignment="0">
      <protection locked="0"/>
    </xf>
    <xf numFmtId="0" fontId="18" fillId="59" borderId="170" applyNumberFormat="0" applyAlignment="0">
      <protection locked="0"/>
    </xf>
    <xf numFmtId="267" fontId="18" fillId="36" borderId="168">
      <alignment vertical="top"/>
      <protection locked="0"/>
    </xf>
    <xf numFmtId="267" fontId="18" fillId="36" borderId="168">
      <alignment vertical="top"/>
      <protection locked="0"/>
    </xf>
    <xf numFmtId="267" fontId="18" fillId="36" borderId="168">
      <alignment vertical="top"/>
      <protection locked="0"/>
    </xf>
    <xf numFmtId="267" fontId="18" fillId="36" borderId="168">
      <alignment vertical="top"/>
      <protection locked="0"/>
    </xf>
    <xf numFmtId="268" fontId="18" fillId="36" borderId="168">
      <alignment vertical="top"/>
      <protection locked="0"/>
    </xf>
    <xf numFmtId="268" fontId="18" fillId="36" borderId="168">
      <alignment vertical="top"/>
      <protection locked="0"/>
    </xf>
    <xf numFmtId="268" fontId="18" fillId="36" borderId="168">
      <alignment vertical="top"/>
      <protection locked="0"/>
    </xf>
    <xf numFmtId="269" fontId="18" fillId="36" borderId="168">
      <alignment vertical="top"/>
      <protection locked="0"/>
    </xf>
    <xf numFmtId="269" fontId="18" fillId="36" borderId="168">
      <alignment vertical="top"/>
      <protection locked="0"/>
    </xf>
    <xf numFmtId="269" fontId="18" fillId="36" borderId="168">
      <alignment vertical="top"/>
      <protection locked="0"/>
    </xf>
    <xf numFmtId="270" fontId="18" fillId="36" borderId="168">
      <alignment vertical="top"/>
      <protection locked="0"/>
    </xf>
    <xf numFmtId="270" fontId="18" fillId="36" borderId="168">
      <alignment vertical="top"/>
      <protection locked="0"/>
    </xf>
    <xf numFmtId="270" fontId="18" fillId="36" borderId="168">
      <alignment vertical="top"/>
      <protection locked="0"/>
    </xf>
    <xf numFmtId="270" fontId="18" fillId="36" borderId="168">
      <alignment vertical="top"/>
      <protection locked="0"/>
    </xf>
    <xf numFmtId="271" fontId="18" fillId="36" borderId="168">
      <alignment vertical="top"/>
      <protection locked="0"/>
    </xf>
    <xf numFmtId="271" fontId="18" fillId="36" borderId="168">
      <alignment vertical="top"/>
      <protection locked="0"/>
    </xf>
    <xf numFmtId="271" fontId="18" fillId="36" borderId="168">
      <alignment vertical="top"/>
      <protection locked="0"/>
    </xf>
    <xf numFmtId="271" fontId="18" fillId="36" borderId="168">
      <alignment vertical="top"/>
      <protection locked="0"/>
    </xf>
    <xf numFmtId="275" fontId="18" fillId="36" borderId="168">
      <alignment vertical="top"/>
      <protection locked="0"/>
    </xf>
    <xf numFmtId="275" fontId="18" fillId="36" borderId="168">
      <alignment vertical="top"/>
      <protection locked="0"/>
    </xf>
    <xf numFmtId="275" fontId="18" fillId="36" borderId="168">
      <alignment vertical="top"/>
      <protection locked="0"/>
    </xf>
    <xf numFmtId="275" fontId="18" fillId="36" borderId="168">
      <alignment vertical="top"/>
      <protection locked="0"/>
    </xf>
    <xf numFmtId="276" fontId="18" fillId="36" borderId="168">
      <alignment vertical="top"/>
      <protection locked="0"/>
    </xf>
    <xf numFmtId="276" fontId="18" fillId="36" borderId="168">
      <alignment vertical="top"/>
      <protection locked="0"/>
    </xf>
    <xf numFmtId="276" fontId="18" fillId="36" borderId="168">
      <alignment vertical="top"/>
      <protection locked="0"/>
    </xf>
    <xf numFmtId="276" fontId="18" fillId="36" borderId="168">
      <alignment vertical="top"/>
      <protection locked="0"/>
    </xf>
    <xf numFmtId="0" fontId="18" fillId="61" borderId="172">
      <alignment horizontal="left" vertical="center" wrapText="1"/>
    </xf>
    <xf numFmtId="0" fontId="18" fillId="61" borderId="172">
      <alignment horizontal="left" vertical="center" wrapText="1"/>
    </xf>
    <xf numFmtId="0" fontId="18" fillId="61" borderId="172">
      <alignment horizontal="left" vertical="center" wrapText="1"/>
    </xf>
    <xf numFmtId="0" fontId="18" fillId="61" borderId="172">
      <alignment horizontal="left" vertical="center" wrapText="1"/>
    </xf>
    <xf numFmtId="0" fontId="18" fillId="36" borderId="168">
      <alignment vertical="top"/>
    </xf>
    <xf numFmtId="0" fontId="18" fillId="36" borderId="168">
      <alignment vertical="top"/>
    </xf>
    <xf numFmtId="0" fontId="18" fillId="36" borderId="168">
      <alignment vertical="top"/>
    </xf>
    <xf numFmtId="0" fontId="18" fillId="36" borderId="168">
      <alignment vertical="top"/>
    </xf>
    <xf numFmtId="0" fontId="18" fillId="36" borderId="168">
      <alignment vertical="top" wrapText="1"/>
      <protection locked="0"/>
    </xf>
    <xf numFmtId="0" fontId="18" fillId="36" borderId="168">
      <alignment vertical="top" wrapText="1"/>
      <protection locked="0"/>
    </xf>
    <xf numFmtId="0" fontId="18" fillId="36" borderId="168">
      <alignment vertical="top" wrapText="1"/>
      <protection locked="0"/>
    </xf>
    <xf numFmtId="0" fontId="18" fillId="36" borderId="168">
      <alignment vertical="top" wrapText="1"/>
      <protection locked="0"/>
    </xf>
    <xf numFmtId="0" fontId="18" fillId="36" borderId="168">
      <alignment vertical="top"/>
      <protection locked="0"/>
    </xf>
    <xf numFmtId="0" fontId="18" fillId="36" borderId="168">
      <alignment vertical="top"/>
      <protection locked="0"/>
    </xf>
    <xf numFmtId="0" fontId="18" fillId="36" borderId="168">
      <alignment vertical="top"/>
      <protection locked="0"/>
    </xf>
    <xf numFmtId="319" fontId="18" fillId="0" borderId="126"/>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vertical="center"/>
    </xf>
    <xf numFmtId="4" fontId="18" fillId="36" borderId="174" applyNumberFormat="0" applyProtection="0">
      <alignment horizontal="left" vertical="center" indent="1"/>
    </xf>
    <xf numFmtId="4" fontId="18" fillId="36" borderId="174" applyNumberFormat="0" applyProtection="0">
      <alignment horizontal="left" vertical="center" indent="1"/>
    </xf>
    <xf numFmtId="4" fontId="18" fillId="36" borderId="174" applyNumberFormat="0" applyProtection="0">
      <alignment horizontal="left" vertical="center" indent="1"/>
    </xf>
    <xf numFmtId="4" fontId="18" fillId="36" borderId="173" applyNumberFormat="0" applyProtection="0">
      <alignment horizontal="left" vertical="center" indent="1"/>
    </xf>
    <xf numFmtId="4" fontId="18" fillId="36" borderId="173" applyNumberFormat="0" applyProtection="0">
      <alignment horizontal="left" vertical="center" indent="1"/>
    </xf>
    <xf numFmtId="4" fontId="18" fillId="36" borderId="173" applyNumberFormat="0" applyProtection="0">
      <alignment horizontal="left" vertical="center" indent="1"/>
    </xf>
    <xf numFmtId="4" fontId="18" fillId="64" borderId="174" applyNumberFormat="0" applyProtection="0">
      <alignment horizontal="right" vertical="center"/>
    </xf>
    <xf numFmtId="4" fontId="18" fillId="64" borderId="174" applyNumberFormat="0" applyProtection="0">
      <alignment horizontal="right" vertical="center"/>
    </xf>
    <xf numFmtId="4" fontId="18" fillId="64" borderId="174" applyNumberFormat="0" applyProtection="0">
      <alignment horizontal="right" vertical="center"/>
    </xf>
    <xf numFmtId="4" fontId="18" fillId="64" borderId="174" applyNumberFormat="0" applyProtection="0">
      <alignment horizontal="right" vertical="center"/>
    </xf>
    <xf numFmtId="4" fontId="18" fillId="65" borderId="174" applyNumberFormat="0" applyProtection="0">
      <alignment horizontal="right" vertical="center"/>
    </xf>
    <xf numFmtId="4" fontId="18" fillId="65" borderId="174" applyNumberFormat="0" applyProtection="0">
      <alignment horizontal="right" vertical="center"/>
    </xf>
    <xf numFmtId="4" fontId="18" fillId="65" borderId="174" applyNumberFormat="0" applyProtection="0">
      <alignment horizontal="right" vertical="center"/>
    </xf>
    <xf numFmtId="4" fontId="18" fillId="65" borderId="174" applyNumberFormat="0" applyProtection="0">
      <alignment horizontal="right" vertical="center"/>
    </xf>
    <xf numFmtId="4" fontId="18" fillId="46" borderId="174" applyNumberFormat="0" applyProtection="0">
      <alignment horizontal="right" vertical="center"/>
    </xf>
    <xf numFmtId="4" fontId="18" fillId="46" borderId="174" applyNumberFormat="0" applyProtection="0">
      <alignment horizontal="right" vertical="center"/>
    </xf>
    <xf numFmtId="4" fontId="18" fillId="46" borderId="174" applyNumberFormat="0" applyProtection="0">
      <alignment horizontal="right" vertical="center"/>
    </xf>
    <xf numFmtId="4" fontId="18" fillId="46" borderId="174" applyNumberFormat="0" applyProtection="0">
      <alignment horizontal="right" vertical="center"/>
    </xf>
    <xf numFmtId="4" fontId="18" fillId="55" borderId="174" applyNumberFormat="0" applyProtection="0">
      <alignment horizontal="right" vertical="center"/>
    </xf>
    <xf numFmtId="4" fontId="18" fillId="55" borderId="174" applyNumberFormat="0" applyProtection="0">
      <alignment horizontal="right" vertical="center"/>
    </xf>
    <xf numFmtId="4" fontId="18" fillId="55" borderId="174" applyNumberFormat="0" applyProtection="0">
      <alignment horizontal="right" vertical="center"/>
    </xf>
    <xf numFmtId="4" fontId="18" fillId="55" borderId="174" applyNumberFormat="0" applyProtection="0">
      <alignment horizontal="right" vertical="center"/>
    </xf>
    <xf numFmtId="4" fontId="18" fillId="66" borderId="174" applyNumberFormat="0" applyProtection="0">
      <alignment horizontal="right" vertical="center"/>
    </xf>
    <xf numFmtId="4" fontId="18" fillId="66" borderId="174" applyNumberFormat="0" applyProtection="0">
      <alignment horizontal="right" vertical="center"/>
    </xf>
    <xf numFmtId="4" fontId="18" fillId="67" borderId="174" applyNumberFormat="0" applyProtection="0">
      <alignment horizontal="right" vertical="center"/>
    </xf>
    <xf numFmtId="4" fontId="18" fillId="67" borderId="174" applyNumberFormat="0" applyProtection="0">
      <alignment horizontal="right" vertical="center"/>
    </xf>
    <xf numFmtId="4" fontId="18" fillId="67" borderId="174" applyNumberFormat="0" applyProtection="0">
      <alignment horizontal="right" vertical="center"/>
    </xf>
    <xf numFmtId="4" fontId="18" fillId="67" borderId="174" applyNumberFormat="0" applyProtection="0">
      <alignment horizontal="right" vertical="center"/>
    </xf>
    <xf numFmtId="4" fontId="18" fillId="68" borderId="174" applyNumberFormat="0" applyProtection="0">
      <alignment horizontal="right" vertical="center"/>
    </xf>
    <xf numFmtId="4" fontId="18" fillId="68" borderId="174" applyNumberFormat="0" applyProtection="0">
      <alignment horizontal="right" vertical="center"/>
    </xf>
    <xf numFmtId="4" fontId="18" fillId="68" borderId="174" applyNumberFormat="0" applyProtection="0">
      <alignment horizontal="right" vertical="center"/>
    </xf>
    <xf numFmtId="4" fontId="18" fillId="68" borderId="174" applyNumberFormat="0" applyProtection="0">
      <alignment horizontal="right" vertical="center"/>
    </xf>
    <xf numFmtId="4" fontId="18" fillId="69" borderId="174" applyNumberFormat="0" applyProtection="0">
      <alignment horizontal="right" vertical="center"/>
    </xf>
    <xf numFmtId="4" fontId="18" fillId="69" borderId="174" applyNumberFormat="0" applyProtection="0">
      <alignment horizontal="right" vertical="center"/>
    </xf>
    <xf numFmtId="4" fontId="18" fillId="69" borderId="174" applyNumberFormat="0" applyProtection="0">
      <alignment horizontal="right" vertical="center"/>
    </xf>
    <xf numFmtId="4" fontId="18" fillId="69" borderId="174" applyNumberFormat="0" applyProtection="0">
      <alignment horizontal="right" vertical="center"/>
    </xf>
    <xf numFmtId="4" fontId="18" fillId="70" borderId="174" applyNumberFormat="0" applyProtection="0">
      <alignment horizontal="right" vertical="center"/>
    </xf>
    <xf numFmtId="4" fontId="18" fillId="70" borderId="174" applyNumberFormat="0" applyProtection="0">
      <alignment horizontal="right" vertical="center"/>
    </xf>
    <xf numFmtId="4" fontId="18" fillId="70" borderId="174" applyNumberFormat="0" applyProtection="0">
      <alignment horizontal="right" vertical="center"/>
    </xf>
    <xf numFmtId="4" fontId="18" fillId="70" borderId="174" applyNumberFormat="0" applyProtection="0">
      <alignment horizontal="right" vertical="center"/>
    </xf>
    <xf numFmtId="4" fontId="18" fillId="44" borderId="174" applyNumberFormat="0" applyProtection="0">
      <alignment horizontal="right" vertical="center"/>
    </xf>
    <xf numFmtId="4" fontId="18" fillId="44" borderId="174" applyNumberFormat="0" applyProtection="0">
      <alignment horizontal="right" vertical="center"/>
    </xf>
    <xf numFmtId="4" fontId="18" fillId="44" borderId="174" applyNumberFormat="0" applyProtection="0">
      <alignment horizontal="right" vertical="center"/>
    </xf>
    <xf numFmtId="4" fontId="18" fillId="44" borderId="174" applyNumberFormat="0" applyProtection="0">
      <alignment horizontal="right" vertical="center"/>
    </xf>
    <xf numFmtId="0" fontId="18" fillId="72" borderId="173" applyNumberFormat="0" applyProtection="0">
      <alignment horizontal="left" vertical="center" indent="1"/>
    </xf>
    <xf numFmtId="0" fontId="18" fillId="72" borderId="173" applyNumberFormat="0" applyProtection="0">
      <alignment horizontal="left" vertical="center" indent="1"/>
    </xf>
    <xf numFmtId="0" fontId="18" fillId="72" borderId="173" applyNumberFormat="0" applyProtection="0">
      <alignment horizontal="left" vertical="center" indent="1"/>
    </xf>
    <xf numFmtId="0" fontId="18" fillId="72" borderId="173" applyNumberFormat="0" applyProtection="0">
      <alignment horizontal="left" vertical="center" indent="1"/>
    </xf>
    <xf numFmtId="0" fontId="18" fillId="38" borderId="173" applyNumberFormat="0" applyProtection="0">
      <alignment horizontal="left" vertical="center" indent="1"/>
    </xf>
    <xf numFmtId="0" fontId="18" fillId="38" borderId="173" applyNumberFormat="0" applyProtection="0">
      <alignment horizontal="left" vertical="center" indent="1"/>
    </xf>
    <xf numFmtId="0" fontId="18" fillId="38" borderId="173" applyNumberFormat="0" applyProtection="0">
      <alignment horizontal="left" vertical="center" indent="1"/>
    </xf>
    <xf numFmtId="0" fontId="18" fillId="38" borderId="173" applyNumberFormat="0" applyProtection="0">
      <alignment horizontal="left" vertical="center" indent="1"/>
    </xf>
    <xf numFmtId="0" fontId="18" fillId="37" borderId="173" applyNumberFormat="0" applyProtection="0">
      <alignment horizontal="left" vertical="center" indent="1"/>
    </xf>
    <xf numFmtId="0" fontId="18" fillId="37" borderId="173" applyNumberFormat="0" applyProtection="0">
      <alignment horizontal="left" vertical="center" indent="1"/>
    </xf>
    <xf numFmtId="0" fontId="18" fillId="37" borderId="173" applyNumberFormat="0" applyProtection="0">
      <alignment horizontal="left" vertical="center" indent="1"/>
    </xf>
    <xf numFmtId="0" fontId="18" fillId="37" borderId="173" applyNumberFormat="0" applyProtection="0">
      <alignment horizontal="left" vertical="center" indent="1"/>
    </xf>
    <xf numFmtId="0" fontId="18" fillId="48" borderId="173" applyNumberFormat="0" applyProtection="0">
      <alignment horizontal="left" vertical="center" indent="1"/>
    </xf>
    <xf numFmtId="0" fontId="18" fillId="48" borderId="173" applyNumberFormat="0" applyProtection="0">
      <alignment horizontal="left" vertical="center" indent="1"/>
    </xf>
    <xf numFmtId="0" fontId="18" fillId="48" borderId="173" applyNumberFormat="0" applyProtection="0">
      <alignment horizontal="left" vertical="center" indent="1"/>
    </xf>
    <xf numFmtId="0" fontId="18" fillId="48" borderId="173" applyNumberFormat="0" applyProtection="0">
      <alignment horizontal="left" vertical="center" indent="1"/>
    </xf>
    <xf numFmtId="4" fontId="18" fillId="51" borderId="174" applyNumberFormat="0" applyProtection="0">
      <alignment vertical="center"/>
    </xf>
    <xf numFmtId="4" fontId="18" fillId="51" borderId="174" applyNumberFormat="0" applyProtection="0">
      <alignment vertical="center"/>
    </xf>
    <xf numFmtId="4" fontId="18" fillId="51" borderId="174" applyNumberFormat="0" applyProtection="0">
      <alignment vertical="center"/>
    </xf>
    <xf numFmtId="4" fontId="18" fillId="51" borderId="174" applyNumberFormat="0" applyProtection="0">
      <alignment vertical="center"/>
    </xf>
    <xf numFmtId="4" fontId="18" fillId="51" borderId="174" applyNumberFormat="0" applyProtection="0">
      <alignment vertical="center"/>
    </xf>
    <xf numFmtId="4" fontId="18" fillId="51" borderId="174" applyNumberFormat="0" applyProtection="0">
      <alignment vertical="center"/>
    </xf>
    <xf numFmtId="4" fontId="18" fillId="51" borderId="174" applyNumberFormat="0" applyProtection="0">
      <alignment vertical="center"/>
    </xf>
    <xf numFmtId="4" fontId="18" fillId="51" borderId="174" applyNumberFormat="0" applyProtection="0">
      <alignment vertical="center"/>
    </xf>
    <xf numFmtId="4" fontId="18" fillId="44" borderId="175" applyNumberFormat="0" applyProtection="0">
      <alignment horizontal="left" vertical="center" indent="1"/>
    </xf>
    <xf numFmtId="4" fontId="18" fillId="44" borderId="175" applyNumberFormat="0" applyProtection="0">
      <alignment horizontal="left" vertical="center" indent="1"/>
    </xf>
    <xf numFmtId="4" fontId="18" fillId="44" borderId="175" applyNumberFormat="0" applyProtection="0">
      <alignment horizontal="left" vertical="center" indent="1"/>
    </xf>
    <xf numFmtId="4" fontId="18" fillId="44" borderId="175" applyNumberFormat="0" applyProtection="0">
      <alignment horizontal="left" vertical="center" indent="1"/>
    </xf>
    <xf numFmtId="4" fontId="18" fillId="35" borderId="173" applyNumberFormat="0" applyProtection="0">
      <alignment horizontal="left" vertical="center" indent="1"/>
    </xf>
    <xf numFmtId="4" fontId="18" fillId="35" borderId="173" applyNumberFormat="0" applyProtection="0">
      <alignment horizontal="left" vertical="center" indent="1"/>
    </xf>
    <xf numFmtId="4" fontId="18" fillId="35" borderId="173" applyNumberFormat="0" applyProtection="0">
      <alignment horizontal="left" vertical="center" indent="1"/>
    </xf>
    <xf numFmtId="4" fontId="18" fillId="35" borderId="173" applyNumberFormat="0" applyProtection="0">
      <alignment horizontal="left" vertical="center" indent="1"/>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4" fontId="18" fillId="44" borderId="174" applyNumberFormat="0" applyProtection="0">
      <alignment horizontal="left" vertical="center" indent="1"/>
    </xf>
    <xf numFmtId="4" fontId="18" fillId="44" borderId="174" applyNumberFormat="0" applyProtection="0">
      <alignment horizontal="left" vertical="center" indent="1"/>
    </xf>
    <xf numFmtId="4" fontId="18" fillId="44" borderId="174" applyNumberFormat="0" applyProtection="0">
      <alignment horizontal="left" vertical="center" indent="1"/>
    </xf>
    <xf numFmtId="4" fontId="18" fillId="44" borderId="174" applyNumberFormat="0" applyProtection="0">
      <alignment horizontal="left" vertical="center" indent="1"/>
    </xf>
    <xf numFmtId="4" fontId="18" fillId="62" borderId="175" applyNumberFormat="0" applyProtection="0">
      <alignment horizontal="left" vertical="center" indent="1"/>
    </xf>
    <xf numFmtId="4" fontId="18" fillId="62" borderId="175" applyNumberFormat="0" applyProtection="0">
      <alignment horizontal="left" vertical="center" indent="1"/>
    </xf>
    <xf numFmtId="4" fontId="18" fillId="62" borderId="175" applyNumberFormat="0" applyProtection="0">
      <alignment horizontal="left" vertical="center" indent="1"/>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4" fontId="18" fillId="51" borderId="174" applyNumberFormat="0" applyProtection="0">
      <alignment horizontal="right" vertical="center"/>
    </xf>
    <xf numFmtId="0" fontId="18" fillId="75" borderId="136">
      <alignment horizontal="center" wrapText="1"/>
    </xf>
    <xf numFmtId="334" fontId="18" fillId="0" borderId="176"/>
    <xf numFmtId="4" fontId="18" fillId="51" borderId="174" applyNumberFormat="0" applyProtection="0">
      <alignment horizontal="right" vertical="center"/>
    </xf>
    <xf numFmtId="0" fontId="18" fillId="36" borderId="168">
      <alignment vertical="top"/>
      <protection locked="0"/>
    </xf>
    <xf numFmtId="269" fontId="18" fillId="36" borderId="168">
      <alignment vertical="top"/>
      <protection locked="0"/>
    </xf>
    <xf numFmtId="268" fontId="18" fillId="36" borderId="168">
      <alignment vertical="top"/>
      <protection locked="0"/>
    </xf>
    <xf numFmtId="4" fontId="18" fillId="62" borderId="175" applyNumberFormat="0" applyProtection="0">
      <alignment horizontal="left" vertical="center" indent="1"/>
    </xf>
    <xf numFmtId="251" fontId="18" fillId="36" borderId="168">
      <alignment vertical="top"/>
      <protection locked="0"/>
    </xf>
    <xf numFmtId="4" fontId="18" fillId="36" borderId="174" applyNumberFormat="0" applyProtection="0">
      <alignment horizontal="left" vertical="center" indent="1"/>
    </xf>
    <xf numFmtId="4" fontId="18" fillId="36" borderId="173" applyNumberFormat="0" applyProtection="0">
      <alignment horizontal="left" vertical="center" indent="1"/>
    </xf>
    <xf numFmtId="4" fontId="18" fillId="66" borderId="174" applyNumberFormat="0" applyProtection="0">
      <alignment horizontal="right" vertical="center"/>
    </xf>
    <xf numFmtId="4" fontId="18" fillId="66" borderId="174" applyNumberFormat="0" applyProtection="0">
      <alignment horizontal="right" vertical="center"/>
    </xf>
    <xf numFmtId="37" fontId="18" fillId="49" borderId="177" applyNumberFormat="0" applyBorder="0">
      <alignment horizontal="center"/>
    </xf>
    <xf numFmtId="37" fontId="18" fillId="49" borderId="177" applyNumberFormat="0" applyBorder="0">
      <alignment horizontal="center"/>
    </xf>
    <xf numFmtId="37" fontId="18" fillId="49" borderId="177" applyNumberFormat="0" applyBorder="0">
      <alignment horizontal="center"/>
    </xf>
    <xf numFmtId="37" fontId="18" fillId="49" borderId="177" applyNumberFormat="0" applyBorder="0">
      <alignment horizontal="center"/>
    </xf>
    <xf numFmtId="177" fontId="18" fillId="0" borderId="176"/>
    <xf numFmtId="0" fontId="18" fillId="67" borderId="168">
      <alignment horizontal="center" vertical="top" wrapText="1"/>
    </xf>
    <xf numFmtId="0" fontId="18" fillId="67" borderId="168">
      <alignment horizontal="center" vertical="top" wrapText="1"/>
    </xf>
    <xf numFmtId="0" fontId="18" fillId="67" borderId="168">
      <alignment horizontal="center" vertical="top" wrapText="1"/>
    </xf>
    <xf numFmtId="0" fontId="18" fillId="67" borderId="168">
      <alignment horizontal="center" vertical="top" wrapText="1"/>
    </xf>
    <xf numFmtId="0" fontId="18" fillId="67" borderId="168">
      <alignment horizontal="center" vertical="top"/>
    </xf>
    <xf numFmtId="0" fontId="18" fillId="67" borderId="168">
      <alignment horizontal="center" vertical="top"/>
    </xf>
    <xf numFmtId="0" fontId="18" fillId="67" borderId="168">
      <alignment horizontal="center" vertical="top"/>
    </xf>
    <xf numFmtId="0" fontId="18" fillId="67" borderId="168">
      <alignment horizontal="center" vertical="top"/>
    </xf>
    <xf numFmtId="0" fontId="18" fillId="67" borderId="168">
      <alignment vertical="top" wrapText="1"/>
    </xf>
    <xf numFmtId="0" fontId="18" fillId="67" borderId="168">
      <alignment vertical="top" wrapText="1"/>
    </xf>
    <xf numFmtId="0" fontId="18" fillId="67" borderId="168">
      <alignment vertical="top" wrapText="1"/>
    </xf>
    <xf numFmtId="0" fontId="18" fillId="67" borderId="168">
      <alignment vertical="top" wrapText="1"/>
    </xf>
    <xf numFmtId="17" fontId="18" fillId="67" borderId="168">
      <alignment horizontal="center" vertical="top"/>
    </xf>
    <xf numFmtId="17" fontId="18" fillId="67" borderId="168">
      <alignment horizontal="center" vertical="top"/>
    </xf>
    <xf numFmtId="17" fontId="18" fillId="67" borderId="168">
      <alignment horizontal="center" vertical="top"/>
    </xf>
    <xf numFmtId="17" fontId="18" fillId="67" borderId="168">
      <alignment horizontal="center" vertical="top"/>
    </xf>
    <xf numFmtId="0" fontId="18" fillId="67" borderId="168">
      <alignment horizontal="centerContinuous" vertical="top" wrapText="1"/>
    </xf>
    <xf numFmtId="0" fontId="18" fillId="67" borderId="168">
      <alignment horizontal="centerContinuous" vertical="top" wrapText="1"/>
    </xf>
    <xf numFmtId="0" fontId="18" fillId="67" borderId="168">
      <alignment horizontal="centerContinuous" vertical="top" wrapText="1"/>
    </xf>
    <xf numFmtId="0" fontId="18" fillId="67" borderId="168">
      <alignment horizontal="centerContinuous" vertical="top" wrapText="1"/>
    </xf>
    <xf numFmtId="0" fontId="18" fillId="67" borderId="168">
      <alignment horizontal="center" vertical="top"/>
    </xf>
    <xf numFmtId="0" fontId="18" fillId="67" borderId="168">
      <alignment horizontal="center" vertical="top"/>
    </xf>
    <xf numFmtId="0" fontId="18" fillId="67" borderId="168">
      <alignment horizontal="center" vertical="top"/>
    </xf>
    <xf numFmtId="0" fontId="18" fillId="67" borderId="168">
      <alignment horizontal="center" vertical="top"/>
    </xf>
    <xf numFmtId="0" fontId="18" fillId="67" borderId="168">
      <alignment horizontal="center" textRotation="90"/>
    </xf>
    <xf numFmtId="0" fontId="18" fillId="67" borderId="168">
      <alignment horizontal="center" textRotation="90"/>
    </xf>
    <xf numFmtId="0" fontId="18" fillId="67" borderId="168">
      <alignment horizontal="center" textRotation="90"/>
    </xf>
    <xf numFmtId="0" fontId="18" fillId="67" borderId="168">
      <alignment horizontal="center" textRotation="90"/>
    </xf>
    <xf numFmtId="338" fontId="18" fillId="67" borderId="168">
      <alignment horizontal="center" vertical="top"/>
    </xf>
    <xf numFmtId="338" fontId="18" fillId="67" borderId="168">
      <alignment horizontal="center" vertical="top"/>
    </xf>
    <xf numFmtId="338" fontId="18" fillId="67" borderId="168">
      <alignment horizontal="center" vertical="top"/>
    </xf>
    <xf numFmtId="338" fontId="18" fillId="67" borderId="168">
      <alignment horizontal="center" vertical="top"/>
    </xf>
    <xf numFmtId="277" fontId="18" fillId="0" borderId="126"/>
    <xf numFmtId="319" fontId="18" fillId="0" borderId="126"/>
    <xf numFmtId="0" fontId="18" fillId="75" borderId="136">
      <alignment horizontal="center" wrapText="1"/>
    </xf>
    <xf numFmtId="334" fontId="18" fillId="0" borderId="176"/>
    <xf numFmtId="177" fontId="18" fillId="0" borderId="176"/>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166" fontId="28" fillId="0" borderId="0" applyFont="0" applyFill="0" applyBorder="0" applyAlignment="0" applyProtection="0"/>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4" fontId="18" fillId="44"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4" borderId="189" applyNumberFormat="0" applyProtection="0">
      <alignment horizontal="right" vertical="center"/>
    </xf>
    <xf numFmtId="4" fontId="18" fillId="64" borderId="189" applyNumberFormat="0" applyProtection="0">
      <alignment horizontal="right" vertical="center"/>
    </xf>
    <xf numFmtId="4" fontId="18" fillId="64" borderId="189" applyNumberFormat="0" applyProtection="0">
      <alignment horizontal="right" vertical="center"/>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319" fontId="18" fillId="0" borderId="181"/>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xf>
    <xf numFmtId="0" fontId="18" fillId="36" borderId="183">
      <alignment vertical="top"/>
    </xf>
    <xf numFmtId="0" fontId="18" fillId="36" borderId="183">
      <alignment vertical="top"/>
    </xf>
    <xf numFmtId="0" fontId="18" fillId="36" borderId="183">
      <alignment vertical="top"/>
    </xf>
    <xf numFmtId="0" fontId="18" fillId="61" borderId="187">
      <alignment horizontal="left" vertical="center" wrapText="1"/>
    </xf>
    <xf numFmtId="0" fontId="18" fillId="61" borderId="187">
      <alignment horizontal="left" vertical="center" wrapText="1"/>
    </xf>
    <xf numFmtId="0" fontId="18" fillId="61" borderId="187">
      <alignment horizontal="left" vertical="center" wrapText="1"/>
    </xf>
    <xf numFmtId="0" fontId="18" fillId="61" borderId="187">
      <alignment horizontal="left" vertical="center" wrapText="1"/>
    </xf>
    <xf numFmtId="276" fontId="18" fillId="36" borderId="183">
      <alignment vertical="top"/>
      <protection locked="0"/>
    </xf>
    <xf numFmtId="276" fontId="18" fillId="36" borderId="183">
      <alignment vertical="top"/>
      <protection locked="0"/>
    </xf>
    <xf numFmtId="276" fontId="18" fillId="36" borderId="183">
      <alignment vertical="top"/>
      <protection locked="0"/>
    </xf>
    <xf numFmtId="276" fontId="18" fillId="36" borderId="183">
      <alignment vertical="top"/>
      <protection locked="0"/>
    </xf>
    <xf numFmtId="275" fontId="18" fillId="36" borderId="183">
      <alignment vertical="top"/>
      <protection locked="0"/>
    </xf>
    <xf numFmtId="275" fontId="18" fillId="36" borderId="183">
      <alignment vertical="top"/>
      <protection locked="0"/>
    </xf>
    <xf numFmtId="275" fontId="18" fillId="36" borderId="183">
      <alignment vertical="top"/>
      <protection locked="0"/>
    </xf>
    <xf numFmtId="275" fontId="18" fillId="36" borderId="183">
      <alignment vertical="top"/>
      <protection locked="0"/>
    </xf>
    <xf numFmtId="271" fontId="18" fillId="36" borderId="183">
      <alignment vertical="top"/>
      <protection locked="0"/>
    </xf>
    <xf numFmtId="271" fontId="18" fillId="36" borderId="183">
      <alignment vertical="top"/>
      <protection locked="0"/>
    </xf>
    <xf numFmtId="271" fontId="18" fillId="36" borderId="183">
      <alignment vertical="top"/>
      <protection locked="0"/>
    </xf>
    <xf numFmtId="271" fontId="18" fillId="36" borderId="183">
      <alignment vertical="top"/>
      <protection locked="0"/>
    </xf>
    <xf numFmtId="270" fontId="18" fillId="36" borderId="183">
      <alignment vertical="top"/>
      <protection locked="0"/>
    </xf>
    <xf numFmtId="270" fontId="18" fillId="36" borderId="183">
      <alignment vertical="top"/>
      <protection locked="0"/>
    </xf>
    <xf numFmtId="270" fontId="18" fillId="36" borderId="183">
      <alignment vertical="top"/>
      <protection locked="0"/>
    </xf>
    <xf numFmtId="270" fontId="18" fillId="36" borderId="183">
      <alignment vertical="top"/>
      <protection locked="0"/>
    </xf>
    <xf numFmtId="269" fontId="18" fillId="36" borderId="183">
      <alignment vertical="top"/>
      <protection locked="0"/>
    </xf>
    <xf numFmtId="269" fontId="18" fillId="36" borderId="183">
      <alignment vertical="top"/>
      <protection locked="0"/>
    </xf>
    <xf numFmtId="269" fontId="18" fillId="36" borderId="183">
      <alignment vertical="top"/>
      <protection locked="0"/>
    </xf>
    <xf numFmtId="269" fontId="18" fillId="36" borderId="183">
      <alignment vertical="top"/>
      <protection locked="0"/>
    </xf>
    <xf numFmtId="268" fontId="18" fillId="36" borderId="183">
      <alignment vertical="top"/>
      <protection locked="0"/>
    </xf>
    <xf numFmtId="268" fontId="18" fillId="36" borderId="183">
      <alignment vertical="top"/>
      <protection locked="0"/>
    </xf>
    <xf numFmtId="268" fontId="18" fillId="36" borderId="183">
      <alignment vertical="top"/>
      <protection locked="0"/>
    </xf>
    <xf numFmtId="268" fontId="18" fillId="36" borderId="183">
      <alignment vertical="top"/>
      <protection locked="0"/>
    </xf>
    <xf numFmtId="267" fontId="18" fillId="36" borderId="183">
      <alignment vertical="top"/>
      <protection locked="0"/>
    </xf>
    <xf numFmtId="267" fontId="18" fillId="36" borderId="183">
      <alignment vertical="top"/>
      <protection locked="0"/>
    </xf>
    <xf numFmtId="267" fontId="18" fillId="36" borderId="183">
      <alignment vertical="top"/>
      <protection locked="0"/>
    </xf>
    <xf numFmtId="267" fontId="18" fillId="36" borderId="183">
      <alignment vertical="top"/>
      <protection locked="0"/>
    </xf>
    <xf numFmtId="0" fontId="18" fillId="59" borderId="185" applyNumberFormat="0" applyAlignment="0">
      <protection locked="0"/>
    </xf>
    <xf numFmtId="0" fontId="18" fillId="59" borderId="185" applyNumberFormat="0" applyAlignment="0">
      <protection locked="0"/>
    </xf>
    <xf numFmtId="0" fontId="18" fillId="59" borderId="185" applyNumberFormat="0" applyAlignment="0">
      <protection locked="0"/>
    </xf>
    <xf numFmtId="0" fontId="18" fillId="59" borderId="185" applyNumberFormat="0" applyAlignment="0">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57" borderId="185" applyNumberFormat="0" applyAlignment="0">
      <protection locked="0"/>
    </xf>
    <xf numFmtId="0" fontId="18" fillId="57" borderId="185" applyNumberFormat="0" applyAlignment="0">
      <protection locked="0"/>
    </xf>
    <xf numFmtId="0" fontId="18" fillId="57" borderId="185" applyNumberFormat="0" applyAlignment="0">
      <protection locked="0"/>
    </xf>
    <xf numFmtId="0" fontId="18" fillId="57" borderId="185" applyNumberFormat="0" applyAlignment="0">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20" fontId="18" fillId="36" borderId="183">
      <alignment vertical="top"/>
      <protection locked="0"/>
    </xf>
    <xf numFmtId="20" fontId="18" fillId="36" borderId="183">
      <alignment vertical="top"/>
      <protection locked="0"/>
    </xf>
    <xf numFmtId="20" fontId="18" fillId="36" borderId="183">
      <alignment vertical="top"/>
      <protection locked="0"/>
    </xf>
    <xf numFmtId="20" fontId="18" fillId="36" borderId="183">
      <alignment vertical="top"/>
      <protection locked="0"/>
    </xf>
    <xf numFmtId="17" fontId="18" fillId="36" borderId="183">
      <alignment vertical="top"/>
      <protection locked="0"/>
    </xf>
    <xf numFmtId="17" fontId="18" fillId="36" borderId="183">
      <alignment vertical="top"/>
      <protection locked="0"/>
    </xf>
    <xf numFmtId="17" fontId="18" fillId="36" borderId="183">
      <alignment vertical="top"/>
      <protection locked="0"/>
    </xf>
    <xf numFmtId="17" fontId="18" fillId="36" borderId="183">
      <alignment vertical="top"/>
      <protection locked="0"/>
    </xf>
    <xf numFmtId="251" fontId="18" fillId="36" borderId="183">
      <alignment vertical="top"/>
      <protection locked="0"/>
    </xf>
    <xf numFmtId="251" fontId="18" fillId="36" borderId="183">
      <alignment vertical="top"/>
      <protection locked="0"/>
    </xf>
    <xf numFmtId="251" fontId="18" fillId="36" borderId="183">
      <alignment vertical="top"/>
      <protection locked="0"/>
    </xf>
    <xf numFmtId="251" fontId="18" fillId="36" borderId="183">
      <alignment vertical="top"/>
      <protection locked="0"/>
    </xf>
    <xf numFmtId="250" fontId="18" fillId="36" borderId="183">
      <alignment vertical="top"/>
      <protection locked="0"/>
    </xf>
    <xf numFmtId="250" fontId="18" fillId="36" borderId="183">
      <alignment vertical="top"/>
      <protection locked="0"/>
    </xf>
    <xf numFmtId="250" fontId="18" fillId="36" borderId="183">
      <alignment vertical="top"/>
      <protection locked="0"/>
    </xf>
    <xf numFmtId="250" fontId="18" fillId="36" borderId="183">
      <alignment vertical="top"/>
      <protection locked="0"/>
    </xf>
    <xf numFmtId="292" fontId="18" fillId="36" borderId="183">
      <alignment vertical="top"/>
      <protection locked="0"/>
    </xf>
    <xf numFmtId="292" fontId="18" fillId="36" borderId="183">
      <alignment vertical="top"/>
      <protection locked="0"/>
    </xf>
    <xf numFmtId="292" fontId="18" fillId="36" borderId="183">
      <alignment vertical="top"/>
      <protection locked="0"/>
    </xf>
    <xf numFmtId="292" fontId="18" fillId="36" borderId="183">
      <alignment vertical="top"/>
      <protection locked="0"/>
    </xf>
    <xf numFmtId="249" fontId="18" fillId="36" borderId="183">
      <alignment vertical="top"/>
      <protection locked="0"/>
    </xf>
    <xf numFmtId="249" fontId="18" fillId="36" borderId="183">
      <alignment vertical="top"/>
      <protection locked="0"/>
    </xf>
    <xf numFmtId="249" fontId="18" fillId="36" borderId="183">
      <alignment vertical="top"/>
      <protection locked="0"/>
    </xf>
    <xf numFmtId="249" fontId="18" fillId="36" borderId="183">
      <alignment vertical="top"/>
      <protection locked="0"/>
    </xf>
    <xf numFmtId="248" fontId="18" fillId="36" borderId="183">
      <alignment vertical="top"/>
      <protection locked="0"/>
    </xf>
    <xf numFmtId="248" fontId="18" fillId="36" borderId="183">
      <alignment vertical="top"/>
      <protection locked="0"/>
    </xf>
    <xf numFmtId="248" fontId="18" fillId="36" borderId="183">
      <alignment vertical="top"/>
      <protection locked="0"/>
    </xf>
    <xf numFmtId="248" fontId="18" fillId="36" borderId="183">
      <alignment vertical="top"/>
      <protection locked="0"/>
    </xf>
    <xf numFmtId="247" fontId="18" fillId="36" borderId="183">
      <alignment vertical="top"/>
      <protection locked="0"/>
    </xf>
    <xf numFmtId="247" fontId="18" fillId="36" borderId="183">
      <alignment vertical="top"/>
      <protection locked="0"/>
    </xf>
    <xf numFmtId="247" fontId="18" fillId="36" borderId="183">
      <alignment vertical="top"/>
      <protection locked="0"/>
    </xf>
    <xf numFmtId="247" fontId="18" fillId="36" borderId="183">
      <alignment vertical="top"/>
      <protection locked="0"/>
    </xf>
    <xf numFmtId="246" fontId="18" fillId="36" borderId="183">
      <alignment vertical="top"/>
      <protection locked="0"/>
    </xf>
    <xf numFmtId="246" fontId="18" fillId="36" borderId="183">
      <alignment vertical="top"/>
      <protection locked="0"/>
    </xf>
    <xf numFmtId="246" fontId="18" fillId="36" borderId="183">
      <alignment vertical="top"/>
      <protection locked="0"/>
    </xf>
    <xf numFmtId="246" fontId="18" fillId="36" borderId="183">
      <alignment vertical="top"/>
      <protection locked="0"/>
    </xf>
    <xf numFmtId="245" fontId="18" fillId="36" borderId="183">
      <alignment vertical="top"/>
      <protection locked="0"/>
    </xf>
    <xf numFmtId="245" fontId="18" fillId="36" borderId="183">
      <alignment vertical="top"/>
      <protection locked="0"/>
    </xf>
    <xf numFmtId="245" fontId="18" fillId="36" borderId="183">
      <alignment vertical="top"/>
      <protection locked="0"/>
    </xf>
    <xf numFmtId="245"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0" borderId="182">
      <protection locked="0"/>
    </xf>
    <xf numFmtId="0" fontId="18" fillId="0" borderId="182">
      <protection locked="0"/>
    </xf>
    <xf numFmtId="0" fontId="18" fillId="0" borderId="182">
      <protection locked="0"/>
    </xf>
    <xf numFmtId="0" fontId="18" fillId="0" borderId="182">
      <protection locked="0"/>
    </xf>
    <xf numFmtId="277" fontId="18" fillId="0" borderId="181"/>
    <xf numFmtId="0" fontId="18" fillId="0" borderId="180" applyNumberFormat="0" applyFill="0"/>
    <xf numFmtId="0" fontId="18" fillId="0" borderId="180" applyNumberFormat="0" applyFill="0"/>
    <xf numFmtId="0" fontId="18" fillId="0" borderId="180" applyNumberFormat="0" applyFill="0"/>
    <xf numFmtId="0" fontId="18" fillId="0" borderId="180" applyNumberFormat="0" applyFill="0"/>
    <xf numFmtId="0" fontId="18" fillId="0" borderId="178" applyNumberFormat="0" applyFont="0" applyFill="0" applyBorder="0" applyAlignment="0">
      <alignment horizontal="center"/>
    </xf>
    <xf numFmtId="0" fontId="18" fillId="0" borderId="178" applyNumberFormat="0" applyFont="0" applyFill="0" applyBorder="0" applyAlignment="0">
      <alignment horizontal="center"/>
    </xf>
    <xf numFmtId="0" fontId="18" fillId="37" borderId="179" applyNumberFormat="0" applyFill="0" applyBorder="0" applyAlignment="0" applyProtection="0">
      <alignment horizontal="left" vertical="center" wrapText="1"/>
    </xf>
    <xf numFmtId="0" fontId="18" fillId="0" borderId="180" applyNumberFormat="0" applyFill="0"/>
    <xf numFmtId="0" fontId="18" fillId="0" borderId="180" applyNumberFormat="0" applyFill="0"/>
    <xf numFmtId="0" fontId="18" fillId="0" borderId="180" applyNumberFormat="0" applyFill="0"/>
    <xf numFmtId="0" fontId="18" fillId="0" borderId="180" applyNumberFormat="0" applyFill="0"/>
    <xf numFmtId="0" fontId="18" fillId="0" borderId="178" applyNumberFormat="0">
      <alignment horizontal="center" vertical="center"/>
    </xf>
    <xf numFmtId="0" fontId="18" fillId="0" borderId="178" applyNumberFormat="0">
      <alignment horizontal="center" vertical="center"/>
    </xf>
    <xf numFmtId="179" fontId="18" fillId="0" borderId="178" applyBorder="0"/>
    <xf numFmtId="179" fontId="18" fillId="0" borderId="178" applyBorder="0"/>
    <xf numFmtId="277" fontId="18" fillId="0" borderId="181"/>
    <xf numFmtId="0" fontId="18" fillId="0" borderId="182">
      <protection locked="0"/>
    </xf>
    <xf numFmtId="0" fontId="18" fillId="0" borderId="182">
      <protection locked="0"/>
    </xf>
    <xf numFmtId="0" fontId="18" fillId="0" borderId="182">
      <protection locked="0"/>
    </xf>
    <xf numFmtId="0" fontId="18" fillId="0" borderId="182">
      <protection locked="0"/>
    </xf>
    <xf numFmtId="3" fontId="18" fillId="46" borderId="178"/>
    <xf numFmtId="3" fontId="18" fillId="46" borderId="178"/>
    <xf numFmtId="0" fontId="18" fillId="36" borderId="178">
      <alignment horizontal="right"/>
    </xf>
    <xf numFmtId="0" fontId="18" fillId="36" borderId="178">
      <alignment horizontal="right"/>
    </xf>
    <xf numFmtId="179" fontId="18" fillId="0" borderId="178"/>
    <xf numFmtId="179" fontId="18" fillId="0" borderId="178"/>
    <xf numFmtId="0" fontId="18" fillId="0" borderId="178"/>
    <xf numFmtId="0" fontId="18" fillId="0" borderId="178"/>
    <xf numFmtId="3" fontId="18" fillId="35" borderId="178"/>
    <xf numFmtId="3" fontId="18" fillId="35" borderId="178"/>
    <xf numFmtId="288" fontId="18" fillId="55" borderId="178" applyNumberFormat="0" applyFont="0" applyBorder="0" applyAlignment="0" applyProtection="0"/>
    <xf numFmtId="288" fontId="18" fillId="55" borderId="178" applyNumberFormat="0" applyFont="0" applyBorder="0" applyAlignment="0" applyProtection="0"/>
    <xf numFmtId="0" fontId="18" fillId="54" borderId="178" applyNumberFormat="0" applyFont="0" applyBorder="0" applyAlignment="0" applyProtection="0"/>
    <xf numFmtId="0" fontId="18" fillId="54" borderId="178" applyNumberFormat="0" applyFont="0" applyBorder="0" applyAlignment="0" applyProtection="0"/>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245" fontId="18" fillId="36" borderId="183">
      <alignment vertical="top"/>
      <protection locked="0"/>
    </xf>
    <xf numFmtId="245" fontId="18" fillId="36" borderId="183">
      <alignment vertical="top"/>
      <protection locked="0"/>
    </xf>
    <xf numFmtId="245" fontId="18" fillId="36" borderId="183">
      <alignment vertical="top"/>
      <protection locked="0"/>
    </xf>
    <xf numFmtId="245" fontId="18" fillId="36" borderId="183">
      <alignment vertical="top"/>
      <protection locked="0"/>
    </xf>
    <xf numFmtId="246" fontId="18" fillId="36" borderId="183">
      <alignment vertical="top"/>
      <protection locked="0"/>
    </xf>
    <xf numFmtId="246" fontId="18" fillId="36" borderId="183">
      <alignment vertical="top"/>
      <protection locked="0"/>
    </xf>
    <xf numFmtId="246" fontId="18" fillId="36" borderId="183">
      <alignment vertical="top"/>
      <protection locked="0"/>
    </xf>
    <xf numFmtId="246" fontId="18" fillId="36" borderId="183">
      <alignment vertical="top"/>
      <protection locked="0"/>
    </xf>
    <xf numFmtId="247" fontId="18" fillId="36" borderId="183">
      <alignment vertical="top"/>
      <protection locked="0"/>
    </xf>
    <xf numFmtId="247" fontId="18" fillId="36" borderId="183">
      <alignment vertical="top"/>
      <protection locked="0"/>
    </xf>
    <xf numFmtId="247" fontId="18" fillId="36" borderId="183">
      <alignment vertical="top"/>
      <protection locked="0"/>
    </xf>
    <xf numFmtId="247" fontId="18" fillId="36" borderId="183">
      <alignment vertical="top"/>
      <protection locked="0"/>
    </xf>
    <xf numFmtId="248" fontId="18" fillId="36" borderId="183">
      <alignment vertical="top"/>
      <protection locked="0"/>
    </xf>
    <xf numFmtId="248" fontId="18" fillId="36" borderId="183">
      <alignment vertical="top"/>
      <protection locked="0"/>
    </xf>
    <xf numFmtId="248" fontId="18" fillId="36" borderId="183">
      <alignment vertical="top"/>
      <protection locked="0"/>
    </xf>
    <xf numFmtId="248" fontId="18" fillId="36" borderId="183">
      <alignment vertical="top"/>
      <protection locked="0"/>
    </xf>
    <xf numFmtId="249" fontId="18" fillId="36" borderId="183">
      <alignment vertical="top"/>
      <protection locked="0"/>
    </xf>
    <xf numFmtId="249" fontId="18" fillId="36" borderId="183">
      <alignment vertical="top"/>
      <protection locked="0"/>
    </xf>
    <xf numFmtId="249" fontId="18" fillId="36" borderId="183">
      <alignment vertical="top"/>
      <protection locked="0"/>
    </xf>
    <xf numFmtId="249" fontId="18" fillId="36" borderId="183">
      <alignment vertical="top"/>
      <protection locked="0"/>
    </xf>
    <xf numFmtId="292" fontId="18" fillId="36" borderId="183">
      <alignment vertical="top"/>
      <protection locked="0"/>
    </xf>
    <xf numFmtId="292" fontId="18" fillId="36" borderId="183">
      <alignment vertical="top"/>
      <protection locked="0"/>
    </xf>
    <xf numFmtId="292" fontId="18" fillId="36" borderId="183">
      <alignment vertical="top"/>
      <protection locked="0"/>
    </xf>
    <xf numFmtId="292" fontId="18" fillId="36" borderId="183">
      <alignment vertical="top"/>
      <protection locked="0"/>
    </xf>
    <xf numFmtId="250" fontId="18" fillId="36" borderId="183">
      <alignment vertical="top"/>
      <protection locked="0"/>
    </xf>
    <xf numFmtId="250" fontId="18" fillId="36" borderId="183">
      <alignment vertical="top"/>
      <protection locked="0"/>
    </xf>
    <xf numFmtId="250" fontId="18" fillId="36" borderId="183">
      <alignment vertical="top"/>
      <protection locked="0"/>
    </xf>
    <xf numFmtId="250" fontId="18" fillId="36" borderId="183">
      <alignment vertical="top"/>
      <protection locked="0"/>
    </xf>
    <xf numFmtId="251" fontId="18" fillId="36" borderId="183">
      <alignment vertical="top"/>
      <protection locked="0"/>
    </xf>
    <xf numFmtId="251" fontId="18" fillId="36" borderId="183">
      <alignment vertical="top"/>
      <protection locked="0"/>
    </xf>
    <xf numFmtId="251" fontId="18" fillId="36" borderId="183">
      <alignment vertical="top"/>
      <protection locked="0"/>
    </xf>
    <xf numFmtId="251" fontId="18" fillId="36" borderId="183">
      <alignment vertical="top"/>
      <protection locked="0"/>
    </xf>
    <xf numFmtId="17" fontId="18" fillId="36" borderId="183">
      <alignment vertical="top"/>
      <protection locked="0"/>
    </xf>
    <xf numFmtId="17" fontId="18" fillId="36" borderId="183">
      <alignment vertical="top"/>
      <protection locked="0"/>
    </xf>
    <xf numFmtId="17" fontId="18" fillId="36" borderId="183">
      <alignment vertical="top"/>
      <protection locked="0"/>
    </xf>
    <xf numFmtId="17" fontId="18" fillId="36" borderId="183">
      <alignment vertical="top"/>
      <protection locked="0"/>
    </xf>
    <xf numFmtId="20" fontId="18" fillId="36" borderId="183">
      <alignment vertical="top"/>
      <protection locked="0"/>
    </xf>
    <xf numFmtId="20" fontId="18" fillId="36" borderId="183">
      <alignment vertical="top"/>
      <protection locked="0"/>
    </xf>
    <xf numFmtId="20" fontId="18" fillId="36" borderId="183">
      <alignment vertical="top"/>
      <protection locked="0"/>
    </xf>
    <xf numFmtId="20" fontId="18" fillId="36" borderId="183">
      <alignment vertical="top"/>
      <protection locked="0"/>
    </xf>
    <xf numFmtId="179" fontId="18" fillId="0" borderId="178">
      <alignment horizontal="right"/>
    </xf>
    <xf numFmtId="179" fontId="18" fillId="0" borderId="178">
      <alignment horizontal="right"/>
    </xf>
    <xf numFmtId="0" fontId="18" fillId="0" borderId="178"/>
    <xf numFmtId="0" fontId="18" fillId="0" borderId="178"/>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9" fontId="18" fillId="0" borderId="178"/>
    <xf numFmtId="9" fontId="18" fillId="0" borderId="178"/>
    <xf numFmtId="3" fontId="18" fillId="0" borderId="178"/>
    <xf numFmtId="3" fontId="18" fillId="0" borderId="178"/>
    <xf numFmtId="10" fontId="18" fillId="0" borderId="178"/>
    <xf numFmtId="10" fontId="18" fillId="0" borderId="178"/>
    <xf numFmtId="3" fontId="18" fillId="0" borderId="178"/>
    <xf numFmtId="3" fontId="18" fillId="0" borderId="178"/>
    <xf numFmtId="4" fontId="18" fillId="0" borderId="178"/>
    <xf numFmtId="4" fontId="18" fillId="0" borderId="178"/>
    <xf numFmtId="10" fontId="18" fillId="35" borderId="178" applyNumberFormat="0" applyBorder="0" applyAlignment="0" applyProtection="0"/>
    <xf numFmtId="10" fontId="18" fillId="35" borderId="178" applyNumberFormat="0" applyBorder="0" applyAlignment="0" applyProtection="0"/>
    <xf numFmtId="0" fontId="18" fillId="0"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0" fontId="18" fillId="57" borderId="185" applyNumberFormat="0" applyAlignment="0">
      <protection locked="0"/>
    </xf>
    <xf numFmtId="0" fontId="18" fillId="57" borderId="185" applyNumberFormat="0" applyAlignment="0">
      <protection locked="0"/>
    </xf>
    <xf numFmtId="0" fontId="18" fillId="57" borderId="185" applyNumberFormat="0" applyAlignment="0">
      <protection locked="0"/>
    </xf>
    <xf numFmtId="0" fontId="18" fillId="57" borderId="185" applyNumberFormat="0" applyAlignment="0">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59" borderId="185" applyNumberFormat="0" applyAlignment="0">
      <protection locked="0"/>
    </xf>
    <xf numFmtId="0" fontId="18" fillId="59" borderId="185" applyNumberFormat="0" applyAlignment="0">
      <protection locked="0"/>
    </xf>
    <xf numFmtId="0" fontId="18" fillId="59" borderId="185" applyNumberFormat="0" applyAlignment="0">
      <protection locked="0"/>
    </xf>
    <xf numFmtId="0" fontId="18" fillId="59" borderId="185" applyNumberFormat="0" applyAlignment="0">
      <protection locked="0"/>
    </xf>
    <xf numFmtId="267" fontId="18" fillId="36" borderId="183">
      <alignment vertical="top"/>
      <protection locked="0"/>
    </xf>
    <xf numFmtId="267" fontId="18" fillId="36" borderId="183">
      <alignment vertical="top"/>
      <protection locked="0"/>
    </xf>
    <xf numFmtId="267" fontId="18" fillId="36" borderId="183">
      <alignment vertical="top"/>
      <protection locked="0"/>
    </xf>
    <xf numFmtId="267" fontId="18" fillId="36" borderId="183">
      <alignment vertical="top"/>
      <protection locked="0"/>
    </xf>
    <xf numFmtId="268" fontId="18" fillId="36" borderId="183">
      <alignment vertical="top"/>
      <protection locked="0"/>
    </xf>
    <xf numFmtId="268" fontId="18" fillId="36" borderId="183">
      <alignment vertical="top"/>
      <protection locked="0"/>
    </xf>
    <xf numFmtId="268" fontId="18" fillId="36" borderId="183">
      <alignment vertical="top"/>
      <protection locked="0"/>
    </xf>
    <xf numFmtId="268" fontId="18" fillId="36" borderId="183">
      <alignment vertical="top"/>
      <protection locked="0"/>
    </xf>
    <xf numFmtId="269" fontId="18" fillId="36" borderId="183">
      <alignment vertical="top"/>
      <protection locked="0"/>
    </xf>
    <xf numFmtId="269" fontId="18" fillId="36" borderId="183">
      <alignment vertical="top"/>
      <protection locked="0"/>
    </xf>
    <xf numFmtId="269" fontId="18" fillId="36" borderId="183">
      <alignment vertical="top"/>
      <protection locked="0"/>
    </xf>
    <xf numFmtId="269" fontId="18" fillId="36" borderId="183">
      <alignment vertical="top"/>
      <protection locked="0"/>
    </xf>
    <xf numFmtId="270" fontId="18" fillId="36" borderId="183">
      <alignment vertical="top"/>
      <protection locked="0"/>
    </xf>
    <xf numFmtId="270" fontId="18" fillId="36" borderId="183">
      <alignment vertical="top"/>
      <protection locked="0"/>
    </xf>
    <xf numFmtId="270" fontId="18" fillId="36" borderId="183">
      <alignment vertical="top"/>
      <protection locked="0"/>
    </xf>
    <xf numFmtId="270" fontId="18" fillId="36" borderId="183">
      <alignment vertical="top"/>
      <protection locked="0"/>
    </xf>
    <xf numFmtId="271" fontId="18" fillId="36" borderId="183">
      <alignment vertical="top"/>
      <protection locked="0"/>
    </xf>
    <xf numFmtId="271" fontId="18" fillId="36" borderId="183">
      <alignment vertical="top"/>
      <protection locked="0"/>
    </xf>
    <xf numFmtId="271" fontId="18" fillId="36" borderId="183">
      <alignment vertical="top"/>
      <protection locked="0"/>
    </xf>
    <xf numFmtId="271" fontId="18" fillId="36" borderId="183">
      <alignment vertical="top"/>
      <protection locked="0"/>
    </xf>
    <xf numFmtId="275" fontId="18" fillId="36" borderId="183">
      <alignment vertical="top"/>
      <protection locked="0"/>
    </xf>
    <xf numFmtId="275" fontId="18" fillId="36" borderId="183">
      <alignment vertical="top"/>
      <protection locked="0"/>
    </xf>
    <xf numFmtId="275" fontId="18" fillId="36" borderId="183">
      <alignment vertical="top"/>
      <protection locked="0"/>
    </xf>
    <xf numFmtId="275" fontId="18" fillId="36" borderId="183">
      <alignment vertical="top"/>
      <protection locked="0"/>
    </xf>
    <xf numFmtId="276" fontId="18" fillId="36" borderId="183">
      <alignment vertical="top"/>
      <protection locked="0"/>
    </xf>
    <xf numFmtId="276" fontId="18" fillId="36" borderId="183">
      <alignment vertical="top"/>
      <protection locked="0"/>
    </xf>
    <xf numFmtId="276" fontId="18" fillId="36" borderId="183">
      <alignment vertical="top"/>
      <protection locked="0"/>
    </xf>
    <xf numFmtId="276" fontId="18" fillId="36" borderId="183">
      <alignment vertical="top"/>
      <protection locked="0"/>
    </xf>
    <xf numFmtId="0" fontId="18" fillId="61" borderId="187">
      <alignment horizontal="left" vertical="center" wrapText="1"/>
    </xf>
    <xf numFmtId="0" fontId="18" fillId="61" borderId="187">
      <alignment horizontal="left" vertical="center" wrapText="1"/>
    </xf>
    <xf numFmtId="0" fontId="18" fillId="61" borderId="187">
      <alignment horizontal="left" vertical="center" wrapText="1"/>
    </xf>
    <xf numFmtId="0" fontId="18" fillId="61" borderId="187">
      <alignment horizontal="left" vertical="center" wrapText="1"/>
    </xf>
    <xf numFmtId="0" fontId="18" fillId="36" borderId="183">
      <alignment vertical="top"/>
    </xf>
    <xf numFmtId="0" fontId="18" fillId="36" borderId="183">
      <alignment vertical="top"/>
    </xf>
    <xf numFmtId="0" fontId="18" fillId="36" borderId="183">
      <alignment vertical="top"/>
    </xf>
    <xf numFmtId="0" fontId="18" fillId="36" borderId="183">
      <alignment vertical="top"/>
    </xf>
    <xf numFmtId="0" fontId="18" fillId="36" borderId="183">
      <alignment vertical="top" wrapText="1"/>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299" fontId="18" fillId="48" borderId="178"/>
    <xf numFmtId="299" fontId="18" fillId="48" borderId="178"/>
    <xf numFmtId="0" fontId="18" fillId="0" borderId="178" applyNumberFormat="0" applyFont="0" applyBorder="0" applyAlignment="0" applyProtection="0">
      <alignment horizontal="center"/>
    </xf>
    <xf numFmtId="0" fontId="18" fillId="0" borderId="178" applyNumberFormat="0" applyFont="0" applyBorder="0" applyAlignment="0" applyProtection="0">
      <alignment horizontal="center"/>
    </xf>
    <xf numFmtId="319" fontId="18" fillId="0" borderId="181"/>
    <xf numFmtId="177" fontId="18" fillId="36" borderId="178"/>
    <xf numFmtId="177" fontId="18" fillId="36" borderId="178"/>
    <xf numFmtId="0" fontId="18" fillId="37" borderId="178">
      <alignment horizontal="right"/>
      <protection locked="0"/>
    </xf>
    <xf numFmtId="0" fontId="18" fillId="37" borderId="178">
      <alignment horizontal="right"/>
      <protection locked="0"/>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64" borderId="189" applyNumberFormat="0" applyProtection="0">
      <alignment horizontal="right" vertical="center"/>
    </xf>
    <xf numFmtId="4" fontId="18" fillId="64" borderId="189" applyNumberFormat="0" applyProtection="0">
      <alignment horizontal="right" vertical="center"/>
    </xf>
    <xf numFmtId="4" fontId="18" fillId="64" borderId="189" applyNumberFormat="0" applyProtection="0">
      <alignment horizontal="right" vertical="center"/>
    </xf>
    <xf numFmtId="4" fontId="18" fillId="64"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0" fontId="18" fillId="52" borderId="178">
      <alignment horizontal="center" vertical="center" wrapText="1"/>
      <protection hidden="1"/>
    </xf>
    <xf numFmtId="0" fontId="18" fillId="52" borderId="178">
      <alignment horizontal="center" vertical="center" wrapText="1"/>
      <protection hidden="1"/>
    </xf>
    <xf numFmtId="0" fontId="18" fillId="75" borderId="191">
      <alignment horizontal="center" wrapText="1"/>
    </xf>
    <xf numFmtId="0" fontId="18" fillId="55" borderId="178"/>
    <xf numFmtId="0" fontId="18" fillId="55" borderId="178"/>
    <xf numFmtId="334" fontId="18" fillId="0" borderId="192"/>
    <xf numFmtId="37" fontId="18" fillId="49" borderId="193" applyNumberFormat="0" applyBorder="0">
      <alignment horizontal="center"/>
    </xf>
    <xf numFmtId="37" fontId="18" fillId="49" borderId="193" applyNumberFormat="0" applyBorder="0">
      <alignment horizontal="center"/>
    </xf>
    <xf numFmtId="37" fontId="18" fillId="49" borderId="193" applyNumberFormat="0" applyBorder="0">
      <alignment horizontal="center"/>
    </xf>
    <xf numFmtId="37" fontId="18" fillId="49" borderId="193" applyNumberFormat="0" applyBorder="0">
      <alignment horizontal="center"/>
    </xf>
    <xf numFmtId="177" fontId="18" fillId="0" borderId="192"/>
    <xf numFmtId="0" fontId="18" fillId="40" borderId="178"/>
    <xf numFmtId="0" fontId="18" fillId="40" borderId="178"/>
    <xf numFmtId="1" fontId="18" fillId="36" borderId="178" applyNumberFormat="0" applyFont="0" applyBorder="0" applyAlignment="0">
      <alignment horizontal="center" vertical="center" wrapText="1"/>
    </xf>
    <xf numFmtId="1" fontId="18" fillId="36" borderId="178" applyNumberFormat="0" applyFont="0" applyBorder="0" applyAlignment="0">
      <alignment horizontal="center" vertical="center"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vertical="top" wrapText="1"/>
    </xf>
    <xf numFmtId="0" fontId="18" fillId="67" borderId="183">
      <alignment vertical="top" wrapText="1"/>
    </xf>
    <xf numFmtId="0" fontId="18" fillId="67" borderId="183">
      <alignment vertical="top" wrapText="1"/>
    </xf>
    <xf numFmtId="0" fontId="18" fillId="67" borderId="183">
      <alignment vertical="top" wrapText="1"/>
    </xf>
    <xf numFmtId="17" fontId="18" fillId="67" borderId="183">
      <alignment horizontal="center" vertical="top"/>
    </xf>
    <xf numFmtId="17" fontId="18" fillId="67" borderId="183">
      <alignment horizontal="center" vertical="top"/>
    </xf>
    <xf numFmtId="17" fontId="18" fillId="67" borderId="183">
      <alignment horizontal="center" vertical="top"/>
    </xf>
    <xf numFmtId="17" fontId="18" fillId="67" borderId="183">
      <alignment horizontal="center" vertical="top"/>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textRotation="90"/>
    </xf>
    <xf numFmtId="0" fontId="18" fillId="67" borderId="183">
      <alignment horizontal="center" textRotation="90"/>
    </xf>
    <xf numFmtId="0" fontId="18" fillId="67" borderId="183">
      <alignment horizontal="center" textRotation="90"/>
    </xf>
    <xf numFmtId="0" fontId="18" fillId="67" borderId="183">
      <alignment horizontal="center" textRotation="90"/>
    </xf>
    <xf numFmtId="338" fontId="18" fillId="67" borderId="183">
      <alignment horizontal="center" vertical="top"/>
    </xf>
    <xf numFmtId="338" fontId="18" fillId="67" borderId="183">
      <alignment horizontal="center" vertical="top"/>
    </xf>
    <xf numFmtId="338" fontId="18" fillId="67" borderId="183">
      <alignment horizontal="center" vertical="top"/>
    </xf>
    <xf numFmtId="338" fontId="18" fillId="67" borderId="183">
      <alignment horizontal="center" vertical="top"/>
    </xf>
    <xf numFmtId="0" fontId="18" fillId="64" borderId="178" applyNumberFormat="0" applyFont="0" applyBorder="0" applyAlignment="0" applyProtection="0">
      <alignment horizontal="center"/>
    </xf>
    <xf numFmtId="0" fontId="18" fillId="64" borderId="178" applyNumberFormat="0" applyFont="0" applyBorder="0" applyAlignment="0" applyProtection="0">
      <alignment horizontal="center"/>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59" borderId="185" applyNumberFormat="0" applyAlignment="0">
      <protection locked="0"/>
    </xf>
    <xf numFmtId="4" fontId="18" fillId="64" borderId="189" applyNumberFormat="0" applyProtection="0">
      <alignment horizontal="right" vertical="center"/>
    </xf>
    <xf numFmtId="277" fontId="18" fillId="0" borderId="181"/>
    <xf numFmtId="319" fontId="18" fillId="0" borderId="181"/>
    <xf numFmtId="0" fontId="18" fillId="75" borderId="191">
      <alignment horizontal="center" wrapText="1"/>
    </xf>
    <xf numFmtId="334" fontId="18" fillId="0" borderId="192"/>
    <xf numFmtId="177" fontId="18" fillId="0" borderId="192"/>
    <xf numFmtId="3" fontId="18" fillId="46" borderId="178"/>
    <xf numFmtId="179" fontId="18" fillId="0" borderId="178"/>
    <xf numFmtId="0" fontId="18" fillId="36" borderId="178">
      <alignment horizontal="right"/>
    </xf>
    <xf numFmtId="0" fontId="18" fillId="0" borderId="178" applyNumberFormat="0" applyFont="0" applyFill="0" applyBorder="0" applyAlignment="0">
      <alignment horizontal="center"/>
    </xf>
    <xf numFmtId="0" fontId="18" fillId="0" borderId="178" applyNumberFormat="0" applyFont="0" applyFill="0" applyBorder="0" applyAlignment="0">
      <alignment horizontal="center"/>
    </xf>
    <xf numFmtId="0" fontId="18" fillId="37" borderId="179" applyNumberFormat="0" applyFill="0" applyBorder="0" applyAlignment="0" applyProtection="0">
      <alignment horizontal="left" vertical="center" wrapText="1"/>
    </xf>
    <xf numFmtId="0" fontId="18" fillId="0" borderId="180" applyNumberFormat="0" applyFill="0"/>
    <xf numFmtId="0" fontId="18" fillId="0" borderId="180" applyNumberFormat="0" applyFill="0"/>
    <xf numFmtId="0" fontId="18" fillId="0" borderId="180" applyNumberFormat="0" applyFill="0"/>
    <xf numFmtId="0" fontId="18" fillId="0" borderId="180" applyNumberFormat="0" applyFill="0"/>
    <xf numFmtId="0" fontId="18" fillId="0" borderId="178" applyNumberFormat="0">
      <alignment horizontal="center" vertical="center"/>
    </xf>
    <xf numFmtId="0" fontId="18" fillId="0" borderId="178" applyNumberFormat="0">
      <alignment horizontal="center" vertical="center"/>
    </xf>
    <xf numFmtId="277" fontId="18" fillId="0" borderId="181"/>
    <xf numFmtId="0" fontId="18" fillId="0" borderId="182">
      <protection locked="0"/>
    </xf>
    <xf numFmtId="0" fontId="18" fillId="0" borderId="182">
      <protection locked="0"/>
    </xf>
    <xf numFmtId="0" fontId="18" fillId="0" borderId="182">
      <protection locked="0"/>
    </xf>
    <xf numFmtId="0" fontId="18" fillId="0" borderId="182">
      <protection locked="0"/>
    </xf>
    <xf numFmtId="0" fontId="18" fillId="36" borderId="178">
      <alignment horizontal="right"/>
    </xf>
    <xf numFmtId="179" fontId="18" fillId="0" borderId="178"/>
    <xf numFmtId="0" fontId="18" fillId="0" borderId="178"/>
    <xf numFmtId="0" fontId="18" fillId="0" borderId="178"/>
    <xf numFmtId="3" fontId="18" fillId="35" borderId="178"/>
    <xf numFmtId="3" fontId="18" fillId="35" borderId="178"/>
    <xf numFmtId="288" fontId="18" fillId="55" borderId="178" applyNumberFormat="0" applyFont="0" applyBorder="0" applyAlignment="0" applyProtection="0"/>
    <xf numFmtId="288" fontId="18" fillId="55" borderId="178" applyNumberFormat="0" applyFont="0" applyBorder="0" applyAlignment="0" applyProtection="0"/>
    <xf numFmtId="0" fontId="18" fillId="54" borderId="178" applyNumberFormat="0" applyFont="0" applyBorder="0" applyAlignment="0" applyProtection="0"/>
    <xf numFmtId="0" fontId="18" fillId="54" borderId="178" applyNumberFormat="0" applyFont="0" applyBorder="0" applyAlignment="0" applyProtection="0"/>
    <xf numFmtId="0" fontId="18" fillId="36" borderId="183">
      <alignment vertical="top"/>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245" fontId="18" fillId="36" borderId="183">
      <alignment vertical="top"/>
      <protection locked="0"/>
    </xf>
    <xf numFmtId="245" fontId="18" fillId="36" borderId="183">
      <alignment vertical="top"/>
      <protection locked="0"/>
    </xf>
    <xf numFmtId="245" fontId="18" fillId="36" borderId="183">
      <alignment vertical="top"/>
      <protection locked="0"/>
    </xf>
    <xf numFmtId="245" fontId="18" fillId="36" borderId="183">
      <alignment vertical="top"/>
      <protection locked="0"/>
    </xf>
    <xf numFmtId="246" fontId="18" fillId="36" borderId="183">
      <alignment vertical="top"/>
      <protection locked="0"/>
    </xf>
    <xf numFmtId="246" fontId="18" fillId="36" borderId="183">
      <alignment vertical="top"/>
      <protection locked="0"/>
    </xf>
    <xf numFmtId="246" fontId="18" fillId="36" borderId="183">
      <alignment vertical="top"/>
      <protection locked="0"/>
    </xf>
    <xf numFmtId="246" fontId="18" fillId="36" borderId="183">
      <alignment vertical="top"/>
      <protection locked="0"/>
    </xf>
    <xf numFmtId="247" fontId="18" fillId="36" borderId="183">
      <alignment vertical="top"/>
      <protection locked="0"/>
    </xf>
    <xf numFmtId="247" fontId="18" fillId="36" borderId="183">
      <alignment vertical="top"/>
      <protection locked="0"/>
    </xf>
    <xf numFmtId="247" fontId="18" fillId="36" borderId="183">
      <alignment vertical="top"/>
      <protection locked="0"/>
    </xf>
    <xf numFmtId="247" fontId="18" fillId="36" borderId="183">
      <alignment vertical="top"/>
      <protection locked="0"/>
    </xf>
    <xf numFmtId="248" fontId="18" fillId="36" borderId="183">
      <alignment vertical="top"/>
      <protection locked="0"/>
    </xf>
    <xf numFmtId="248" fontId="18" fillId="36" borderId="183">
      <alignment vertical="top"/>
      <protection locked="0"/>
    </xf>
    <xf numFmtId="248" fontId="18" fillId="36" borderId="183">
      <alignment vertical="top"/>
      <protection locked="0"/>
    </xf>
    <xf numFmtId="248" fontId="18" fillId="36" borderId="183">
      <alignment vertical="top"/>
      <protection locked="0"/>
    </xf>
    <xf numFmtId="249" fontId="18" fillId="36" borderId="183">
      <alignment vertical="top"/>
      <protection locked="0"/>
    </xf>
    <xf numFmtId="249" fontId="18" fillId="36" borderId="183">
      <alignment vertical="top"/>
      <protection locked="0"/>
    </xf>
    <xf numFmtId="249" fontId="18" fillId="36" borderId="183">
      <alignment vertical="top"/>
      <protection locked="0"/>
    </xf>
    <xf numFmtId="249" fontId="18" fillId="36" borderId="183">
      <alignment vertical="top"/>
      <protection locked="0"/>
    </xf>
    <xf numFmtId="292" fontId="18" fillId="36" borderId="183">
      <alignment vertical="top"/>
      <protection locked="0"/>
    </xf>
    <xf numFmtId="292" fontId="18" fillId="36" borderId="183">
      <alignment vertical="top"/>
      <protection locked="0"/>
    </xf>
    <xf numFmtId="292" fontId="18" fillId="36" borderId="183">
      <alignment vertical="top"/>
      <protection locked="0"/>
    </xf>
    <xf numFmtId="292" fontId="18" fillId="36" borderId="183">
      <alignment vertical="top"/>
      <protection locked="0"/>
    </xf>
    <xf numFmtId="250" fontId="18" fillId="36" borderId="183">
      <alignment vertical="top"/>
      <protection locked="0"/>
    </xf>
    <xf numFmtId="250" fontId="18" fillId="36" borderId="183">
      <alignment vertical="top"/>
      <protection locked="0"/>
    </xf>
    <xf numFmtId="250" fontId="18" fillId="36" borderId="183">
      <alignment vertical="top"/>
      <protection locked="0"/>
    </xf>
    <xf numFmtId="250" fontId="18" fillId="36" borderId="183">
      <alignment vertical="top"/>
      <protection locked="0"/>
    </xf>
    <xf numFmtId="251" fontId="18" fillId="36" borderId="183">
      <alignment vertical="top"/>
      <protection locked="0"/>
    </xf>
    <xf numFmtId="251" fontId="18" fillId="36" borderId="183">
      <alignment vertical="top"/>
      <protection locked="0"/>
    </xf>
    <xf numFmtId="251" fontId="18" fillId="36" borderId="183">
      <alignment vertical="top"/>
      <protection locked="0"/>
    </xf>
    <xf numFmtId="17" fontId="18" fillId="36" borderId="183">
      <alignment vertical="top"/>
      <protection locked="0"/>
    </xf>
    <xf numFmtId="17" fontId="18" fillId="36" borderId="183">
      <alignment vertical="top"/>
      <protection locked="0"/>
    </xf>
    <xf numFmtId="17" fontId="18" fillId="36" borderId="183">
      <alignment vertical="top"/>
      <protection locked="0"/>
    </xf>
    <xf numFmtId="17" fontId="18" fillId="36" borderId="183">
      <alignment vertical="top"/>
      <protection locked="0"/>
    </xf>
    <xf numFmtId="20" fontId="18" fillId="36" borderId="183">
      <alignment vertical="top"/>
      <protection locked="0"/>
    </xf>
    <xf numFmtId="20" fontId="18" fillId="36" borderId="183">
      <alignment vertical="top"/>
      <protection locked="0"/>
    </xf>
    <xf numFmtId="20" fontId="18" fillId="36" borderId="183">
      <alignment vertical="top"/>
      <protection locked="0"/>
    </xf>
    <xf numFmtId="20" fontId="18" fillId="36" borderId="183">
      <alignment vertical="top"/>
      <protection locked="0"/>
    </xf>
    <xf numFmtId="179" fontId="18" fillId="0" borderId="178">
      <alignment horizontal="right"/>
    </xf>
    <xf numFmtId="179" fontId="18" fillId="0" borderId="178">
      <alignment horizontal="right"/>
    </xf>
    <xf numFmtId="0" fontId="18" fillId="0" borderId="178"/>
    <xf numFmtId="0" fontId="18" fillId="0" borderId="178"/>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0" fontId="18" fillId="0" borderId="178">
      <alignment horizontal="right"/>
    </xf>
    <xf numFmtId="9" fontId="18" fillId="0" borderId="178"/>
    <xf numFmtId="9" fontId="18" fillId="0" borderId="178"/>
    <xf numFmtId="3" fontId="18" fillId="0" borderId="178"/>
    <xf numFmtId="3" fontId="18" fillId="0" borderId="178"/>
    <xf numFmtId="10" fontId="18" fillId="0" borderId="178"/>
    <xf numFmtId="10" fontId="18" fillId="0" borderId="178"/>
    <xf numFmtId="3" fontId="18" fillId="0" borderId="178"/>
    <xf numFmtId="3" fontId="18" fillId="0" borderId="178"/>
    <xf numFmtId="4" fontId="18" fillId="0" borderId="178"/>
    <xf numFmtId="4" fontId="18" fillId="0" borderId="178"/>
    <xf numFmtId="10" fontId="18" fillId="35" borderId="178" applyNumberFormat="0" applyBorder="0" applyAlignment="0" applyProtection="0"/>
    <xf numFmtId="10" fontId="18" fillId="35" borderId="178" applyNumberFormat="0" applyBorder="0" applyAlignment="0" applyProtection="0"/>
    <xf numFmtId="0" fontId="18" fillId="0"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0" fontId="18" fillId="0"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294" fontId="18" fillId="56" borderId="184" applyNumberFormat="0" applyAlignment="0">
      <alignment vertical="center"/>
      <protection locked="0"/>
    </xf>
    <xf numFmtId="0" fontId="18" fillId="57" borderId="185" applyNumberFormat="0" applyAlignment="0">
      <protection locked="0"/>
    </xf>
    <xf numFmtId="0" fontId="18" fillId="57" borderId="185" applyNumberFormat="0" applyAlignment="0">
      <protection locked="0"/>
    </xf>
    <xf numFmtId="0" fontId="18" fillId="57" borderId="185" applyNumberFormat="0" applyAlignment="0">
      <protection locked="0"/>
    </xf>
    <xf numFmtId="0" fontId="18" fillId="57" borderId="185" applyNumberFormat="0" applyAlignment="0">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0" borderId="186" applyNumberFormat="0" applyAlignment="0">
      <alignment vertical="center"/>
      <protection locked="0"/>
    </xf>
    <xf numFmtId="0" fontId="18" fillId="59" borderId="185" applyNumberFormat="0" applyAlignment="0">
      <protection locked="0"/>
    </xf>
    <xf numFmtId="0" fontId="18" fillId="59" borderId="185" applyNumberFormat="0" applyAlignment="0">
      <protection locked="0"/>
    </xf>
    <xf numFmtId="0" fontId="18" fillId="59" borderId="185" applyNumberFormat="0" applyAlignment="0">
      <protection locked="0"/>
    </xf>
    <xf numFmtId="267" fontId="18" fillId="36" borderId="183">
      <alignment vertical="top"/>
      <protection locked="0"/>
    </xf>
    <xf numFmtId="267" fontId="18" fillId="36" borderId="183">
      <alignment vertical="top"/>
      <protection locked="0"/>
    </xf>
    <xf numFmtId="267" fontId="18" fillId="36" borderId="183">
      <alignment vertical="top"/>
      <protection locked="0"/>
    </xf>
    <xf numFmtId="267" fontId="18" fillId="36" borderId="183">
      <alignment vertical="top"/>
      <protection locked="0"/>
    </xf>
    <xf numFmtId="268" fontId="18" fillId="36" borderId="183">
      <alignment vertical="top"/>
      <protection locked="0"/>
    </xf>
    <xf numFmtId="268" fontId="18" fillId="36" borderId="183">
      <alignment vertical="top"/>
      <protection locked="0"/>
    </xf>
    <xf numFmtId="268" fontId="18" fillId="36" borderId="183">
      <alignment vertical="top"/>
      <protection locked="0"/>
    </xf>
    <xf numFmtId="269" fontId="18" fillId="36" borderId="183">
      <alignment vertical="top"/>
      <protection locked="0"/>
    </xf>
    <xf numFmtId="269" fontId="18" fillId="36" borderId="183">
      <alignment vertical="top"/>
      <protection locked="0"/>
    </xf>
    <xf numFmtId="269" fontId="18" fillId="36" borderId="183">
      <alignment vertical="top"/>
      <protection locked="0"/>
    </xf>
    <xf numFmtId="270" fontId="18" fillId="36" borderId="183">
      <alignment vertical="top"/>
      <protection locked="0"/>
    </xf>
    <xf numFmtId="270" fontId="18" fillId="36" borderId="183">
      <alignment vertical="top"/>
      <protection locked="0"/>
    </xf>
    <xf numFmtId="270" fontId="18" fillId="36" borderId="183">
      <alignment vertical="top"/>
      <protection locked="0"/>
    </xf>
    <xf numFmtId="270" fontId="18" fillId="36" borderId="183">
      <alignment vertical="top"/>
      <protection locked="0"/>
    </xf>
    <xf numFmtId="271" fontId="18" fillId="36" borderId="183">
      <alignment vertical="top"/>
      <protection locked="0"/>
    </xf>
    <xf numFmtId="271" fontId="18" fillId="36" borderId="183">
      <alignment vertical="top"/>
      <protection locked="0"/>
    </xf>
    <xf numFmtId="271" fontId="18" fillId="36" borderId="183">
      <alignment vertical="top"/>
      <protection locked="0"/>
    </xf>
    <xf numFmtId="271" fontId="18" fillId="36" borderId="183">
      <alignment vertical="top"/>
      <protection locked="0"/>
    </xf>
    <xf numFmtId="275" fontId="18" fillId="36" borderId="183">
      <alignment vertical="top"/>
      <protection locked="0"/>
    </xf>
    <xf numFmtId="275" fontId="18" fillId="36" borderId="183">
      <alignment vertical="top"/>
      <protection locked="0"/>
    </xf>
    <xf numFmtId="275" fontId="18" fillId="36" borderId="183">
      <alignment vertical="top"/>
      <protection locked="0"/>
    </xf>
    <xf numFmtId="275" fontId="18" fillId="36" borderId="183">
      <alignment vertical="top"/>
      <protection locked="0"/>
    </xf>
    <xf numFmtId="276" fontId="18" fillId="36" borderId="183">
      <alignment vertical="top"/>
      <protection locked="0"/>
    </xf>
    <xf numFmtId="276" fontId="18" fillId="36" borderId="183">
      <alignment vertical="top"/>
      <protection locked="0"/>
    </xf>
    <xf numFmtId="276" fontId="18" fillId="36" borderId="183">
      <alignment vertical="top"/>
      <protection locked="0"/>
    </xf>
    <xf numFmtId="276" fontId="18" fillId="36" borderId="183">
      <alignment vertical="top"/>
      <protection locked="0"/>
    </xf>
    <xf numFmtId="0" fontId="18" fillId="61" borderId="187">
      <alignment horizontal="left" vertical="center" wrapText="1"/>
    </xf>
    <xf numFmtId="0" fontId="18" fillId="61" borderId="187">
      <alignment horizontal="left" vertical="center" wrapText="1"/>
    </xf>
    <xf numFmtId="0" fontId="18" fillId="61" borderId="187">
      <alignment horizontal="left" vertical="center" wrapText="1"/>
    </xf>
    <xf numFmtId="0" fontId="18" fillId="61" borderId="187">
      <alignment horizontal="left" vertical="center" wrapText="1"/>
    </xf>
    <xf numFmtId="0" fontId="18" fillId="36" borderId="183">
      <alignment vertical="top"/>
    </xf>
    <xf numFmtId="0" fontId="18" fillId="36" borderId="183">
      <alignment vertical="top"/>
    </xf>
    <xf numFmtId="0" fontId="18" fillId="36" borderId="183">
      <alignment vertical="top"/>
    </xf>
    <xf numFmtId="0" fontId="18" fillId="36" borderId="183">
      <alignment vertical="top"/>
    </xf>
    <xf numFmtId="0" fontId="18" fillId="36" borderId="183">
      <alignment vertical="top" wrapText="1"/>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wrapText="1"/>
      <protection locked="0"/>
    </xf>
    <xf numFmtId="0" fontId="18" fillId="36" borderId="183">
      <alignment vertical="top"/>
      <protection locked="0"/>
    </xf>
    <xf numFmtId="0" fontId="18" fillId="36" borderId="183">
      <alignment vertical="top"/>
      <protection locked="0"/>
    </xf>
    <xf numFmtId="0" fontId="18" fillId="36" borderId="183">
      <alignment vertical="top"/>
      <protection locked="0"/>
    </xf>
    <xf numFmtId="299" fontId="18" fillId="48" borderId="178"/>
    <xf numFmtId="299" fontId="18" fillId="48" borderId="178"/>
    <xf numFmtId="0" fontId="18" fillId="0" borderId="178" applyNumberFormat="0" applyFont="0" applyBorder="0" applyAlignment="0" applyProtection="0">
      <alignment horizontal="center"/>
    </xf>
    <xf numFmtId="0" fontId="18" fillId="0" borderId="178" applyNumberFormat="0" applyFont="0" applyBorder="0" applyAlignment="0" applyProtection="0">
      <alignment horizontal="center"/>
    </xf>
    <xf numFmtId="319" fontId="18" fillId="0" borderId="181"/>
    <xf numFmtId="177" fontId="18" fillId="36" borderId="178"/>
    <xf numFmtId="177" fontId="18" fillId="36" borderId="178"/>
    <xf numFmtId="0" fontId="18" fillId="37" borderId="178">
      <alignment horizontal="right"/>
      <protection locked="0"/>
    </xf>
    <xf numFmtId="0" fontId="18" fillId="37" borderId="178">
      <alignment horizontal="right"/>
      <protection locked="0"/>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vertical="center"/>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9"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36" borderId="188" applyNumberFormat="0" applyProtection="0">
      <alignment horizontal="left" vertical="center" indent="1"/>
    </xf>
    <xf numFmtId="4" fontId="18" fillId="64" borderId="189" applyNumberFormat="0" applyProtection="0">
      <alignment horizontal="right" vertical="center"/>
    </xf>
    <xf numFmtId="4" fontId="18" fillId="64" borderId="189" applyNumberFormat="0" applyProtection="0">
      <alignment horizontal="right" vertical="center"/>
    </xf>
    <xf numFmtId="4" fontId="18" fillId="64" borderId="189" applyNumberFormat="0" applyProtection="0">
      <alignment horizontal="right" vertical="center"/>
    </xf>
    <xf numFmtId="4" fontId="18" fillId="64"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65"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46"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55" borderId="189" applyNumberFormat="0" applyProtection="0">
      <alignment horizontal="right" vertical="center"/>
    </xf>
    <xf numFmtId="4" fontId="18" fillId="66" borderId="189" applyNumberFormat="0" applyProtection="0">
      <alignment horizontal="right" vertical="center"/>
    </xf>
    <xf numFmtId="4" fontId="18" fillId="66"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7"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8"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69"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70"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4" fontId="18" fillId="44" borderId="189" applyNumberFormat="0" applyProtection="0">
      <alignment horizontal="right" vertical="center"/>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72" borderId="188" applyNumberFormat="0" applyProtection="0">
      <alignment horizontal="left" vertical="center" indent="1"/>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38"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0" fontId="18" fillId="52" borderId="178">
      <alignment horizontal="center" vertical="center" wrapText="1"/>
      <protection hidden="1"/>
    </xf>
    <xf numFmtId="179" fontId="18" fillId="0" borderId="178" applyBorder="0"/>
    <xf numFmtId="179" fontId="18" fillId="0" borderId="178" applyBorder="0"/>
    <xf numFmtId="0" fontId="18" fillId="75" borderId="191">
      <alignment horizontal="center" wrapText="1"/>
    </xf>
    <xf numFmtId="0" fontId="18" fillId="55" borderId="178"/>
    <xf numFmtId="0" fontId="18" fillId="55" borderId="178"/>
    <xf numFmtId="334" fontId="18" fillId="0" borderId="192"/>
    <xf numFmtId="4" fontId="18" fillId="51" borderId="189" applyNumberFormat="0" applyProtection="0">
      <alignment horizontal="right" vertical="center"/>
    </xf>
    <xf numFmtId="0" fontId="18" fillId="36" borderId="183">
      <alignment vertical="top"/>
      <protection locked="0"/>
    </xf>
    <xf numFmtId="269" fontId="18" fillId="36" borderId="183">
      <alignment vertical="top"/>
      <protection locked="0"/>
    </xf>
    <xf numFmtId="0" fontId="18" fillId="52" borderId="178">
      <alignment horizontal="center" vertical="center" wrapText="1"/>
      <protection hidden="1"/>
    </xf>
    <xf numFmtId="268" fontId="18" fillId="36" borderId="183">
      <alignment vertical="top"/>
      <protection locked="0"/>
    </xf>
    <xf numFmtId="4" fontId="18" fillId="62" borderId="190" applyNumberFormat="0" applyProtection="0">
      <alignment horizontal="left" vertical="center" indent="1"/>
    </xf>
    <xf numFmtId="3" fontId="18" fillId="46" borderId="178"/>
    <xf numFmtId="251" fontId="18" fillId="36" borderId="183">
      <alignment vertical="top"/>
      <protection locked="0"/>
    </xf>
    <xf numFmtId="0" fontId="18" fillId="0" borderId="178">
      <alignment horizontal="right"/>
    </xf>
    <xf numFmtId="4" fontId="18" fillId="36" borderId="189" applyNumberFormat="0" applyProtection="0">
      <alignment horizontal="left" vertical="center" indent="1"/>
    </xf>
    <xf numFmtId="4" fontId="18" fillId="36" borderId="188" applyNumberFormat="0" applyProtection="0">
      <alignment horizontal="left" vertical="center" indent="1"/>
    </xf>
    <xf numFmtId="4" fontId="18" fillId="66" borderId="189" applyNumberFormat="0" applyProtection="0">
      <alignment horizontal="right" vertical="center"/>
    </xf>
    <xf numFmtId="4" fontId="18" fillId="66" borderId="189" applyNumberFormat="0" applyProtection="0">
      <alignment horizontal="right" vertical="center"/>
    </xf>
    <xf numFmtId="37" fontId="18" fillId="49" borderId="193" applyNumberFormat="0" applyBorder="0">
      <alignment horizontal="center"/>
    </xf>
    <xf numFmtId="37" fontId="18" fillId="49" borderId="193" applyNumberFormat="0" applyBorder="0">
      <alignment horizontal="center"/>
    </xf>
    <xf numFmtId="37" fontId="18" fillId="49" borderId="193" applyNumberFormat="0" applyBorder="0">
      <alignment horizontal="center"/>
    </xf>
    <xf numFmtId="37" fontId="18" fillId="49" borderId="193" applyNumberFormat="0" applyBorder="0">
      <alignment horizontal="center"/>
    </xf>
    <xf numFmtId="177" fontId="18" fillId="0" borderId="192"/>
    <xf numFmtId="0" fontId="18" fillId="40" borderId="178"/>
    <xf numFmtId="0" fontId="18" fillId="40" borderId="178"/>
    <xf numFmtId="1" fontId="18" fillId="36" borderId="178" applyNumberFormat="0" applyFont="0" applyBorder="0" applyAlignment="0">
      <alignment horizontal="center" vertical="center" wrapText="1"/>
    </xf>
    <xf numFmtId="1" fontId="18" fillId="36" borderId="178" applyNumberFormat="0" applyFont="0" applyBorder="0" applyAlignment="0">
      <alignment horizontal="center" vertical="center"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vertical="top" wrapText="1"/>
    </xf>
    <xf numFmtId="0" fontId="18" fillId="67" borderId="183">
      <alignment vertical="top" wrapText="1"/>
    </xf>
    <xf numFmtId="0" fontId="18" fillId="67" borderId="183">
      <alignment vertical="top" wrapText="1"/>
    </xf>
    <xf numFmtId="0" fontId="18" fillId="67" borderId="183">
      <alignment vertical="top" wrapText="1"/>
    </xf>
    <xf numFmtId="17" fontId="18" fillId="67" borderId="183">
      <alignment horizontal="center" vertical="top"/>
    </xf>
    <xf numFmtId="17" fontId="18" fillId="67" borderId="183">
      <alignment horizontal="center" vertical="top"/>
    </xf>
    <xf numFmtId="17" fontId="18" fillId="67" borderId="183">
      <alignment horizontal="center" vertical="top"/>
    </xf>
    <xf numFmtId="17" fontId="18" fillId="67" borderId="183">
      <alignment horizontal="center" vertical="top"/>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textRotation="90"/>
    </xf>
    <xf numFmtId="0" fontId="18" fillId="67" borderId="183">
      <alignment horizontal="center" textRotation="90"/>
    </xf>
    <xf numFmtId="0" fontId="18" fillId="67" borderId="183">
      <alignment horizontal="center" textRotation="90"/>
    </xf>
    <xf numFmtId="0" fontId="18" fillId="67" borderId="183">
      <alignment horizontal="center" textRotation="90"/>
    </xf>
    <xf numFmtId="338" fontId="18" fillId="67" borderId="183">
      <alignment horizontal="center" vertical="top"/>
    </xf>
    <xf numFmtId="338" fontId="18" fillId="67" borderId="183">
      <alignment horizontal="center" vertical="top"/>
    </xf>
    <xf numFmtId="338" fontId="18" fillId="67" borderId="183">
      <alignment horizontal="center" vertical="top"/>
    </xf>
    <xf numFmtId="338" fontId="18" fillId="67" borderId="183">
      <alignment horizontal="center" vertical="top"/>
    </xf>
    <xf numFmtId="0" fontId="18" fillId="64" borderId="178" applyNumberFormat="0" applyFont="0" applyBorder="0" applyAlignment="0" applyProtection="0">
      <alignment horizontal="center"/>
    </xf>
    <xf numFmtId="0" fontId="18" fillId="64" borderId="178" applyNumberFormat="0" applyFont="0" applyBorder="0" applyAlignment="0" applyProtection="0">
      <alignment horizontal="center"/>
    </xf>
    <xf numFmtId="277" fontId="18" fillId="0" borderId="181"/>
    <xf numFmtId="319" fontId="18" fillId="0" borderId="181"/>
    <xf numFmtId="0" fontId="18" fillId="75" borderId="191">
      <alignment horizontal="center" wrapText="1"/>
    </xf>
    <xf numFmtId="334" fontId="18" fillId="0" borderId="192"/>
    <xf numFmtId="177" fontId="18" fillId="0" borderId="192"/>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37"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0" fontId="18" fillId="48" borderId="188" applyNumberFormat="0" applyProtection="0">
      <alignment horizontal="left" vertical="center" indent="1"/>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51" borderId="189" applyNumberFormat="0" applyProtection="0">
      <alignment vertical="center"/>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44" borderId="190"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35" borderId="188" applyNumberFormat="0" applyProtection="0">
      <alignment horizontal="left" vertical="center" indent="1"/>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44" borderId="189"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62" borderId="190" applyNumberFormat="0" applyProtection="0">
      <alignment horizontal="left" vertical="center" indent="1"/>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4" fontId="18" fillId="51" borderId="189" applyNumberFormat="0" applyProtection="0">
      <alignment horizontal="right" vertical="center"/>
    </xf>
    <xf numFmtId="0" fontId="18" fillId="75" borderId="191">
      <alignment horizontal="center" wrapText="1"/>
    </xf>
    <xf numFmtId="334" fontId="18" fillId="0" borderId="192"/>
    <xf numFmtId="37" fontId="18" fillId="49" borderId="193" applyNumberFormat="0" applyBorder="0">
      <alignment horizontal="center"/>
    </xf>
    <xf numFmtId="37" fontId="18" fillId="49" borderId="193" applyNumberFormat="0" applyBorder="0">
      <alignment horizontal="center"/>
    </xf>
    <xf numFmtId="37" fontId="18" fillId="49" borderId="193" applyNumberFormat="0" applyBorder="0">
      <alignment horizontal="center"/>
    </xf>
    <xf numFmtId="37" fontId="18" fillId="49" borderId="193" applyNumberFormat="0" applyBorder="0">
      <alignment horizontal="center"/>
    </xf>
    <xf numFmtId="177" fontId="18" fillId="0" borderId="192"/>
    <xf numFmtId="0" fontId="18" fillId="67" borderId="183">
      <alignment horizontal="center" vertical="top"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wrapText="1"/>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vertical="top" wrapText="1"/>
    </xf>
    <xf numFmtId="0" fontId="18" fillId="67" borderId="183">
      <alignment vertical="top" wrapText="1"/>
    </xf>
    <xf numFmtId="0" fontId="18" fillId="67" borderId="183">
      <alignment vertical="top" wrapText="1"/>
    </xf>
    <xf numFmtId="0" fontId="18" fillId="67" borderId="183">
      <alignment vertical="top" wrapText="1"/>
    </xf>
    <xf numFmtId="17" fontId="18" fillId="67" borderId="183">
      <alignment horizontal="center" vertical="top"/>
    </xf>
    <xf numFmtId="17" fontId="18" fillId="67" borderId="183">
      <alignment horizontal="center" vertical="top"/>
    </xf>
    <xf numFmtId="17" fontId="18" fillId="67" borderId="183">
      <alignment horizontal="center" vertical="top"/>
    </xf>
    <xf numFmtId="17" fontId="18" fillId="67" borderId="183">
      <alignment horizontal="center" vertical="top"/>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Continuous" vertical="top" wrapText="1"/>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vertical="top"/>
    </xf>
    <xf numFmtId="0" fontId="18" fillId="67" borderId="183">
      <alignment horizontal="center" textRotation="90"/>
    </xf>
    <xf numFmtId="0" fontId="18" fillId="67" borderId="183">
      <alignment horizontal="center" textRotation="90"/>
    </xf>
    <xf numFmtId="0" fontId="18" fillId="67" borderId="183">
      <alignment horizontal="center" textRotation="90"/>
    </xf>
    <xf numFmtId="0" fontId="18" fillId="67" borderId="183">
      <alignment horizontal="center" textRotation="90"/>
    </xf>
    <xf numFmtId="338" fontId="18" fillId="67" borderId="183">
      <alignment horizontal="center" vertical="top"/>
    </xf>
    <xf numFmtId="338" fontId="18" fillId="67" borderId="183">
      <alignment horizontal="center" vertical="top"/>
    </xf>
    <xf numFmtId="338" fontId="18" fillId="67" borderId="183">
      <alignment horizontal="center" vertical="top"/>
    </xf>
    <xf numFmtId="338" fontId="18" fillId="67" borderId="183">
      <alignment horizontal="center" vertical="top"/>
    </xf>
    <xf numFmtId="0" fontId="18" fillId="59" borderId="201" applyNumberFormat="0" applyAlignment="0">
      <protection locked="0"/>
    </xf>
    <xf numFmtId="277" fontId="18" fillId="0" borderId="181"/>
    <xf numFmtId="319" fontId="18" fillId="0" borderId="181"/>
    <xf numFmtId="0" fontId="18" fillId="75" borderId="191">
      <alignment horizontal="center" wrapText="1"/>
    </xf>
    <xf numFmtId="334" fontId="18" fillId="0" borderId="192"/>
    <xf numFmtId="177" fontId="18" fillId="0" borderId="192"/>
    <xf numFmtId="3" fontId="18" fillId="46" borderId="194"/>
    <xf numFmtId="179" fontId="18" fillId="0" borderId="194"/>
    <xf numFmtId="0" fontId="18" fillId="36" borderId="194">
      <alignment horizontal="right"/>
    </xf>
    <xf numFmtId="0" fontId="18" fillId="0" borderId="194" applyNumberFormat="0" applyFont="0" applyFill="0" applyBorder="0" applyAlignment="0">
      <alignment horizontal="center"/>
    </xf>
    <xf numFmtId="0" fontId="18" fillId="0" borderId="194" applyNumberFormat="0" applyFont="0" applyFill="0" applyBorder="0" applyAlignment="0">
      <alignment horizontal="center"/>
    </xf>
    <xf numFmtId="0" fontId="18" fillId="37" borderId="195" applyNumberFormat="0" applyFill="0" applyBorder="0" applyAlignment="0" applyProtection="0">
      <alignment horizontal="left" vertical="center" wrapText="1"/>
    </xf>
    <xf numFmtId="0" fontId="18" fillId="0" borderId="196" applyNumberFormat="0" applyFill="0"/>
    <xf numFmtId="0" fontId="18" fillId="0" borderId="196" applyNumberFormat="0" applyFill="0"/>
    <xf numFmtId="0" fontId="18" fillId="0" borderId="196" applyNumberFormat="0" applyFill="0"/>
    <xf numFmtId="0" fontId="18" fillId="0" borderId="196" applyNumberFormat="0" applyFill="0"/>
    <xf numFmtId="0" fontId="18" fillId="0" borderId="194" applyNumberFormat="0">
      <alignment horizontal="center" vertical="center"/>
    </xf>
    <xf numFmtId="0" fontId="18" fillId="0" borderId="194" applyNumberFormat="0">
      <alignment horizontal="center" vertical="center"/>
    </xf>
    <xf numFmtId="277" fontId="18" fillId="0" borderId="197"/>
    <xf numFmtId="0" fontId="18" fillId="0" borderId="198">
      <protection locked="0"/>
    </xf>
    <xf numFmtId="0" fontId="18" fillId="0" borderId="198">
      <protection locked="0"/>
    </xf>
    <xf numFmtId="0" fontId="18" fillId="0" borderId="198">
      <protection locked="0"/>
    </xf>
    <xf numFmtId="0" fontId="18" fillId="0" borderId="198">
      <protection locked="0"/>
    </xf>
    <xf numFmtId="0" fontId="18" fillId="36" borderId="194">
      <alignment horizontal="right"/>
    </xf>
    <xf numFmtId="179" fontId="18" fillId="0" borderId="194"/>
    <xf numFmtId="0" fontId="18" fillId="0" borderId="194"/>
    <xf numFmtId="0" fontId="18" fillId="0" borderId="194"/>
    <xf numFmtId="3" fontId="18" fillId="35" borderId="194"/>
    <xf numFmtId="3" fontId="18" fillId="35" borderId="194"/>
    <xf numFmtId="288" fontId="18" fillId="55" borderId="194" applyNumberFormat="0" applyFont="0" applyBorder="0" applyAlignment="0" applyProtection="0"/>
    <xf numFmtId="288" fontId="18" fillId="55" borderId="194" applyNumberFormat="0" applyFont="0" applyBorder="0" applyAlignment="0" applyProtection="0"/>
    <xf numFmtId="0" fontId="18" fillId="54" borderId="194" applyNumberFormat="0" applyFont="0" applyBorder="0" applyAlignment="0" applyProtection="0"/>
    <xf numFmtId="0" fontId="18" fillId="54" borderId="194" applyNumberFormat="0" applyFont="0" applyBorder="0" applyAlignment="0" applyProtection="0"/>
    <xf numFmtId="0" fontId="18" fillId="36" borderId="199">
      <alignment vertical="top"/>
      <protection locked="0"/>
    </xf>
    <xf numFmtId="0" fontId="18" fillId="36" borderId="199">
      <alignment vertical="top"/>
      <protection locked="0"/>
    </xf>
    <xf numFmtId="0" fontId="18" fillId="36" borderId="199">
      <alignment vertical="top"/>
      <protection locked="0"/>
    </xf>
    <xf numFmtId="0" fontId="18" fillId="36" borderId="199">
      <alignment vertical="top"/>
      <protection locked="0"/>
    </xf>
    <xf numFmtId="245" fontId="18" fillId="36" borderId="199">
      <alignment vertical="top"/>
      <protection locked="0"/>
    </xf>
    <xf numFmtId="245" fontId="18" fillId="36" borderId="199">
      <alignment vertical="top"/>
      <protection locked="0"/>
    </xf>
    <xf numFmtId="245" fontId="18" fillId="36" borderId="199">
      <alignment vertical="top"/>
      <protection locked="0"/>
    </xf>
    <xf numFmtId="245" fontId="18" fillId="36" borderId="199">
      <alignment vertical="top"/>
      <protection locked="0"/>
    </xf>
    <xf numFmtId="246" fontId="18" fillId="36" borderId="199">
      <alignment vertical="top"/>
      <protection locked="0"/>
    </xf>
    <xf numFmtId="246" fontId="18" fillId="36" borderId="199">
      <alignment vertical="top"/>
      <protection locked="0"/>
    </xf>
    <xf numFmtId="246" fontId="18" fillId="36" borderId="199">
      <alignment vertical="top"/>
      <protection locked="0"/>
    </xf>
    <xf numFmtId="246" fontId="18" fillId="36" borderId="199">
      <alignment vertical="top"/>
      <protection locked="0"/>
    </xf>
    <xf numFmtId="247" fontId="18" fillId="36" borderId="199">
      <alignment vertical="top"/>
      <protection locked="0"/>
    </xf>
    <xf numFmtId="247" fontId="18" fillId="36" borderId="199">
      <alignment vertical="top"/>
      <protection locked="0"/>
    </xf>
    <xf numFmtId="247" fontId="18" fillId="36" borderId="199">
      <alignment vertical="top"/>
      <protection locked="0"/>
    </xf>
    <xf numFmtId="247" fontId="18" fillId="36" borderId="199">
      <alignment vertical="top"/>
      <protection locked="0"/>
    </xf>
    <xf numFmtId="248" fontId="18" fillId="36" borderId="199">
      <alignment vertical="top"/>
      <protection locked="0"/>
    </xf>
    <xf numFmtId="248" fontId="18" fillId="36" borderId="199">
      <alignment vertical="top"/>
      <protection locked="0"/>
    </xf>
    <xf numFmtId="248" fontId="18" fillId="36" borderId="199">
      <alignment vertical="top"/>
      <protection locked="0"/>
    </xf>
    <xf numFmtId="248" fontId="18" fillId="36" borderId="199">
      <alignment vertical="top"/>
      <protection locked="0"/>
    </xf>
    <xf numFmtId="249" fontId="18" fillId="36" borderId="199">
      <alignment vertical="top"/>
      <protection locked="0"/>
    </xf>
    <xf numFmtId="249" fontId="18" fillId="36" borderId="199">
      <alignment vertical="top"/>
      <protection locked="0"/>
    </xf>
    <xf numFmtId="249" fontId="18" fillId="36" borderId="199">
      <alignment vertical="top"/>
      <protection locked="0"/>
    </xf>
    <xf numFmtId="249" fontId="18" fillId="36" borderId="199">
      <alignment vertical="top"/>
      <protection locked="0"/>
    </xf>
    <xf numFmtId="292" fontId="18" fillId="36" borderId="199">
      <alignment vertical="top"/>
      <protection locked="0"/>
    </xf>
    <xf numFmtId="292" fontId="18" fillId="36" borderId="199">
      <alignment vertical="top"/>
      <protection locked="0"/>
    </xf>
    <xf numFmtId="292" fontId="18" fillId="36" borderId="199">
      <alignment vertical="top"/>
      <protection locked="0"/>
    </xf>
    <xf numFmtId="292" fontId="18" fillId="36" borderId="199">
      <alignment vertical="top"/>
      <protection locked="0"/>
    </xf>
    <xf numFmtId="250" fontId="18" fillId="36" borderId="199">
      <alignment vertical="top"/>
      <protection locked="0"/>
    </xf>
    <xf numFmtId="250" fontId="18" fillId="36" borderId="199">
      <alignment vertical="top"/>
      <protection locked="0"/>
    </xf>
    <xf numFmtId="250" fontId="18" fillId="36" borderId="199">
      <alignment vertical="top"/>
      <protection locked="0"/>
    </xf>
    <xf numFmtId="250" fontId="18" fillId="36" borderId="199">
      <alignment vertical="top"/>
      <protection locked="0"/>
    </xf>
    <xf numFmtId="251" fontId="18" fillId="36" borderId="199">
      <alignment vertical="top"/>
      <protection locked="0"/>
    </xf>
    <xf numFmtId="251" fontId="18" fillId="36" borderId="199">
      <alignment vertical="top"/>
      <protection locked="0"/>
    </xf>
    <xf numFmtId="251" fontId="18" fillId="36" borderId="199">
      <alignment vertical="top"/>
      <protection locked="0"/>
    </xf>
    <xf numFmtId="17" fontId="18" fillId="36" borderId="199">
      <alignment vertical="top"/>
      <protection locked="0"/>
    </xf>
    <xf numFmtId="17" fontId="18" fillId="36" borderId="199">
      <alignment vertical="top"/>
      <protection locked="0"/>
    </xf>
    <xf numFmtId="17" fontId="18" fillId="36" borderId="199">
      <alignment vertical="top"/>
      <protection locked="0"/>
    </xf>
    <xf numFmtId="17" fontId="18" fillId="36" borderId="199">
      <alignment vertical="top"/>
      <protection locked="0"/>
    </xf>
    <xf numFmtId="20" fontId="18" fillId="36" borderId="199">
      <alignment vertical="top"/>
      <protection locked="0"/>
    </xf>
    <xf numFmtId="20" fontId="18" fillId="36" borderId="199">
      <alignment vertical="top"/>
      <protection locked="0"/>
    </xf>
    <xf numFmtId="20" fontId="18" fillId="36" borderId="199">
      <alignment vertical="top"/>
      <protection locked="0"/>
    </xf>
    <xf numFmtId="20" fontId="18" fillId="36" borderId="199">
      <alignment vertical="top"/>
      <protection locked="0"/>
    </xf>
    <xf numFmtId="179" fontId="18" fillId="0" borderId="194">
      <alignment horizontal="right"/>
    </xf>
    <xf numFmtId="179" fontId="18" fillId="0" borderId="194">
      <alignment horizontal="right"/>
    </xf>
    <xf numFmtId="0" fontId="18" fillId="0" borderId="194"/>
    <xf numFmtId="0" fontId="18" fillId="0" borderId="194"/>
    <xf numFmtId="0" fontId="18" fillId="0" borderId="194">
      <alignment horizontal="right"/>
    </xf>
    <xf numFmtId="0" fontId="18" fillId="0" borderId="194">
      <alignment horizontal="right"/>
    </xf>
    <xf numFmtId="0" fontId="18" fillId="0" borderId="194">
      <alignment horizontal="right"/>
    </xf>
    <xf numFmtId="0" fontId="18" fillId="0" borderId="194">
      <alignment horizontal="right"/>
    </xf>
    <xf numFmtId="0" fontId="18" fillId="0" borderId="194">
      <alignment horizontal="right"/>
    </xf>
    <xf numFmtId="0" fontId="18" fillId="0" borderId="194">
      <alignment horizontal="right"/>
    </xf>
    <xf numFmtId="0" fontId="18" fillId="0" borderId="194">
      <alignment horizontal="right"/>
    </xf>
    <xf numFmtId="0" fontId="18" fillId="0" borderId="194">
      <alignment horizontal="right"/>
    </xf>
    <xf numFmtId="0" fontId="18" fillId="0" borderId="194">
      <alignment horizontal="right"/>
    </xf>
    <xf numFmtId="9" fontId="18" fillId="0" borderId="194"/>
    <xf numFmtId="9" fontId="18" fillId="0" borderId="194"/>
    <xf numFmtId="3" fontId="18" fillId="0" borderId="194"/>
    <xf numFmtId="3" fontId="18" fillId="0" borderId="194"/>
    <xf numFmtId="10" fontId="18" fillId="0" borderId="194"/>
    <xf numFmtId="10" fontId="18" fillId="0" borderId="194"/>
    <xf numFmtId="3" fontId="18" fillId="0" borderId="194"/>
    <xf numFmtId="3" fontId="18" fillId="0" borderId="194"/>
    <xf numFmtId="4" fontId="18" fillId="0" borderId="194"/>
    <xf numFmtId="4" fontId="18" fillId="0" borderId="194"/>
    <xf numFmtId="10" fontId="18" fillId="35" borderId="194" applyNumberFormat="0" applyBorder="0" applyAlignment="0" applyProtection="0"/>
    <xf numFmtId="10" fontId="18" fillId="35" borderId="194" applyNumberFormat="0" applyBorder="0" applyAlignment="0" applyProtection="0"/>
    <xf numFmtId="0" fontId="18" fillId="0" borderId="200" applyNumberFormat="0" applyAlignment="0">
      <alignment vertical="center"/>
      <protection locked="0"/>
    </xf>
    <xf numFmtId="0" fontId="18" fillId="0" borderId="200" applyNumberFormat="0" applyAlignment="0">
      <alignment vertical="center"/>
      <protection locked="0"/>
    </xf>
    <xf numFmtId="0" fontId="18" fillId="0" borderId="200" applyNumberFormat="0" applyAlignment="0">
      <alignment vertical="center"/>
      <protection locked="0"/>
    </xf>
    <xf numFmtId="0" fontId="18" fillId="0" borderId="200" applyNumberFormat="0" applyAlignment="0">
      <alignment vertical="center"/>
      <protection locked="0"/>
    </xf>
    <xf numFmtId="294" fontId="18" fillId="56" borderId="200" applyNumberFormat="0" applyAlignment="0">
      <alignment vertical="center"/>
      <protection locked="0"/>
    </xf>
    <xf numFmtId="294" fontId="18" fillId="56" borderId="200" applyNumberFormat="0" applyAlignment="0">
      <alignment vertical="center"/>
      <protection locked="0"/>
    </xf>
    <xf numFmtId="294" fontId="18" fillId="56" borderId="200" applyNumberFormat="0" applyAlignment="0">
      <alignment vertical="center"/>
      <protection locked="0"/>
    </xf>
    <xf numFmtId="294" fontId="18" fillId="56" borderId="200" applyNumberFormat="0" applyAlignment="0">
      <alignment vertical="center"/>
      <protection locked="0"/>
    </xf>
    <xf numFmtId="0" fontId="18" fillId="57" borderId="201" applyNumberFormat="0" applyAlignment="0">
      <protection locked="0"/>
    </xf>
    <xf numFmtId="0" fontId="18" fillId="57" borderId="201" applyNumberFormat="0" applyAlignment="0">
      <protection locked="0"/>
    </xf>
    <xf numFmtId="0" fontId="18" fillId="57" borderId="201" applyNumberFormat="0" applyAlignment="0">
      <protection locked="0"/>
    </xf>
    <xf numFmtId="0" fontId="18" fillId="57" borderId="201" applyNumberFormat="0" applyAlignment="0">
      <protection locked="0"/>
    </xf>
    <xf numFmtId="0" fontId="18" fillId="0" borderId="202" applyNumberFormat="0" applyAlignment="0">
      <alignment vertical="center"/>
      <protection locked="0"/>
    </xf>
    <xf numFmtId="0" fontId="18" fillId="0" borderId="202" applyNumberFormat="0" applyAlignment="0">
      <alignment vertical="center"/>
      <protection locked="0"/>
    </xf>
    <xf numFmtId="0" fontId="18" fillId="0" borderId="202" applyNumberFormat="0" applyAlignment="0">
      <alignment vertical="center"/>
      <protection locked="0"/>
    </xf>
    <xf numFmtId="0" fontId="18" fillId="0" borderId="202" applyNumberFormat="0" applyAlignment="0">
      <alignment vertical="center"/>
      <protection locked="0"/>
    </xf>
    <xf numFmtId="0" fontId="18" fillId="59" borderId="201" applyNumberFormat="0" applyAlignment="0">
      <protection locked="0"/>
    </xf>
    <xf numFmtId="0" fontId="18" fillId="59" borderId="201" applyNumberFormat="0" applyAlignment="0">
      <protection locked="0"/>
    </xf>
    <xf numFmtId="0" fontId="18" fillId="59" borderId="201" applyNumberFormat="0" applyAlignment="0">
      <protection locked="0"/>
    </xf>
    <xf numFmtId="267" fontId="18" fillId="36" borderId="199">
      <alignment vertical="top"/>
      <protection locked="0"/>
    </xf>
    <xf numFmtId="267" fontId="18" fillId="36" borderId="199">
      <alignment vertical="top"/>
      <protection locked="0"/>
    </xf>
    <xf numFmtId="267" fontId="18" fillId="36" borderId="199">
      <alignment vertical="top"/>
      <protection locked="0"/>
    </xf>
    <xf numFmtId="267" fontId="18" fillId="36" borderId="199">
      <alignment vertical="top"/>
      <protection locked="0"/>
    </xf>
    <xf numFmtId="268" fontId="18" fillId="36" borderId="199">
      <alignment vertical="top"/>
      <protection locked="0"/>
    </xf>
    <xf numFmtId="268" fontId="18" fillId="36" borderId="199">
      <alignment vertical="top"/>
      <protection locked="0"/>
    </xf>
    <xf numFmtId="268" fontId="18" fillId="36" borderId="199">
      <alignment vertical="top"/>
      <protection locked="0"/>
    </xf>
    <xf numFmtId="269" fontId="18" fillId="36" borderId="199">
      <alignment vertical="top"/>
      <protection locked="0"/>
    </xf>
    <xf numFmtId="269" fontId="18" fillId="36" borderId="199">
      <alignment vertical="top"/>
      <protection locked="0"/>
    </xf>
    <xf numFmtId="269" fontId="18" fillId="36" borderId="199">
      <alignment vertical="top"/>
      <protection locked="0"/>
    </xf>
    <xf numFmtId="270" fontId="18" fillId="36" borderId="199">
      <alignment vertical="top"/>
      <protection locked="0"/>
    </xf>
    <xf numFmtId="270" fontId="18" fillId="36" borderId="199">
      <alignment vertical="top"/>
      <protection locked="0"/>
    </xf>
    <xf numFmtId="270" fontId="18" fillId="36" borderId="199">
      <alignment vertical="top"/>
      <protection locked="0"/>
    </xf>
    <xf numFmtId="270" fontId="18" fillId="36" borderId="199">
      <alignment vertical="top"/>
      <protection locked="0"/>
    </xf>
    <xf numFmtId="271" fontId="18" fillId="36" borderId="199">
      <alignment vertical="top"/>
      <protection locked="0"/>
    </xf>
    <xf numFmtId="271" fontId="18" fillId="36" borderId="199">
      <alignment vertical="top"/>
      <protection locked="0"/>
    </xf>
    <xf numFmtId="271" fontId="18" fillId="36" borderId="199">
      <alignment vertical="top"/>
      <protection locked="0"/>
    </xf>
    <xf numFmtId="271" fontId="18" fillId="36" borderId="199">
      <alignment vertical="top"/>
      <protection locked="0"/>
    </xf>
    <xf numFmtId="275" fontId="18" fillId="36" borderId="199">
      <alignment vertical="top"/>
      <protection locked="0"/>
    </xf>
    <xf numFmtId="275" fontId="18" fillId="36" borderId="199">
      <alignment vertical="top"/>
      <protection locked="0"/>
    </xf>
    <xf numFmtId="275" fontId="18" fillId="36" borderId="199">
      <alignment vertical="top"/>
      <protection locked="0"/>
    </xf>
    <xf numFmtId="275" fontId="18" fillId="36" borderId="199">
      <alignment vertical="top"/>
      <protection locked="0"/>
    </xf>
    <xf numFmtId="276" fontId="18" fillId="36" borderId="199">
      <alignment vertical="top"/>
      <protection locked="0"/>
    </xf>
    <xf numFmtId="276" fontId="18" fillId="36" borderId="199">
      <alignment vertical="top"/>
      <protection locked="0"/>
    </xf>
    <xf numFmtId="276" fontId="18" fillId="36" borderId="199">
      <alignment vertical="top"/>
      <protection locked="0"/>
    </xf>
    <xf numFmtId="276" fontId="18" fillId="36" borderId="199">
      <alignment vertical="top"/>
      <protection locked="0"/>
    </xf>
    <xf numFmtId="0" fontId="18" fillId="61" borderId="203">
      <alignment horizontal="left" vertical="center" wrapText="1"/>
    </xf>
    <xf numFmtId="0" fontId="18" fillId="61" borderId="203">
      <alignment horizontal="left" vertical="center" wrapText="1"/>
    </xf>
    <xf numFmtId="0" fontId="18" fillId="61" borderId="203">
      <alignment horizontal="left" vertical="center" wrapText="1"/>
    </xf>
    <xf numFmtId="0" fontId="18" fillId="61" borderId="203">
      <alignment horizontal="left" vertical="center" wrapText="1"/>
    </xf>
    <xf numFmtId="0" fontId="18" fillId="36" borderId="199">
      <alignment vertical="top"/>
    </xf>
    <xf numFmtId="0" fontId="18" fillId="36" borderId="199">
      <alignment vertical="top"/>
    </xf>
    <xf numFmtId="0" fontId="18" fillId="36" borderId="199">
      <alignment vertical="top"/>
    </xf>
    <xf numFmtId="0" fontId="18" fillId="36" borderId="199">
      <alignment vertical="top"/>
    </xf>
    <xf numFmtId="0" fontId="18" fillId="36" borderId="199">
      <alignment vertical="top" wrapText="1"/>
      <protection locked="0"/>
    </xf>
    <xf numFmtId="0" fontId="18" fillId="36" borderId="199">
      <alignment vertical="top" wrapText="1"/>
      <protection locked="0"/>
    </xf>
    <xf numFmtId="0" fontId="18" fillId="36" borderId="199">
      <alignment vertical="top" wrapText="1"/>
      <protection locked="0"/>
    </xf>
    <xf numFmtId="0" fontId="18" fillId="36" borderId="199">
      <alignment vertical="top" wrapText="1"/>
      <protection locked="0"/>
    </xf>
    <xf numFmtId="0" fontId="18" fillId="36" borderId="199">
      <alignment vertical="top"/>
      <protection locked="0"/>
    </xf>
    <xf numFmtId="0" fontId="18" fillId="36" borderId="199">
      <alignment vertical="top"/>
      <protection locked="0"/>
    </xf>
    <xf numFmtId="0" fontId="18" fillId="36" borderId="199">
      <alignment vertical="top"/>
      <protection locked="0"/>
    </xf>
    <xf numFmtId="299" fontId="18" fillId="48" borderId="194"/>
    <xf numFmtId="299" fontId="18" fillId="48" borderId="194"/>
    <xf numFmtId="0" fontId="18" fillId="0" borderId="194" applyNumberFormat="0" applyFont="0" applyBorder="0" applyAlignment="0" applyProtection="0">
      <alignment horizontal="center"/>
    </xf>
    <xf numFmtId="0" fontId="18" fillId="0" borderId="194" applyNumberFormat="0" applyFont="0" applyBorder="0" applyAlignment="0" applyProtection="0">
      <alignment horizontal="center"/>
    </xf>
    <xf numFmtId="319" fontId="18" fillId="0" borderId="197"/>
    <xf numFmtId="177" fontId="18" fillId="36" borderId="194"/>
    <xf numFmtId="177" fontId="18" fillId="36" borderId="194"/>
    <xf numFmtId="0" fontId="18" fillId="37" borderId="194">
      <alignment horizontal="right"/>
      <protection locked="0"/>
    </xf>
    <xf numFmtId="0" fontId="18" fillId="37" borderId="194">
      <alignment horizontal="right"/>
      <protection locked="0"/>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vertical="center"/>
    </xf>
    <xf numFmtId="4" fontId="18" fillId="36" borderId="205" applyNumberFormat="0" applyProtection="0">
      <alignment horizontal="left" vertical="center" indent="1"/>
    </xf>
    <xf numFmtId="4" fontId="18" fillId="36" borderId="205" applyNumberFormat="0" applyProtection="0">
      <alignment horizontal="left" vertical="center" indent="1"/>
    </xf>
    <xf numFmtId="4" fontId="18" fillId="36" borderId="205" applyNumberFormat="0" applyProtection="0">
      <alignment horizontal="left" vertical="center" indent="1"/>
    </xf>
    <xf numFmtId="4" fontId="18" fillId="36" borderId="204" applyNumberFormat="0" applyProtection="0">
      <alignment horizontal="left" vertical="center" indent="1"/>
    </xf>
    <xf numFmtId="4" fontId="18" fillId="36" borderId="204" applyNumberFormat="0" applyProtection="0">
      <alignment horizontal="left" vertical="center" indent="1"/>
    </xf>
    <xf numFmtId="4" fontId="18" fillId="36" borderId="204" applyNumberFormat="0" applyProtection="0">
      <alignment horizontal="left" vertical="center" indent="1"/>
    </xf>
    <xf numFmtId="4" fontId="18" fillId="64" borderId="205" applyNumberFormat="0" applyProtection="0">
      <alignment horizontal="right" vertical="center"/>
    </xf>
    <xf numFmtId="4" fontId="18" fillId="64" borderId="205" applyNumberFormat="0" applyProtection="0">
      <alignment horizontal="right" vertical="center"/>
    </xf>
    <xf numFmtId="4" fontId="18" fillId="64" borderId="205" applyNumberFormat="0" applyProtection="0">
      <alignment horizontal="right" vertical="center"/>
    </xf>
    <xf numFmtId="4" fontId="18" fillId="64" borderId="205" applyNumberFormat="0" applyProtection="0">
      <alignment horizontal="right" vertical="center"/>
    </xf>
    <xf numFmtId="4" fontId="18" fillId="65" borderId="205" applyNumberFormat="0" applyProtection="0">
      <alignment horizontal="right" vertical="center"/>
    </xf>
    <xf numFmtId="4" fontId="18" fillId="65" borderId="205" applyNumberFormat="0" applyProtection="0">
      <alignment horizontal="right" vertical="center"/>
    </xf>
    <xf numFmtId="4" fontId="18" fillId="65" borderId="205" applyNumberFormat="0" applyProtection="0">
      <alignment horizontal="right" vertical="center"/>
    </xf>
    <xf numFmtId="4" fontId="18" fillId="65" borderId="205" applyNumberFormat="0" applyProtection="0">
      <alignment horizontal="right" vertical="center"/>
    </xf>
    <xf numFmtId="4" fontId="18" fillId="46" borderId="205" applyNumberFormat="0" applyProtection="0">
      <alignment horizontal="right" vertical="center"/>
    </xf>
    <xf numFmtId="4" fontId="18" fillId="46" borderId="205" applyNumberFormat="0" applyProtection="0">
      <alignment horizontal="right" vertical="center"/>
    </xf>
    <xf numFmtId="4" fontId="18" fillId="46" borderId="205" applyNumberFormat="0" applyProtection="0">
      <alignment horizontal="right" vertical="center"/>
    </xf>
    <xf numFmtId="4" fontId="18" fillId="46" borderId="205" applyNumberFormat="0" applyProtection="0">
      <alignment horizontal="right" vertical="center"/>
    </xf>
    <xf numFmtId="4" fontId="18" fillId="55" borderId="205" applyNumberFormat="0" applyProtection="0">
      <alignment horizontal="right" vertical="center"/>
    </xf>
    <xf numFmtId="4" fontId="18" fillId="55" borderId="205" applyNumberFormat="0" applyProtection="0">
      <alignment horizontal="right" vertical="center"/>
    </xf>
    <xf numFmtId="4" fontId="18" fillId="55" borderId="205" applyNumberFormat="0" applyProtection="0">
      <alignment horizontal="right" vertical="center"/>
    </xf>
    <xf numFmtId="4" fontId="18" fillId="55" borderId="205" applyNumberFormat="0" applyProtection="0">
      <alignment horizontal="right" vertical="center"/>
    </xf>
    <xf numFmtId="4" fontId="18" fillId="66" borderId="205" applyNumberFormat="0" applyProtection="0">
      <alignment horizontal="right" vertical="center"/>
    </xf>
    <xf numFmtId="4" fontId="18" fillId="66" borderId="205" applyNumberFormat="0" applyProtection="0">
      <alignment horizontal="right" vertical="center"/>
    </xf>
    <xf numFmtId="4" fontId="18" fillId="67" borderId="205" applyNumberFormat="0" applyProtection="0">
      <alignment horizontal="right" vertical="center"/>
    </xf>
    <xf numFmtId="4" fontId="18" fillId="67" borderId="205" applyNumberFormat="0" applyProtection="0">
      <alignment horizontal="right" vertical="center"/>
    </xf>
    <xf numFmtId="4" fontId="18" fillId="67" borderId="205" applyNumberFormat="0" applyProtection="0">
      <alignment horizontal="right" vertical="center"/>
    </xf>
    <xf numFmtId="4" fontId="18" fillId="67" borderId="205" applyNumberFormat="0" applyProtection="0">
      <alignment horizontal="right" vertical="center"/>
    </xf>
    <xf numFmtId="4" fontId="18" fillId="68" borderId="205" applyNumberFormat="0" applyProtection="0">
      <alignment horizontal="right" vertical="center"/>
    </xf>
    <xf numFmtId="4" fontId="18" fillId="68" borderId="205" applyNumberFormat="0" applyProtection="0">
      <alignment horizontal="right" vertical="center"/>
    </xf>
    <xf numFmtId="4" fontId="18" fillId="68" borderId="205" applyNumberFormat="0" applyProtection="0">
      <alignment horizontal="right" vertical="center"/>
    </xf>
    <xf numFmtId="4" fontId="18" fillId="68" borderId="205" applyNumberFormat="0" applyProtection="0">
      <alignment horizontal="right" vertical="center"/>
    </xf>
    <xf numFmtId="4" fontId="18" fillId="69" borderId="205" applyNumberFormat="0" applyProtection="0">
      <alignment horizontal="right" vertical="center"/>
    </xf>
    <xf numFmtId="4" fontId="18" fillId="69" borderId="205" applyNumberFormat="0" applyProtection="0">
      <alignment horizontal="right" vertical="center"/>
    </xf>
    <xf numFmtId="4" fontId="18" fillId="69" borderId="205" applyNumberFormat="0" applyProtection="0">
      <alignment horizontal="right" vertical="center"/>
    </xf>
    <xf numFmtId="4" fontId="18" fillId="69" borderId="205" applyNumberFormat="0" applyProtection="0">
      <alignment horizontal="right" vertical="center"/>
    </xf>
    <xf numFmtId="4" fontId="18" fillId="70" borderId="205" applyNumberFormat="0" applyProtection="0">
      <alignment horizontal="right" vertical="center"/>
    </xf>
    <xf numFmtId="4" fontId="18" fillId="70" borderId="205" applyNumberFormat="0" applyProtection="0">
      <alignment horizontal="right" vertical="center"/>
    </xf>
    <xf numFmtId="4" fontId="18" fillId="70" borderId="205" applyNumberFormat="0" applyProtection="0">
      <alignment horizontal="right" vertical="center"/>
    </xf>
    <xf numFmtId="4" fontId="18" fillId="70" borderId="205" applyNumberFormat="0" applyProtection="0">
      <alignment horizontal="right" vertical="center"/>
    </xf>
    <xf numFmtId="4" fontId="18" fillId="44" borderId="205" applyNumberFormat="0" applyProtection="0">
      <alignment horizontal="right" vertical="center"/>
    </xf>
    <xf numFmtId="4" fontId="18" fillId="44" borderId="205" applyNumberFormat="0" applyProtection="0">
      <alignment horizontal="right" vertical="center"/>
    </xf>
    <xf numFmtId="4" fontId="18" fillId="44" borderId="205" applyNumberFormat="0" applyProtection="0">
      <alignment horizontal="right" vertical="center"/>
    </xf>
    <xf numFmtId="4" fontId="18" fillId="44" borderId="205" applyNumberFormat="0" applyProtection="0">
      <alignment horizontal="right" vertical="center"/>
    </xf>
    <xf numFmtId="0" fontId="18" fillId="72" borderId="204" applyNumberFormat="0" applyProtection="0">
      <alignment horizontal="left" vertical="center" indent="1"/>
    </xf>
    <xf numFmtId="0" fontId="18" fillId="72" borderId="204" applyNumberFormat="0" applyProtection="0">
      <alignment horizontal="left" vertical="center" indent="1"/>
    </xf>
    <xf numFmtId="0" fontId="18" fillId="72" borderId="204" applyNumberFormat="0" applyProtection="0">
      <alignment horizontal="left" vertical="center" indent="1"/>
    </xf>
    <xf numFmtId="0" fontId="18" fillId="72" borderId="204" applyNumberFormat="0" applyProtection="0">
      <alignment horizontal="left" vertical="center" indent="1"/>
    </xf>
    <xf numFmtId="0" fontId="18" fillId="38" borderId="204" applyNumberFormat="0" applyProtection="0">
      <alignment horizontal="left" vertical="center" indent="1"/>
    </xf>
    <xf numFmtId="0" fontId="18" fillId="38" borderId="204" applyNumberFormat="0" applyProtection="0">
      <alignment horizontal="left" vertical="center" indent="1"/>
    </xf>
    <xf numFmtId="0" fontId="18" fillId="38" borderId="204" applyNumberFormat="0" applyProtection="0">
      <alignment horizontal="left" vertical="center" indent="1"/>
    </xf>
    <xf numFmtId="0" fontId="18" fillId="38" borderId="204" applyNumberFormat="0" applyProtection="0">
      <alignment horizontal="left" vertical="center" indent="1"/>
    </xf>
    <xf numFmtId="0" fontId="18" fillId="37" borderId="204" applyNumberFormat="0" applyProtection="0">
      <alignment horizontal="left" vertical="center" indent="1"/>
    </xf>
    <xf numFmtId="0" fontId="18" fillId="37" borderId="204" applyNumberFormat="0" applyProtection="0">
      <alignment horizontal="left" vertical="center" indent="1"/>
    </xf>
    <xf numFmtId="0" fontId="18" fillId="37" borderId="204" applyNumberFormat="0" applyProtection="0">
      <alignment horizontal="left" vertical="center" indent="1"/>
    </xf>
    <xf numFmtId="0" fontId="18" fillId="37" borderId="204" applyNumberFormat="0" applyProtection="0">
      <alignment horizontal="left" vertical="center" indent="1"/>
    </xf>
    <xf numFmtId="0" fontId="18" fillId="48" borderId="204" applyNumberFormat="0" applyProtection="0">
      <alignment horizontal="left" vertical="center" indent="1"/>
    </xf>
    <xf numFmtId="0" fontId="18" fillId="48" borderId="204" applyNumberFormat="0" applyProtection="0">
      <alignment horizontal="left" vertical="center" indent="1"/>
    </xf>
    <xf numFmtId="0" fontId="18" fillId="48" borderId="204" applyNumberFormat="0" applyProtection="0">
      <alignment horizontal="left" vertical="center" indent="1"/>
    </xf>
    <xf numFmtId="0" fontId="18" fillId="48" borderId="204" applyNumberFormat="0" applyProtection="0">
      <alignment horizontal="left" vertical="center" indent="1"/>
    </xf>
    <xf numFmtId="4" fontId="18" fillId="51" borderId="205" applyNumberFormat="0" applyProtection="0">
      <alignment vertical="center"/>
    </xf>
    <xf numFmtId="4" fontId="18" fillId="51" borderId="205" applyNumberFormat="0" applyProtection="0">
      <alignment vertical="center"/>
    </xf>
    <xf numFmtId="4" fontId="18" fillId="51" borderId="205" applyNumberFormat="0" applyProtection="0">
      <alignment vertical="center"/>
    </xf>
    <xf numFmtId="4" fontId="18" fillId="51" borderId="205" applyNumberFormat="0" applyProtection="0">
      <alignment vertical="center"/>
    </xf>
    <xf numFmtId="4" fontId="18" fillId="51" borderId="205" applyNumberFormat="0" applyProtection="0">
      <alignment vertical="center"/>
    </xf>
    <xf numFmtId="4" fontId="18" fillId="51" borderId="205" applyNumberFormat="0" applyProtection="0">
      <alignment vertical="center"/>
    </xf>
    <xf numFmtId="4" fontId="18" fillId="51" borderId="205" applyNumberFormat="0" applyProtection="0">
      <alignment vertical="center"/>
    </xf>
    <xf numFmtId="4" fontId="18" fillId="51" borderId="205" applyNumberFormat="0" applyProtection="0">
      <alignment vertical="center"/>
    </xf>
    <xf numFmtId="4" fontId="18" fillId="44" borderId="206" applyNumberFormat="0" applyProtection="0">
      <alignment horizontal="left" vertical="center" indent="1"/>
    </xf>
    <xf numFmtId="4" fontId="18" fillId="44" borderId="206" applyNumberFormat="0" applyProtection="0">
      <alignment horizontal="left" vertical="center" indent="1"/>
    </xf>
    <xf numFmtId="4" fontId="18" fillId="44" borderId="206" applyNumberFormat="0" applyProtection="0">
      <alignment horizontal="left" vertical="center" indent="1"/>
    </xf>
    <xf numFmtId="4" fontId="18" fillId="44" borderId="206" applyNumberFormat="0" applyProtection="0">
      <alignment horizontal="left" vertical="center" indent="1"/>
    </xf>
    <xf numFmtId="4" fontId="18" fillId="35" borderId="204" applyNumberFormat="0" applyProtection="0">
      <alignment horizontal="left" vertical="center" indent="1"/>
    </xf>
    <xf numFmtId="4" fontId="18" fillId="35" borderId="204" applyNumberFormat="0" applyProtection="0">
      <alignment horizontal="left" vertical="center" indent="1"/>
    </xf>
    <xf numFmtId="4" fontId="18" fillId="35" borderId="204" applyNumberFormat="0" applyProtection="0">
      <alignment horizontal="left" vertical="center" indent="1"/>
    </xf>
    <xf numFmtId="4" fontId="18" fillId="35" borderId="204" applyNumberFormat="0" applyProtection="0">
      <alignment horizontal="left" vertical="center" indent="1"/>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4" fontId="18" fillId="44" borderId="205" applyNumberFormat="0" applyProtection="0">
      <alignment horizontal="left" vertical="center" indent="1"/>
    </xf>
    <xf numFmtId="4" fontId="18" fillId="44" borderId="205" applyNumberFormat="0" applyProtection="0">
      <alignment horizontal="left" vertical="center" indent="1"/>
    </xf>
    <xf numFmtId="4" fontId="18" fillId="44" borderId="205" applyNumberFormat="0" applyProtection="0">
      <alignment horizontal="left" vertical="center" indent="1"/>
    </xf>
    <xf numFmtId="4" fontId="18" fillId="44" borderId="205" applyNumberFormat="0" applyProtection="0">
      <alignment horizontal="left" vertical="center" indent="1"/>
    </xf>
    <xf numFmtId="4" fontId="18" fillId="62" borderId="206" applyNumberFormat="0" applyProtection="0">
      <alignment horizontal="left" vertical="center" indent="1"/>
    </xf>
    <xf numFmtId="4" fontId="18" fillId="62" borderId="206" applyNumberFormat="0" applyProtection="0">
      <alignment horizontal="left" vertical="center" indent="1"/>
    </xf>
    <xf numFmtId="4" fontId="18" fillId="62" borderId="206" applyNumberFormat="0" applyProtection="0">
      <alignment horizontal="left" vertical="center" indent="1"/>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4" fontId="18" fillId="51" borderId="205" applyNumberFormat="0" applyProtection="0">
      <alignment horizontal="right" vertical="center"/>
    </xf>
    <xf numFmtId="0" fontId="18" fillId="52" borderId="194">
      <alignment horizontal="center" vertical="center" wrapText="1"/>
      <protection hidden="1"/>
    </xf>
    <xf numFmtId="179" fontId="18" fillId="0" borderId="194" applyBorder="0"/>
    <xf numFmtId="179" fontId="18" fillId="0" borderId="194" applyBorder="0"/>
    <xf numFmtId="0" fontId="18" fillId="75" borderId="207">
      <alignment horizontal="center" wrapText="1"/>
    </xf>
    <xf numFmtId="0" fontId="18" fillId="55" borderId="194"/>
    <xf numFmtId="0" fontId="18" fillId="55" borderId="194"/>
    <xf numFmtId="334" fontId="18" fillId="0" borderId="208"/>
    <xf numFmtId="4" fontId="18" fillId="51" borderId="205" applyNumberFormat="0" applyProtection="0">
      <alignment horizontal="right" vertical="center"/>
    </xf>
    <xf numFmtId="0" fontId="18" fillId="36" borderId="199">
      <alignment vertical="top"/>
      <protection locked="0"/>
    </xf>
    <xf numFmtId="269" fontId="18" fillId="36" borderId="199">
      <alignment vertical="top"/>
      <protection locked="0"/>
    </xf>
    <xf numFmtId="0" fontId="18" fillId="52" borderId="194">
      <alignment horizontal="center" vertical="center" wrapText="1"/>
      <protection hidden="1"/>
    </xf>
    <xf numFmtId="268" fontId="18" fillId="36" borderId="199">
      <alignment vertical="top"/>
      <protection locked="0"/>
    </xf>
    <xf numFmtId="4" fontId="18" fillId="62" borderId="206" applyNumberFormat="0" applyProtection="0">
      <alignment horizontal="left" vertical="center" indent="1"/>
    </xf>
    <xf numFmtId="3" fontId="18" fillId="46" borderId="194"/>
    <xf numFmtId="251" fontId="18" fillId="36" borderId="199">
      <alignment vertical="top"/>
      <protection locked="0"/>
    </xf>
    <xf numFmtId="0" fontId="18" fillId="0" borderId="194">
      <alignment horizontal="right"/>
    </xf>
    <xf numFmtId="4" fontId="18" fillId="36" borderId="205" applyNumberFormat="0" applyProtection="0">
      <alignment horizontal="left" vertical="center" indent="1"/>
    </xf>
    <xf numFmtId="4" fontId="18" fillId="36" borderId="204" applyNumberFormat="0" applyProtection="0">
      <alignment horizontal="left" vertical="center" indent="1"/>
    </xf>
    <xf numFmtId="4" fontId="18" fillId="66" borderId="205" applyNumberFormat="0" applyProtection="0">
      <alignment horizontal="right" vertical="center"/>
    </xf>
    <xf numFmtId="4" fontId="18" fillId="66" borderId="205" applyNumberFormat="0" applyProtection="0">
      <alignment horizontal="right" vertical="center"/>
    </xf>
    <xf numFmtId="37" fontId="18" fillId="49" borderId="209" applyNumberFormat="0" applyBorder="0">
      <alignment horizontal="center"/>
    </xf>
    <xf numFmtId="37" fontId="18" fillId="49" borderId="209" applyNumberFormat="0" applyBorder="0">
      <alignment horizontal="center"/>
    </xf>
    <xf numFmtId="37" fontId="18" fillId="49" borderId="209" applyNumberFormat="0" applyBorder="0">
      <alignment horizontal="center"/>
    </xf>
    <xf numFmtId="37" fontId="18" fillId="49" borderId="209" applyNumberFormat="0" applyBorder="0">
      <alignment horizontal="center"/>
    </xf>
    <xf numFmtId="177" fontId="18" fillId="0" borderId="208"/>
    <xf numFmtId="0" fontId="18" fillId="40" borderId="194"/>
    <xf numFmtId="0" fontId="18" fillId="40" borderId="194"/>
    <xf numFmtId="1" fontId="18" fillId="36" borderId="194" applyNumberFormat="0" applyFont="0" applyBorder="0" applyAlignment="0">
      <alignment horizontal="center" vertical="center" wrapText="1"/>
    </xf>
    <xf numFmtId="1" fontId="18" fillId="36" borderId="194" applyNumberFormat="0" applyFont="0" applyBorder="0" applyAlignment="0">
      <alignment horizontal="center" vertical="center" wrapText="1"/>
    </xf>
    <xf numFmtId="0" fontId="18" fillId="67" borderId="199">
      <alignment horizontal="center" vertical="top" wrapText="1"/>
    </xf>
    <xf numFmtId="0" fontId="18" fillId="67" borderId="199">
      <alignment horizontal="center" vertical="top" wrapText="1"/>
    </xf>
    <xf numFmtId="0" fontId="18" fillId="67" borderId="199">
      <alignment horizontal="center" vertical="top" wrapText="1"/>
    </xf>
    <xf numFmtId="0" fontId="18" fillId="67" borderId="199">
      <alignment horizontal="center" vertical="top" wrapText="1"/>
    </xf>
    <xf numFmtId="0" fontId="18" fillId="67" borderId="199">
      <alignment horizontal="center" vertical="top"/>
    </xf>
    <xf numFmtId="0" fontId="18" fillId="67" borderId="199">
      <alignment horizontal="center" vertical="top"/>
    </xf>
    <xf numFmtId="0" fontId="18" fillId="67" borderId="199">
      <alignment horizontal="center" vertical="top"/>
    </xf>
    <xf numFmtId="0" fontId="18" fillId="67" borderId="199">
      <alignment horizontal="center" vertical="top"/>
    </xf>
    <xf numFmtId="0" fontId="18" fillId="67" borderId="199">
      <alignment vertical="top" wrapText="1"/>
    </xf>
    <xf numFmtId="0" fontId="18" fillId="67" borderId="199">
      <alignment vertical="top" wrapText="1"/>
    </xf>
    <xf numFmtId="0" fontId="18" fillId="67" borderId="199">
      <alignment vertical="top" wrapText="1"/>
    </xf>
    <xf numFmtId="0" fontId="18" fillId="67" borderId="199">
      <alignment vertical="top" wrapText="1"/>
    </xf>
    <xf numFmtId="17" fontId="18" fillId="67" borderId="199">
      <alignment horizontal="center" vertical="top"/>
    </xf>
    <xf numFmtId="17" fontId="18" fillId="67" borderId="199">
      <alignment horizontal="center" vertical="top"/>
    </xf>
    <xf numFmtId="17" fontId="18" fillId="67" borderId="199">
      <alignment horizontal="center" vertical="top"/>
    </xf>
    <xf numFmtId="17" fontId="18" fillId="67" borderId="199">
      <alignment horizontal="center" vertical="top"/>
    </xf>
    <xf numFmtId="0" fontId="18" fillId="67" borderId="199">
      <alignment horizontal="centerContinuous" vertical="top" wrapText="1"/>
    </xf>
    <xf numFmtId="0" fontId="18" fillId="67" borderId="199">
      <alignment horizontal="centerContinuous" vertical="top" wrapText="1"/>
    </xf>
    <xf numFmtId="0" fontId="18" fillId="67" borderId="199">
      <alignment horizontal="centerContinuous" vertical="top" wrapText="1"/>
    </xf>
    <xf numFmtId="0" fontId="18" fillId="67" borderId="199">
      <alignment horizontal="centerContinuous" vertical="top" wrapText="1"/>
    </xf>
    <xf numFmtId="0" fontId="18" fillId="67" borderId="199">
      <alignment horizontal="center" vertical="top"/>
    </xf>
    <xf numFmtId="0" fontId="18" fillId="67" borderId="199">
      <alignment horizontal="center" vertical="top"/>
    </xf>
    <xf numFmtId="0" fontId="18" fillId="67" borderId="199">
      <alignment horizontal="center" vertical="top"/>
    </xf>
    <xf numFmtId="0" fontId="18" fillId="67" borderId="199">
      <alignment horizontal="center" vertical="top"/>
    </xf>
    <xf numFmtId="0" fontId="18" fillId="67" borderId="199">
      <alignment horizontal="center" textRotation="90"/>
    </xf>
    <xf numFmtId="0" fontId="18" fillId="67" borderId="199">
      <alignment horizontal="center" textRotation="90"/>
    </xf>
    <xf numFmtId="0" fontId="18" fillId="67" borderId="199">
      <alignment horizontal="center" textRotation="90"/>
    </xf>
    <xf numFmtId="0" fontId="18" fillId="67" borderId="199">
      <alignment horizontal="center" textRotation="90"/>
    </xf>
    <xf numFmtId="338" fontId="18" fillId="67" borderId="199">
      <alignment horizontal="center" vertical="top"/>
    </xf>
    <xf numFmtId="338" fontId="18" fillId="67" borderId="199">
      <alignment horizontal="center" vertical="top"/>
    </xf>
    <xf numFmtId="338" fontId="18" fillId="67" borderId="199">
      <alignment horizontal="center" vertical="top"/>
    </xf>
    <xf numFmtId="338" fontId="18" fillId="67" borderId="199">
      <alignment horizontal="center" vertical="top"/>
    </xf>
    <xf numFmtId="0" fontId="18" fillId="64" borderId="194" applyNumberFormat="0" applyFont="0" applyBorder="0" applyAlignment="0" applyProtection="0">
      <alignment horizontal="center"/>
    </xf>
    <xf numFmtId="0" fontId="18" fillId="64" borderId="194" applyNumberFormat="0" applyFont="0" applyBorder="0" applyAlignment="0" applyProtection="0">
      <alignment horizontal="center"/>
    </xf>
    <xf numFmtId="277" fontId="18" fillId="0" borderId="197"/>
    <xf numFmtId="319" fontId="18" fillId="0" borderId="197"/>
    <xf numFmtId="0" fontId="18" fillId="75" borderId="207">
      <alignment horizontal="center" wrapText="1"/>
    </xf>
    <xf numFmtId="334" fontId="18" fillId="0" borderId="208"/>
    <xf numFmtId="177" fontId="18" fillId="0" borderId="208"/>
    <xf numFmtId="165" fontId="1" fillId="0" borderId="0" applyFont="0" applyFill="0" applyBorder="0" applyAlignment="0" applyProtection="0"/>
  </cellStyleXfs>
  <cellXfs count="233">
    <xf numFmtId="0" fontId="0" fillId="0" borderId="0" xfId="0"/>
    <xf numFmtId="0" fontId="15" fillId="84" borderId="74" xfId="0" applyFont="1" applyFill="1" applyBorder="1" applyAlignment="1">
      <alignment horizontal="center" vertical="center" wrapText="1"/>
    </xf>
    <xf numFmtId="0" fontId="15" fillId="0" borderId="74" xfId="0" applyFont="1" applyBorder="1" applyAlignment="1">
      <alignment horizontal="center" vertical="center" wrapText="1"/>
    </xf>
    <xf numFmtId="0" fontId="15" fillId="0" borderId="66" xfId="0" applyFont="1" applyBorder="1" applyAlignment="1">
      <alignment horizontal="center" vertical="center"/>
    </xf>
    <xf numFmtId="0" fontId="0" fillId="0" borderId="72" xfId="0" applyBorder="1"/>
    <xf numFmtId="0" fontId="0" fillId="81" borderId="0" xfId="0" applyFill="1"/>
    <xf numFmtId="0" fontId="30" fillId="0" borderId="0" xfId="2330" applyFont="1"/>
    <xf numFmtId="0" fontId="31" fillId="0" borderId="0" xfId="2330" applyFont="1" applyAlignment="1">
      <alignment horizontal="left" vertical="center" indent="5" readingOrder="1"/>
    </xf>
    <xf numFmtId="0" fontId="15" fillId="0" borderId="0" xfId="2331" applyFont="1"/>
    <xf numFmtId="0" fontId="15" fillId="81" borderId="0" xfId="2334" applyFont="1" applyFill="1"/>
    <xf numFmtId="0" fontId="1" fillId="81" borderId="0" xfId="2334" applyFill="1"/>
    <xf numFmtId="0" fontId="0" fillId="81" borderId="0" xfId="2334" applyFont="1" applyFill="1"/>
    <xf numFmtId="0" fontId="12" fillId="88" borderId="94" xfId="0" applyFont="1" applyFill="1" applyBorder="1" applyAlignment="1">
      <alignment horizontal="center" vertical="center" wrapText="1"/>
    </xf>
    <xf numFmtId="0" fontId="42" fillId="87" borderId="74" xfId="2330" applyFont="1" applyFill="1" applyBorder="1" applyAlignment="1">
      <alignment horizontal="center" vertical="center" wrapText="1"/>
    </xf>
    <xf numFmtId="0" fontId="1" fillId="89" borderId="72" xfId="2330" applyFill="1" applyBorder="1" applyAlignment="1">
      <alignment horizontal="center" wrapText="1"/>
    </xf>
    <xf numFmtId="0" fontId="12" fillId="85" borderId="0" xfId="0" applyFont="1" applyFill="1"/>
    <xf numFmtId="0" fontId="42" fillId="90" borderId="74" xfId="2330" applyFont="1" applyFill="1" applyBorder="1" applyAlignment="1">
      <alignment horizontal="center" vertical="center" wrapText="1"/>
    </xf>
    <xf numFmtId="0" fontId="12" fillId="91" borderId="96" xfId="0" applyFont="1" applyFill="1" applyBorder="1" applyAlignment="1">
      <alignment horizontal="center" vertical="center" wrapText="1"/>
    </xf>
    <xf numFmtId="0" fontId="1" fillId="0" borderId="0" xfId="2331"/>
    <xf numFmtId="0" fontId="0" fillId="0" borderId="0" xfId="2331" applyFont="1"/>
    <xf numFmtId="0" fontId="29" fillId="0" borderId="0" xfId="0" applyFont="1"/>
    <xf numFmtId="0" fontId="24" fillId="0" borderId="0" xfId="0" applyFont="1"/>
    <xf numFmtId="0" fontId="12" fillId="81" borderId="0" xfId="0" applyFont="1" applyFill="1" applyAlignment="1">
      <alignment horizontal="center"/>
    </xf>
    <xf numFmtId="0" fontId="0" fillId="0" borderId="66" xfId="0" applyBorder="1" applyAlignment="1">
      <alignment horizontal="center" vertical="center" wrapText="1"/>
    </xf>
    <xf numFmtId="0" fontId="0" fillId="0" borderId="74" xfId="0" applyBorder="1" applyAlignment="1">
      <alignment horizontal="center" vertical="center" wrapText="1"/>
    </xf>
    <xf numFmtId="0" fontId="0" fillId="0" borderId="99" xfId="0" applyBorder="1" applyAlignment="1">
      <alignment horizontal="center" vertical="center" wrapText="1"/>
    </xf>
    <xf numFmtId="0" fontId="0" fillId="81" borderId="0" xfId="0" applyFill="1" applyAlignment="1">
      <alignment horizontal="center" vertical="center" wrapText="1"/>
    </xf>
    <xf numFmtId="0" fontId="27" fillId="92" borderId="100" xfId="0" applyFont="1" applyFill="1" applyBorder="1"/>
    <xf numFmtId="0" fontId="0" fillId="92" borderId="101" xfId="0" applyFill="1" applyBorder="1"/>
    <xf numFmtId="0" fontId="0" fillId="92" borderId="102" xfId="0" applyFill="1" applyBorder="1"/>
    <xf numFmtId="0" fontId="0" fillId="93" borderId="66" xfId="0" applyFill="1" applyBorder="1"/>
    <xf numFmtId="0" fontId="0" fillId="93" borderId="74" xfId="0" applyFill="1" applyBorder="1"/>
    <xf numFmtId="0" fontId="0" fillId="93" borderId="99" xfId="0" applyFill="1" applyBorder="1"/>
    <xf numFmtId="0" fontId="12" fillId="81" borderId="0" xfId="0" applyFont="1" applyFill="1"/>
    <xf numFmtId="0" fontId="48" fillId="81" borderId="105" xfId="0" applyFont="1" applyFill="1" applyBorder="1" applyAlignment="1">
      <alignment horizontal="center" vertical="center" wrapText="1"/>
    </xf>
    <xf numFmtId="0" fontId="0" fillId="93" borderId="101" xfId="0" applyFill="1" applyBorder="1"/>
    <xf numFmtId="0" fontId="1" fillId="0" borderId="0" xfId="0" applyFont="1"/>
    <xf numFmtId="0" fontId="47" fillId="0" borderId="0" xfId="0" applyFont="1"/>
    <xf numFmtId="0" fontId="32" fillId="0" borderId="0" xfId="2330" applyFont="1" applyAlignment="1">
      <alignment horizontal="center" vertical="center" wrapText="1"/>
    </xf>
    <xf numFmtId="0" fontId="33" fillId="0" borderId="0" xfId="2330" applyFont="1" applyAlignment="1">
      <alignment horizontal="left" vertical="center" wrapText="1"/>
    </xf>
    <xf numFmtId="0" fontId="42" fillId="94" borderId="74" xfId="2330" applyFont="1" applyFill="1" applyBorder="1" applyAlignment="1">
      <alignment horizontal="center" vertical="center" wrapText="1"/>
    </xf>
    <xf numFmtId="0" fontId="42" fillId="87" borderId="155" xfId="2330" applyFont="1" applyFill="1" applyBorder="1" applyAlignment="1">
      <alignment horizontal="center" vertical="center" wrapText="1"/>
    </xf>
    <xf numFmtId="0" fontId="15" fillId="0" borderId="0" xfId="0" applyFont="1"/>
    <xf numFmtId="0" fontId="15" fillId="0" borderId="0" xfId="0" applyFont="1" applyAlignment="1">
      <alignment horizontal="center" vertical="center"/>
    </xf>
    <xf numFmtId="0" fontId="0" fillId="0" borderId="0" xfId="0" applyAlignment="1">
      <alignment vertical="top" wrapText="1"/>
    </xf>
    <xf numFmtId="0" fontId="0" fillId="0" borderId="0" xfId="0" applyAlignment="1">
      <alignment wrapText="1"/>
    </xf>
    <xf numFmtId="0" fontId="42" fillId="93" borderId="155" xfId="2330" applyFont="1" applyFill="1" applyBorder="1" applyAlignment="1">
      <alignment horizontal="center" vertical="center" wrapText="1"/>
    </xf>
    <xf numFmtId="0" fontId="42" fillId="87" borderId="0" xfId="2330" applyFont="1" applyFill="1" applyAlignment="1">
      <alignment horizontal="center" vertical="center" wrapText="1"/>
    </xf>
    <xf numFmtId="0" fontId="0" fillId="87" borderId="0" xfId="0" applyFill="1" applyAlignment="1">
      <alignment horizontal="center" vertical="center"/>
    </xf>
    <xf numFmtId="0" fontId="49" fillId="0" borderId="156" xfId="0" applyFont="1" applyBorder="1" applyAlignment="1">
      <alignment vertical="center"/>
    </xf>
    <xf numFmtId="0" fontId="49" fillId="0" borderId="98" xfId="0" applyFont="1" applyBorder="1" applyAlignment="1">
      <alignment vertical="center"/>
    </xf>
    <xf numFmtId="0" fontId="50" fillId="0" borderId="68" xfId="0" applyFont="1" applyBorder="1" applyAlignment="1">
      <alignment vertical="center"/>
    </xf>
    <xf numFmtId="0" fontId="50" fillId="0" borderId="157" xfId="0" applyFont="1" applyBorder="1" applyAlignment="1">
      <alignment vertical="center"/>
    </xf>
    <xf numFmtId="0" fontId="50" fillId="0" borderId="68" xfId="0" applyFont="1" applyBorder="1" applyAlignment="1">
      <alignment horizontal="right" vertical="center"/>
    </xf>
    <xf numFmtId="0" fontId="50" fillId="0" borderId="68" xfId="0" applyFont="1" applyBorder="1" applyAlignment="1">
      <alignment horizontal="center" vertical="center"/>
    </xf>
    <xf numFmtId="0" fontId="0" fillId="87" borderId="0" xfId="0" applyFill="1" applyAlignment="1">
      <alignment vertical="center" wrapText="1"/>
    </xf>
    <xf numFmtId="0" fontId="42" fillId="94" borderId="105" xfId="2330" applyFont="1" applyFill="1" applyBorder="1" applyAlignment="1">
      <alignment horizontal="center" vertical="center" wrapText="1"/>
    </xf>
    <xf numFmtId="15" fontId="42" fillId="94" borderId="105" xfId="2330" applyNumberFormat="1" applyFont="1" applyFill="1" applyBorder="1" applyAlignment="1">
      <alignment vertical="center" wrapText="1"/>
    </xf>
    <xf numFmtId="0" fontId="53" fillId="89" borderId="72" xfId="3633" applyFill="1" applyBorder="1" applyAlignment="1">
      <alignment horizontal="center" wrapText="1"/>
    </xf>
    <xf numFmtId="17" fontId="1" fillId="89" borderId="72" xfId="2330" applyNumberFormat="1" applyFill="1" applyBorder="1" applyAlignment="1">
      <alignment horizontal="center" wrapText="1"/>
    </xf>
    <xf numFmtId="0" fontId="27" fillId="0" borderId="77" xfId="0" applyFont="1" applyBorder="1" applyAlignment="1">
      <alignment horizontal="left" vertical="center"/>
    </xf>
    <xf numFmtId="0" fontId="27" fillId="0" borderId="158" xfId="0" applyFont="1" applyBorder="1" applyAlignment="1">
      <alignment horizontal="left" vertical="center"/>
    </xf>
    <xf numFmtId="0" fontId="0" fillId="92" borderId="101" xfId="0" applyFill="1" applyBorder="1" applyAlignment="1">
      <alignment horizontal="center"/>
    </xf>
    <xf numFmtId="0" fontId="0" fillId="0" borderId="0" xfId="0" applyAlignment="1">
      <alignment vertical="center"/>
    </xf>
    <xf numFmtId="0" fontId="51" fillId="93" borderId="74" xfId="2330" applyFont="1" applyFill="1" applyBorder="1" applyAlignment="1">
      <alignment horizontal="center" vertical="center" wrapText="1"/>
    </xf>
    <xf numFmtId="0" fontId="51" fillId="87" borderId="74" xfId="2330" applyFont="1" applyFill="1" applyBorder="1" applyAlignment="1">
      <alignment horizontal="center" vertical="center" wrapText="1"/>
    </xf>
    <xf numFmtId="0" fontId="51" fillId="94" borderId="74" xfId="2330" applyFont="1" applyFill="1" applyBorder="1" applyAlignment="1">
      <alignment horizontal="center" vertical="center" wrapText="1"/>
    </xf>
    <xf numFmtId="15" fontId="34" fillId="87" borderId="95" xfId="2330" applyNumberFormat="1" applyFont="1" applyFill="1" applyBorder="1" applyAlignment="1">
      <alignment vertical="center" wrapText="1"/>
    </xf>
    <xf numFmtId="15" fontId="41" fillId="0" borderId="0" xfId="2330" applyNumberFormat="1"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15" fontId="41" fillId="0" borderId="93" xfId="2330" applyNumberFormat="1" applyFont="1" applyBorder="1" applyAlignment="1">
      <alignment horizontal="center" vertical="center" wrapText="1"/>
    </xf>
    <xf numFmtId="15" fontId="42" fillId="94" borderId="74" xfId="2330" applyNumberFormat="1" applyFont="1" applyFill="1" applyBorder="1" applyAlignment="1">
      <alignment horizontal="center" vertical="center" wrapText="1"/>
    </xf>
    <xf numFmtId="0" fontId="33" fillId="0" borderId="0" xfId="2330" applyFont="1" applyAlignment="1">
      <alignment horizontal="center" vertical="center" wrapText="1"/>
    </xf>
    <xf numFmtId="0" fontId="0" fillId="0" borderId="0" xfId="0" applyAlignment="1">
      <alignment horizontal="center" vertical="center"/>
    </xf>
    <xf numFmtId="0" fontId="49" fillId="95" borderId="74" xfId="0" applyFont="1" applyFill="1" applyBorder="1" applyAlignment="1">
      <alignment horizontal="center" vertical="center" wrapText="1"/>
    </xf>
    <xf numFmtId="0" fontId="49" fillId="0" borderId="74" xfId="0" applyFont="1" applyBorder="1" applyAlignment="1">
      <alignment horizontal="center" vertical="center" wrapText="1"/>
    </xf>
    <xf numFmtId="0" fontId="0" fillId="0" borderId="66" xfId="0" applyBorder="1" applyAlignment="1">
      <alignment horizontal="center" vertical="top" wrapText="1"/>
    </xf>
    <xf numFmtId="0" fontId="0" fillId="0" borderId="74" xfId="0" applyBorder="1" applyAlignment="1">
      <alignment horizontal="center" vertical="top" wrapText="1"/>
    </xf>
    <xf numFmtId="0" fontId="0" fillId="0" borderId="99" xfId="0" applyBorder="1" applyAlignment="1">
      <alignment horizontal="center" vertical="top" wrapText="1"/>
    </xf>
    <xf numFmtId="0" fontId="0" fillId="81" borderId="0" xfId="0" applyFill="1" applyAlignment="1">
      <alignment horizontal="center" vertical="top" wrapText="1"/>
    </xf>
    <xf numFmtId="0" fontId="0" fillId="81" borderId="0" xfId="0" applyFill="1" applyAlignment="1">
      <alignment vertical="top"/>
    </xf>
    <xf numFmtId="0" fontId="0" fillId="0" borderId="72" xfId="2330" applyFont="1" applyBorder="1" applyAlignment="1">
      <alignment horizontal="left" vertical="center" wrapText="1"/>
    </xf>
    <xf numFmtId="0" fontId="0" fillId="93" borderId="0" xfId="0" applyFill="1"/>
    <xf numFmtId="0" fontId="0" fillId="0" borderId="77" xfId="0" applyBorder="1"/>
    <xf numFmtId="0" fontId="37" fillId="0" borderId="72" xfId="2332" applyFont="1" applyBorder="1" applyAlignment="1">
      <alignment horizontal="left" vertical="center" wrapText="1"/>
    </xf>
    <xf numFmtId="0" fontId="0" fillId="0" borderId="72" xfId="2330" applyFont="1" applyBorder="1" applyAlignment="1">
      <alignment horizontal="center" vertical="center" wrapText="1"/>
    </xf>
    <xf numFmtId="0" fontId="42" fillId="87" borderId="48" xfId="2330" applyFont="1" applyFill="1" applyBorder="1" applyAlignment="1">
      <alignment horizontal="center" vertical="center" wrapText="1"/>
    </xf>
    <xf numFmtId="0" fontId="34" fillId="93" borderId="105" xfId="2330" applyFont="1" applyFill="1" applyBorder="1" applyAlignment="1">
      <alignment horizontal="center" vertical="top" wrapText="1"/>
    </xf>
    <xf numFmtId="0" fontId="34" fillId="87" borderId="105" xfId="2330" applyFont="1" applyFill="1" applyBorder="1" applyAlignment="1">
      <alignment horizontal="center" vertical="top" wrapText="1"/>
    </xf>
    <xf numFmtId="0" fontId="34" fillId="87" borderId="105" xfId="2330" applyFont="1" applyFill="1" applyBorder="1" applyAlignment="1">
      <alignment horizontal="center" vertical="center" wrapText="1"/>
    </xf>
    <xf numFmtId="0" fontId="34" fillId="94" borderId="105" xfId="2330" applyFont="1" applyFill="1" applyBorder="1" applyAlignment="1">
      <alignment horizontal="center" vertical="center" wrapText="1"/>
    </xf>
    <xf numFmtId="0" fontId="44" fillId="87" borderId="159" xfId="2330" applyFont="1" applyFill="1" applyBorder="1" applyAlignment="1">
      <alignment horizontal="center" vertical="center" wrapText="1"/>
    </xf>
    <xf numFmtId="0" fontId="0" fillId="0" borderId="59" xfId="2330" applyFont="1" applyBorder="1" applyAlignment="1">
      <alignment horizontal="center" vertical="center" wrapText="1"/>
    </xf>
    <xf numFmtId="0" fontId="15" fillId="0" borderId="158" xfId="0" applyFont="1" applyBorder="1" applyAlignment="1">
      <alignment horizontal="center" vertical="center"/>
    </xf>
    <xf numFmtId="0" fontId="49" fillId="95" borderId="48" xfId="0" applyFont="1" applyFill="1" applyBorder="1" applyAlignment="1">
      <alignment horizontal="center" vertical="center" wrapText="1"/>
    </xf>
    <xf numFmtId="0" fontId="49" fillId="0" borderId="48" xfId="0" applyFont="1" applyBorder="1" applyAlignment="1">
      <alignment horizontal="center" vertical="center" wrapText="1"/>
    </xf>
    <xf numFmtId="0" fontId="15" fillId="84" borderId="48" xfId="0" applyFont="1" applyFill="1" applyBorder="1" applyAlignment="1">
      <alignment horizontal="center" vertical="center" wrapText="1"/>
    </xf>
    <xf numFmtId="0" fontId="15" fillId="0" borderId="48" xfId="0" applyFont="1" applyBorder="1" applyAlignment="1">
      <alignment horizontal="center" vertical="center" wrapText="1"/>
    </xf>
    <xf numFmtId="0" fontId="0" fillId="96" borderId="0" xfId="0" applyFill="1"/>
    <xf numFmtId="0" fontId="0" fillId="0" borderId="72" xfId="0" applyBorder="1" applyAlignment="1">
      <alignment horizontal="left" vertical="center" wrapText="1"/>
    </xf>
    <xf numFmtId="0" fontId="0" fillId="0" borderId="72" xfId="0" applyBorder="1" applyAlignment="1">
      <alignment horizontal="center" vertical="center"/>
    </xf>
    <xf numFmtId="0" fontId="0" fillId="81" borderId="72" xfId="0" applyFill="1" applyBorder="1" applyAlignment="1">
      <alignment horizontal="center" vertical="center"/>
    </xf>
    <xf numFmtId="0" fontId="15" fillId="0" borderId="160" xfId="0" applyFont="1" applyBorder="1"/>
    <xf numFmtId="0" fontId="50" fillId="0" borderId="162" xfId="0" applyFont="1" applyBorder="1" applyAlignment="1">
      <alignment vertical="center"/>
    </xf>
    <xf numFmtId="0" fontId="50" fillId="0" borderId="163" xfId="0" applyFont="1" applyBorder="1" applyAlignment="1">
      <alignment horizontal="right" vertical="center"/>
    </xf>
    <xf numFmtId="0" fontId="50" fillId="0" borderId="163" xfId="0" applyFont="1" applyBorder="1" applyAlignment="1">
      <alignment vertical="center"/>
    </xf>
    <xf numFmtId="0" fontId="0" fillId="97" borderId="0" xfId="0" applyFill="1"/>
    <xf numFmtId="0" fontId="0" fillId="98" borderId="0" xfId="0" applyFill="1"/>
    <xf numFmtId="0" fontId="0" fillId="0" borderId="161" xfId="0" applyBorder="1"/>
    <xf numFmtId="0" fontId="0" fillId="97" borderId="161" xfId="0" applyFill="1" applyBorder="1"/>
    <xf numFmtId="0" fontId="57" fillId="93" borderId="0" xfId="0" applyFont="1" applyFill="1" applyAlignment="1">
      <alignment vertical="center"/>
    </xf>
    <xf numFmtId="0" fontId="42" fillId="94" borderId="95" xfId="2330" applyFont="1" applyFill="1" applyBorder="1" applyAlignment="1">
      <alignment horizontal="center" vertical="center" wrapText="1"/>
    </xf>
    <xf numFmtId="15" fontId="42" fillId="90" borderId="105" xfId="2330" applyNumberFormat="1" applyFont="1" applyFill="1" applyBorder="1" applyAlignment="1">
      <alignment vertical="center" wrapText="1"/>
    </xf>
    <xf numFmtId="165" fontId="42" fillId="90" borderId="105" xfId="3634" applyFont="1" applyFill="1" applyBorder="1" applyAlignment="1">
      <alignment vertical="center" wrapText="1"/>
    </xf>
    <xf numFmtId="165" fontId="42" fillId="90" borderId="101" xfId="3634" applyFont="1" applyFill="1" applyBorder="1" applyAlignment="1">
      <alignment vertical="center" wrapText="1"/>
    </xf>
    <xf numFmtId="15" fontId="51" fillId="87" borderId="101" xfId="2330" applyNumberFormat="1" applyFont="1" applyFill="1" applyBorder="1" applyAlignment="1">
      <alignment vertical="center" wrapText="1"/>
    </xf>
    <xf numFmtId="0" fontId="0" fillId="0" borderId="164" xfId="0" applyBorder="1"/>
    <xf numFmtId="0" fontId="42" fillId="94" borderId="165" xfId="2330" applyFont="1" applyFill="1" applyBorder="1" applyAlignment="1">
      <alignment horizontal="center" vertical="center" wrapText="1"/>
    </xf>
    <xf numFmtId="0" fontId="34" fillId="87" borderId="14" xfId="2330" applyFont="1" applyFill="1" applyBorder="1" applyAlignment="1">
      <alignment horizontal="center" vertical="center" wrapText="1"/>
    </xf>
    <xf numFmtId="0" fontId="0" fillId="0" borderId="14" xfId="2330" applyFont="1" applyBorder="1" applyAlignment="1">
      <alignment horizontal="center" vertical="center" wrapText="1"/>
    </xf>
    <xf numFmtId="0" fontId="38" fillId="0" borderId="14" xfId="2330" applyFont="1" applyBorder="1" applyAlignment="1">
      <alignment vertical="center" wrapText="1"/>
    </xf>
    <xf numFmtId="0" fontId="38" fillId="0" borderId="14" xfId="0" applyFont="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14" xfId="0" applyBorder="1" applyAlignment="1">
      <alignment horizontal="center" vertical="center" wrapText="1"/>
    </xf>
    <xf numFmtId="2" fontId="0" fillId="0" borderId="14" xfId="0" applyNumberFormat="1" applyBorder="1" applyAlignment="1">
      <alignment horizontal="center" vertical="center"/>
    </xf>
    <xf numFmtId="0" fontId="38" fillId="0" borderId="14" xfId="2330" applyFont="1" applyBorder="1" applyAlignment="1">
      <alignment horizontal="center" vertical="center" wrapText="1"/>
    </xf>
    <xf numFmtId="1" fontId="38" fillId="0" borderId="14" xfId="2330" applyNumberFormat="1" applyFont="1" applyBorder="1" applyAlignment="1">
      <alignment horizontal="center" vertical="center" wrapText="1"/>
    </xf>
    <xf numFmtId="0" fontId="38" fillId="0" borderId="14" xfId="0" applyFont="1" applyBorder="1" applyAlignment="1">
      <alignment horizontal="center" vertical="center"/>
    </xf>
    <xf numFmtId="0" fontId="0" fillId="84" borderId="14" xfId="0" applyFill="1" applyBorder="1"/>
    <xf numFmtId="0" fontId="58" fillId="99" borderId="98" xfId="0" applyFont="1" applyFill="1" applyBorder="1" applyAlignment="1">
      <alignment horizontal="center" vertical="center"/>
    </xf>
    <xf numFmtId="0" fontId="57" fillId="0" borderId="157" xfId="0" applyFont="1" applyBorder="1" applyAlignment="1">
      <alignment horizontal="center" vertical="center"/>
    </xf>
    <xf numFmtId="0" fontId="57" fillId="100" borderId="157" xfId="0" applyFont="1" applyFill="1" applyBorder="1" applyAlignment="1">
      <alignment vertical="center"/>
    </xf>
    <xf numFmtId="0" fontId="57" fillId="93" borderId="157" xfId="0" applyFont="1" applyFill="1" applyBorder="1" applyAlignment="1">
      <alignment vertical="center"/>
    </xf>
    <xf numFmtId="0" fontId="29" fillId="0" borderId="194" xfId="0" applyFont="1" applyBorder="1" applyAlignment="1">
      <alignment horizontal="center" vertical="center" wrapText="1"/>
    </xf>
    <xf numFmtId="0" fontId="29" fillId="0" borderId="194" xfId="0" applyFont="1" applyBorder="1" applyAlignment="1">
      <alignment horizontal="left" vertical="center" wrapText="1"/>
    </xf>
    <xf numFmtId="0" fontId="0" fillId="90" borderId="194" xfId="0" applyFill="1" applyBorder="1" applyAlignment="1">
      <alignment horizontal="center" vertical="center" wrapText="1"/>
    </xf>
    <xf numFmtId="0" fontId="0" fillId="90" borderId="194" xfId="0" applyFill="1" applyBorder="1" applyAlignment="1">
      <alignment vertical="center" wrapText="1"/>
    </xf>
    <xf numFmtId="0" fontId="0" fillId="87" borderId="194" xfId="0" quotePrefix="1" applyFill="1" applyBorder="1" applyAlignment="1">
      <alignment horizontal="center" vertical="center"/>
    </xf>
    <xf numFmtId="0" fontId="0" fillId="87" borderId="194" xfId="0" applyFill="1" applyBorder="1" applyAlignment="1">
      <alignment vertical="center" wrapText="1"/>
    </xf>
    <xf numFmtId="0" fontId="0" fillId="87" borderId="194" xfId="0" quotePrefix="1" applyFill="1" applyBorder="1" applyAlignment="1">
      <alignment horizontal="center" vertical="center" wrapText="1"/>
    </xf>
    <xf numFmtId="0" fontId="0" fillId="87" borderId="194" xfId="0" applyFill="1" applyBorder="1" applyAlignment="1">
      <alignment horizontal="center" vertical="center"/>
    </xf>
    <xf numFmtId="0" fontId="0" fillId="87" borderId="194" xfId="0" applyFill="1" applyBorder="1" applyAlignment="1">
      <alignment horizontal="center" vertical="center" wrapText="1"/>
    </xf>
    <xf numFmtId="0" fontId="49" fillId="87" borderId="194" xfId="0" applyFont="1" applyFill="1" applyBorder="1" applyAlignment="1">
      <alignment vertical="center"/>
    </xf>
    <xf numFmtId="0" fontId="0" fillId="87" borderId="194" xfId="0" applyFill="1" applyBorder="1"/>
    <xf numFmtId="0" fontId="0" fillId="87" borderId="210" xfId="2337" applyFont="1" applyFill="1" applyBorder="1" applyAlignment="1">
      <alignment vertical="center" wrapText="1"/>
    </xf>
    <xf numFmtId="49" fontId="0" fillId="0" borderId="211" xfId="2337" applyNumberFormat="1" applyFont="1" applyBorder="1" applyAlignment="1">
      <alignment horizontal="center" wrapText="1"/>
    </xf>
    <xf numFmtId="0" fontId="0" fillId="0" borderId="194" xfId="0" applyBorder="1"/>
    <xf numFmtId="165" fontId="0" fillId="0" borderId="194" xfId="3634" applyFont="1" applyBorder="1"/>
    <xf numFmtId="0" fontId="0" fillId="0" borderId="194" xfId="3634" applyNumberFormat="1" applyFont="1" applyBorder="1"/>
    <xf numFmtId="0" fontId="0" fillId="0" borderId="212" xfId="0" applyBorder="1"/>
    <xf numFmtId="0" fontId="0" fillId="0" borderId="213" xfId="0" applyBorder="1"/>
    <xf numFmtId="0" fontId="0" fillId="0" borderId="214" xfId="0" applyBorder="1"/>
    <xf numFmtId="0" fontId="0" fillId="0" borderId="215" xfId="0" applyBorder="1"/>
    <xf numFmtId="0" fontId="0" fillId="0" borderId="216" xfId="0" applyBorder="1"/>
    <xf numFmtId="165" fontId="0" fillId="0" borderId="216" xfId="3634" applyFont="1" applyBorder="1"/>
    <xf numFmtId="0" fontId="0" fillId="0" borderId="216" xfId="3634" applyNumberFormat="1" applyFont="1" applyBorder="1"/>
    <xf numFmtId="0" fontId="0" fillId="0" borderId="217" xfId="0" applyBorder="1"/>
    <xf numFmtId="0" fontId="0" fillId="0" borderId="194" xfId="0" applyBorder="1" applyAlignment="1">
      <alignment horizontal="left" vertical="center" wrapText="1"/>
    </xf>
    <xf numFmtId="0" fontId="0" fillId="0" borderId="194" xfId="0" applyBorder="1" applyAlignment="1">
      <alignment vertical="center"/>
    </xf>
    <xf numFmtId="0" fontId="0" fillId="0" borderId="194" xfId="2330" applyFont="1" applyBorder="1" applyAlignment="1">
      <alignment horizontal="left" vertical="center" wrapText="1"/>
    </xf>
    <xf numFmtId="0" fontId="0" fillId="0" borderId="194" xfId="2330" applyFont="1" applyBorder="1" applyAlignment="1">
      <alignment horizontal="center" vertical="center" wrapText="1"/>
    </xf>
    <xf numFmtId="2" fontId="0" fillId="0" borderId="194" xfId="2330" applyNumberFormat="1" applyFont="1" applyBorder="1" applyAlignment="1">
      <alignment horizontal="center" vertical="center" wrapText="1"/>
    </xf>
    <xf numFmtId="0" fontId="38" fillId="0" borderId="194" xfId="2330" applyFont="1" applyBorder="1" applyAlignment="1">
      <alignment horizontal="center" vertical="center" wrapText="1"/>
    </xf>
    <xf numFmtId="0" fontId="38" fillId="0" borderId="194" xfId="2330" applyFont="1" applyBorder="1" applyAlignment="1">
      <alignment horizontal="left" vertical="center" wrapText="1"/>
    </xf>
    <xf numFmtId="0" fontId="38" fillId="0" borderId="194" xfId="0" applyFont="1" applyBorder="1" applyAlignment="1">
      <alignment horizontal="left" vertical="center"/>
    </xf>
    <xf numFmtId="0" fontId="38" fillId="0" borderId="194" xfId="0" applyFont="1" applyBorder="1" applyAlignment="1">
      <alignment horizontal="left" vertical="center" wrapText="1"/>
    </xf>
    <xf numFmtId="0" fontId="38" fillId="0" borderId="194" xfId="2330" applyFont="1" applyBorder="1" applyAlignment="1">
      <alignment horizontal="center" vertical="center"/>
    </xf>
    <xf numFmtId="0" fontId="38" fillId="0" borderId="194" xfId="0" applyFont="1" applyBorder="1" applyAlignment="1">
      <alignment horizontal="center" vertical="center"/>
    </xf>
    <xf numFmtId="0" fontId="38" fillId="0" borderId="210" xfId="2330" applyFont="1" applyBorder="1" applyAlignment="1">
      <alignment horizontal="center" vertical="center" wrapText="1"/>
    </xf>
    <xf numFmtId="0" fontId="0" fillId="0" borderId="194" xfId="0" applyBorder="1" applyAlignment="1">
      <alignment horizontal="center" vertical="center" wrapText="1"/>
    </xf>
    <xf numFmtId="0" fontId="38" fillId="0" borderId="194" xfId="0" applyFont="1" applyBorder="1" applyAlignment="1" applyProtection="1">
      <alignment horizontal="left" vertical="center" wrapText="1"/>
      <protection locked="0"/>
    </xf>
    <xf numFmtId="2" fontId="38" fillId="0" borderId="194" xfId="2330" applyNumberFormat="1" applyFont="1" applyBorder="1" applyAlignment="1">
      <alignment horizontal="center" vertical="center" wrapText="1"/>
    </xf>
    <xf numFmtId="0" fontId="0" fillId="0" borderId="194" xfId="0" applyBorder="1" applyAlignment="1" applyProtection="1">
      <alignment horizontal="left" vertical="center"/>
      <protection locked="0"/>
    </xf>
    <xf numFmtId="0" fontId="0" fillId="0" borderId="194" xfId="0" applyBorder="1" applyAlignment="1">
      <alignment horizontal="left" vertical="center"/>
    </xf>
    <xf numFmtId="0" fontId="56" fillId="81" borderId="194" xfId="0" applyFont="1" applyFill="1" applyBorder="1" applyAlignment="1">
      <alignment horizontal="center" vertical="center" wrapText="1"/>
    </xf>
    <xf numFmtId="0" fontId="0" fillId="0" borderId="194" xfId="0" applyBorder="1" applyAlignment="1">
      <alignment horizontal="center" vertical="center"/>
    </xf>
    <xf numFmtId="0" fontId="0" fillId="81" borderId="194" xfId="0" applyFill="1" applyBorder="1" applyAlignment="1">
      <alignment horizontal="center" vertical="center"/>
    </xf>
    <xf numFmtId="0" fontId="38" fillId="0" borderId="194" xfId="0" applyFont="1" applyBorder="1" applyAlignment="1" applyProtection="1">
      <alignment horizontal="center" vertical="center"/>
      <protection locked="0"/>
    </xf>
    <xf numFmtId="0" fontId="0" fillId="0" borderId="194" xfId="0" applyBorder="1" applyAlignment="1" applyProtection="1">
      <alignment horizontal="center" vertical="center"/>
      <protection locked="0"/>
    </xf>
    <xf numFmtId="2" fontId="0" fillId="0" borderId="194" xfId="0" applyNumberFormat="1" applyBorder="1" applyAlignment="1">
      <alignment horizontal="center" vertical="center"/>
    </xf>
    <xf numFmtId="1" fontId="38" fillId="0" borderId="194" xfId="2330" applyNumberFormat="1" applyFont="1" applyBorder="1" applyAlignment="1">
      <alignment horizontal="center" vertical="center" wrapText="1"/>
    </xf>
    <xf numFmtId="2" fontId="38" fillId="0" borderId="194" xfId="0" applyNumberFormat="1" applyFont="1" applyBorder="1" applyAlignment="1">
      <alignment horizontal="center" vertical="center"/>
    </xf>
    <xf numFmtId="0" fontId="38" fillId="0" borderId="194" xfId="2330" applyFont="1" applyBorder="1" applyAlignment="1">
      <alignment vertical="center" wrapText="1"/>
    </xf>
    <xf numFmtId="0" fontId="38" fillId="0" borderId="194" xfId="0" applyFont="1" applyBorder="1" applyAlignment="1">
      <alignment vertical="center" wrapText="1"/>
    </xf>
    <xf numFmtId="346" fontId="38" fillId="0" borderId="194" xfId="0" applyNumberFormat="1" applyFont="1" applyBorder="1" applyAlignment="1" applyProtection="1">
      <alignment horizontal="center" vertical="center"/>
      <protection locked="0"/>
    </xf>
    <xf numFmtId="0" fontId="38" fillId="0" borderId="194" xfId="0" applyFont="1" applyBorder="1" applyAlignment="1" applyProtection="1">
      <alignment horizontal="left" vertical="center"/>
      <protection locked="0"/>
    </xf>
    <xf numFmtId="0" fontId="15" fillId="0" borderId="194" xfId="2331" applyFont="1" applyBorder="1"/>
    <xf numFmtId="0" fontId="35" fillId="0" borderId="194" xfId="2331" applyFont="1" applyBorder="1" applyAlignment="1">
      <alignment vertical="top"/>
    </xf>
    <xf numFmtId="0" fontId="1" fillId="0" borderId="194" xfId="2331" applyBorder="1" applyAlignment="1">
      <alignment vertical="top" wrapText="1"/>
    </xf>
    <xf numFmtId="0" fontId="15" fillId="0" borderId="194" xfId="2331" applyFont="1" applyBorder="1" applyAlignment="1">
      <alignment vertical="top"/>
    </xf>
    <xf numFmtId="0" fontId="15" fillId="0" borderId="194" xfId="2331" applyFont="1" applyBorder="1" applyAlignment="1">
      <alignment vertical="top" wrapText="1"/>
    </xf>
    <xf numFmtId="0" fontId="35" fillId="0" borderId="194" xfId="2331" applyFont="1" applyBorder="1" applyAlignment="1">
      <alignment vertical="center" wrapText="1"/>
    </xf>
    <xf numFmtId="0" fontId="49" fillId="0" borderId="194" xfId="2331" applyFont="1" applyBorder="1" applyAlignment="1">
      <alignment vertical="center" wrapText="1"/>
    </xf>
    <xf numFmtId="0" fontId="27" fillId="0" borderId="212" xfId="0" applyFont="1" applyBorder="1" applyAlignment="1">
      <alignment horizontal="left" vertical="center"/>
    </xf>
    <xf numFmtId="0" fontId="0" fillId="84" borderId="194" xfId="0" applyFill="1" applyBorder="1"/>
    <xf numFmtId="0" fontId="0" fillId="87" borderId="194" xfId="2337" applyFont="1" applyFill="1" applyBorder="1" applyAlignment="1">
      <alignment vertical="center" wrapText="1"/>
    </xf>
    <xf numFmtId="0" fontId="0" fillId="0" borderId="194" xfId="2337" applyFont="1" applyBorder="1" applyAlignment="1">
      <alignment horizontal="center" vertical="center" wrapText="1"/>
    </xf>
    <xf numFmtId="0" fontId="27" fillId="0" borderId="218" xfId="0" applyFont="1" applyBorder="1" applyAlignment="1">
      <alignment horizontal="center" vertical="center"/>
    </xf>
    <xf numFmtId="0" fontId="0" fillId="84" borderId="219" xfId="0" applyFill="1" applyBorder="1"/>
    <xf numFmtId="0" fontId="0" fillId="0" borderId="219" xfId="0" applyBorder="1"/>
    <xf numFmtId="0" fontId="27" fillId="0" borderId="220" xfId="0" applyFont="1" applyBorder="1"/>
    <xf numFmtId="0" fontId="0" fillId="0" borderId="221" xfId="0" applyBorder="1" applyAlignment="1">
      <alignment horizontal="center"/>
    </xf>
    <xf numFmtId="0" fontId="0" fillId="0" borderId="221" xfId="0" applyBorder="1"/>
    <xf numFmtId="0" fontId="0" fillId="0" borderId="222" xfId="0" applyBorder="1"/>
    <xf numFmtId="0" fontId="27" fillId="92" borderId="220" xfId="0" applyFont="1" applyFill="1" applyBorder="1"/>
    <xf numFmtId="0" fontId="0" fillId="92" borderId="221" xfId="0" applyFill="1" applyBorder="1" applyAlignment="1">
      <alignment horizontal="center"/>
    </xf>
    <xf numFmtId="0" fontId="0" fillId="92" borderId="221" xfId="0" applyFill="1" applyBorder="1"/>
    <xf numFmtId="0" fontId="0" fillId="92" borderId="222" xfId="0" applyFill="1" applyBorder="1"/>
    <xf numFmtId="0" fontId="0" fillId="93" borderId="219" xfId="0" applyFill="1" applyBorder="1"/>
    <xf numFmtId="0" fontId="27" fillId="0" borderId="218" xfId="0" applyFont="1" applyBorder="1"/>
    <xf numFmtId="0" fontId="0" fillId="0" borderId="223" xfId="0" applyBorder="1"/>
    <xf numFmtId="0" fontId="0" fillId="87" borderId="14" xfId="0" applyFill="1" applyBorder="1" applyAlignment="1">
      <alignment horizontal="center" vertical="center"/>
    </xf>
    <xf numFmtId="0" fontId="0" fillId="87" borderId="72" xfId="0" applyFill="1" applyBorder="1" applyAlignment="1">
      <alignment horizontal="center" vertical="center"/>
    </xf>
    <xf numFmtId="0" fontId="0" fillId="87" borderId="14" xfId="0" applyFill="1" applyBorder="1" applyAlignment="1">
      <alignment horizontal="center" vertical="center" wrapText="1"/>
    </xf>
    <xf numFmtId="0" fontId="0" fillId="87" borderId="72" xfId="0" applyFill="1" applyBorder="1" applyAlignment="1">
      <alignment horizontal="center" vertical="center" wrapText="1"/>
    </xf>
    <xf numFmtId="0" fontId="53" fillId="87" borderId="194" xfId="3633" applyFill="1" applyBorder="1" applyAlignment="1">
      <alignment horizontal="center" vertical="center"/>
    </xf>
    <xf numFmtId="0" fontId="47" fillId="0" borderId="0" xfId="0" applyFont="1" applyAlignment="1">
      <alignment horizontal="left" wrapText="1"/>
    </xf>
    <xf numFmtId="0" fontId="48" fillId="0" borderId="0" xfId="0" applyFont="1" applyAlignment="1">
      <alignment horizontal="left" vertical="center" wrapText="1"/>
    </xf>
    <xf numFmtId="0" fontId="39" fillId="82" borderId="210" xfId="2337" applyFont="1" applyFill="1" applyBorder="1" applyAlignment="1">
      <alignment horizontal="center" vertical="center"/>
    </xf>
    <xf numFmtId="0" fontId="39" fillId="82" borderId="211" xfId="2337" applyFont="1" applyFill="1" applyBorder="1" applyAlignment="1">
      <alignment horizontal="center" vertical="center"/>
    </xf>
    <xf numFmtId="0" fontId="39" fillId="82" borderId="210" xfId="2337" applyFont="1" applyFill="1" applyBorder="1" applyAlignment="1">
      <alignment horizontal="left" vertical="center"/>
    </xf>
    <xf numFmtId="0" fontId="39" fillId="82" borderId="211" xfId="2337" applyFont="1" applyFill="1" applyBorder="1" applyAlignment="1">
      <alignment horizontal="left" vertical="center"/>
    </xf>
    <xf numFmtId="0" fontId="0" fillId="87" borderId="24" xfId="0" applyFill="1" applyBorder="1" applyAlignment="1">
      <alignment horizontal="left" vertical="top" wrapText="1"/>
    </xf>
    <xf numFmtId="0" fontId="32" fillId="0" borderId="76" xfId="2330" applyFont="1" applyBorder="1" applyAlignment="1">
      <alignment horizontal="center" vertical="center" wrapText="1"/>
    </xf>
    <xf numFmtId="0" fontId="32" fillId="0" borderId="69" xfId="2330" applyFont="1" applyBorder="1" applyAlignment="1">
      <alignment horizontal="center" vertical="center" wrapText="1"/>
    </xf>
    <xf numFmtId="15" fontId="41" fillId="86" borderId="0" xfId="2330" applyNumberFormat="1" applyFont="1" applyFill="1" applyAlignment="1">
      <alignment horizontal="center" vertical="center"/>
    </xf>
    <xf numFmtId="0" fontId="12" fillId="82" borderId="97" xfId="0" applyFont="1" applyFill="1" applyBorder="1" applyAlignment="1">
      <alignment horizontal="center"/>
    </xf>
    <xf numFmtId="0" fontId="12" fillId="82" borderId="69" xfId="0" applyFont="1" applyFill="1" applyBorder="1" applyAlignment="1">
      <alignment horizontal="center"/>
    </xf>
    <xf numFmtId="0" fontId="12" fillId="82" borderId="98" xfId="0" applyFont="1" applyFill="1" applyBorder="1" applyAlignment="1">
      <alignment horizontal="center"/>
    </xf>
    <xf numFmtId="0" fontId="12" fillId="82" borderId="104" xfId="0" applyFont="1" applyFill="1" applyBorder="1" applyAlignment="1">
      <alignment horizontal="center"/>
    </xf>
    <xf numFmtId="0" fontId="12" fillId="82" borderId="76" xfId="0" applyFont="1" applyFill="1" applyBorder="1" applyAlignment="1">
      <alignment horizontal="center"/>
    </xf>
  </cellXfs>
  <cellStyles count="5204">
    <cellStyle name="-" xfId="38" xr:uid="{00000000-0005-0000-0000-000000000000}"/>
    <cellStyle name=" Task]_x000a__x000a_TaskName=Scan At_x000a__x000a_TaskID=3_x000a__x000a_WorkstationName=SmarTone_x000a__x000a_LastExecuted=0_x000a__x000a_LastSt" xfId="1927" xr:uid="{00000000-0005-0000-0000-000001000000}"/>
    <cellStyle name=" Task]_x000d__x000a_TaskName=Scan At_x000d__x000a_TaskID=3_x000d__x000a_WorkstationName=SmarTone_x000d__x000a_LastExecuted=0_x000d__x000a_LastSt" xfId="1926" xr:uid="{00000000-0005-0000-0000-000002000000}"/>
    <cellStyle name="_x000a_bidires=100_x000d_" xfId="39" xr:uid="{00000000-0005-0000-0000-000003000000}"/>
    <cellStyle name="_x000a_shell=progma" xfId="40" xr:uid="{00000000-0005-0000-0000-000004000000}"/>
    <cellStyle name="_x000d__x000a_JournalTemplate=C:\COMFO\CTALK\JOURSTD.TPL_x000d__x000a_LbStateAddress=3 3 0 251 1 89 2 311_x000d__x000a_LbStateJou" xfId="41" xr:uid="{00000000-0005-0000-0000-000005000000}"/>
    <cellStyle name="#.00wlleft" xfId="42" xr:uid="{00000000-0005-0000-0000-000006000000}"/>
    <cellStyle name="#.00wlleft 2" xfId="43" xr:uid="{00000000-0005-0000-0000-000007000000}"/>
    <cellStyle name="#wlleft" xfId="44" xr:uid="{00000000-0005-0000-0000-000008000000}"/>
    <cellStyle name="#wlleft 2" xfId="45" xr:uid="{00000000-0005-0000-0000-000009000000}"/>
    <cellStyle name="$#.00wlleft" xfId="46" xr:uid="{00000000-0005-0000-0000-00000A000000}"/>
    <cellStyle name="$#.00wlleft 2" xfId="47" xr:uid="{00000000-0005-0000-0000-00000B000000}"/>
    <cellStyle name="$0.0;($0.0)" xfId="48" xr:uid="{00000000-0005-0000-0000-00000C000000}"/>
    <cellStyle name="$0wlleft" xfId="49" xr:uid="{00000000-0005-0000-0000-00000D000000}"/>
    <cellStyle name="$0wlleft 2" xfId="50" xr:uid="{00000000-0005-0000-0000-00000E000000}"/>
    <cellStyle name="%" xfId="51" xr:uid="{00000000-0005-0000-0000-00000F000000}"/>
    <cellStyle name="% - total" xfId="52" xr:uid="{00000000-0005-0000-0000-000010000000}"/>
    <cellStyle name="% 2" xfId="53" xr:uid="{00000000-0005-0000-0000-000011000000}"/>
    <cellStyle name="% 3" xfId="54" xr:uid="{00000000-0005-0000-0000-000012000000}"/>
    <cellStyle name="% 4" xfId="55" xr:uid="{00000000-0005-0000-0000-000013000000}"/>
    <cellStyle name="%_Betas and WACC" xfId="56" xr:uid="{00000000-0005-0000-0000-000014000000}"/>
    <cellStyle name="%_Betas and WACC_DSL v2" xfId="57" xr:uid="{00000000-0005-0000-0000-000015000000}"/>
    <cellStyle name="%_Betas and WACC_IT" xfId="58" xr:uid="{00000000-0005-0000-0000-000016000000}"/>
    <cellStyle name="%_DATA (AH)" xfId="59" xr:uid="{00000000-0005-0000-0000-000017000000}"/>
    <cellStyle name="%_DSL v2" xfId="60" xr:uid="{00000000-0005-0000-0000-000018000000}"/>
    <cellStyle name="%_EUROPE icon waterfall" xfId="61" xr:uid="{00000000-0005-0000-0000-000019000000}"/>
    <cellStyle name="%_FAP Forecasting v1.03" xfId="62" xr:uid="{00000000-0005-0000-0000-00001A000000}"/>
    <cellStyle name="%_Fixed_Services_0910_2+10_VG2" xfId="63" xr:uid="{00000000-0005-0000-0000-00001B000000}"/>
    <cellStyle name="%_GROUP horizontal IS (stat)" xfId="64" xr:uid="{00000000-0005-0000-0000-00001C000000}"/>
    <cellStyle name="%_Horizontal" xfId="65" xr:uid="{00000000-0005-0000-0000-00001D000000}"/>
    <cellStyle name="%_LRP Horizontal income statement and KPIs" xfId="66" xr:uid="{00000000-0005-0000-0000-00001E000000}"/>
    <cellStyle name="%_LRP revenue stimulation in Europe (EV) v2" xfId="67" xr:uid="{00000000-0005-0000-0000-00001F000000}"/>
    <cellStyle name="%_Mobile plus revenue_EV_211106 V2- DRAFT (HC)" xfId="68" xr:uid="{00000000-0005-0000-0000-000020000000}"/>
    <cellStyle name="%_Mobile plus revenue_EV_281106_POST REVIEW OUTPUT_(KH update)" xfId="69" xr:uid="{00000000-0005-0000-0000-000021000000}"/>
    <cellStyle name="&amp;Eingabe" xfId="70" xr:uid="{00000000-0005-0000-0000-000022000000}"/>
    <cellStyle name="&amp;Eingabe 2" xfId="1932" xr:uid="{00000000-0005-0000-0000-000023000000}"/>
    <cellStyle name="&amp;Eingabe 2 2" xfId="2861" xr:uid="{00000000-0005-0000-0000-000024000000}"/>
    <cellStyle name="&amp;Eingabe 3" xfId="2365" xr:uid="{00000000-0005-0000-0000-000025000000}"/>
    <cellStyle name="&amp;Gesperrt" xfId="71" xr:uid="{00000000-0005-0000-0000-000026000000}"/>
    <cellStyle name="&amp;Kombi" xfId="72" xr:uid="{00000000-0005-0000-0000-000027000000}"/>
    <cellStyle name="(0%) &quot; - &quot;" xfId="73" xr:uid="{00000000-0005-0000-0000-000028000000}"/>
    <cellStyle name="(0,000) &quot; - &quot;" xfId="74" xr:uid="{00000000-0005-0000-0000-000029000000}"/>
    <cellStyle name="******************************************" xfId="75" xr:uid="{00000000-0005-0000-0000-00002A000000}"/>
    <cellStyle name=";;;" xfId="76" xr:uid="{00000000-0005-0000-0000-00002B000000}"/>
    <cellStyle name="?? [0.00]_PL&amp;BS" xfId="77" xr:uid="{00000000-0005-0000-0000-00002C000000}"/>
    <cellStyle name="?? [0]_??" xfId="78" xr:uid="{00000000-0005-0000-0000-00002D000000}"/>
    <cellStyle name="???" xfId="79" xr:uid="{00000000-0005-0000-0000-00002E000000}"/>
    <cellStyle name="???? [0.00]_CAW17_Japan Financial Model_v9 Consolidated Asia Adjusted" xfId="80" xr:uid="{00000000-0005-0000-0000-00002F000000}"/>
    <cellStyle name="?????? [0]_SWISS" xfId="81" xr:uid="{00000000-0005-0000-0000-000030000000}"/>
    <cellStyle name="???????_Budget_2001" xfId="82" xr:uid="{00000000-0005-0000-0000-000031000000}"/>
    <cellStyle name="??????_SWISS" xfId="83" xr:uid="{00000000-0005-0000-0000-000032000000}"/>
    <cellStyle name="?????_QTBLNEW" xfId="84" xr:uid="{00000000-0005-0000-0000-000033000000}"/>
    <cellStyle name="????_CAW17_Japan Financial Model_v9 Consolidated Asia Adjusted" xfId="85" xr:uid="{00000000-0005-0000-0000-000034000000}"/>
    <cellStyle name="???[0]_11 version c&amp;wrevenue-ctt3" xfId="86" xr:uid="{00000000-0005-0000-0000-000035000000}"/>
    <cellStyle name="???_11 version c&amp;wrevenue-ctt3" xfId="1933" xr:uid="{00000000-0005-0000-0000-000036000000}"/>
    <cellStyle name="??_?.????" xfId="87" xr:uid="{00000000-0005-0000-0000-000037000000}"/>
    <cellStyle name="_%(SignOnly)_GermanyHo" xfId="88" xr:uid="{00000000-0005-0000-0000-000038000000}"/>
    <cellStyle name="_%(SignSpaceOnly)_GermanyHo" xfId="89" xr:uid="{00000000-0005-0000-0000-000039000000}"/>
    <cellStyle name="_050125 Operational model" xfId="90" xr:uid="{00000000-0005-0000-0000-00003A000000}"/>
    <cellStyle name="_050301 Camel operational model V1" xfId="91" xr:uid="{00000000-0005-0000-0000-00003B000000}"/>
    <cellStyle name="_050816 Cheetah-multiple analysis at various prices" xfId="92" xr:uid="{00000000-0005-0000-0000-00003C000000}"/>
    <cellStyle name="_110225" xfId="93" xr:uid="{00000000-0005-0000-0000-00003D000000}"/>
    <cellStyle name="_1659-3-EST" xfId="94" xr:uid="{00000000-0005-0000-0000-00003E000000}"/>
    <cellStyle name="_2110458L.xls Chart 1" xfId="95" xr:uid="{00000000-0005-0000-0000-00003F000000}"/>
    <cellStyle name="_2110458L.xls Chart 1_Appendix 1a part 4 - Kathryn" xfId="96" xr:uid="{00000000-0005-0000-0000-000040000000}"/>
    <cellStyle name="_2110458L.xls Chart 1_DSL v2" xfId="97" xr:uid="{00000000-0005-0000-0000-000041000000}"/>
    <cellStyle name="_2120587L.xls Chart 1" xfId="98" xr:uid="{00000000-0005-0000-0000-000042000000}"/>
    <cellStyle name="_2120587L.xls Chart 1_Europe fixed line &amp; DSL - Alea" xfId="99" xr:uid="{00000000-0005-0000-0000-000043000000}"/>
    <cellStyle name="_2120587L.xls Chart 1_HORIZONTAL 2008_9 OUTPUTS - 5YP Europe only" xfId="100" xr:uid="{00000000-0005-0000-0000-000044000000}"/>
    <cellStyle name="_2120587L.xls Chart 1-1" xfId="101" xr:uid="{00000000-0005-0000-0000-000045000000}"/>
    <cellStyle name="_2120587L.xls Chart 1-2" xfId="102" xr:uid="{00000000-0005-0000-0000-000046000000}"/>
    <cellStyle name="_2120587L.xls Chart 1-3" xfId="103" xr:uid="{00000000-0005-0000-0000-000047000000}"/>
    <cellStyle name="_2120587L.xls Chart 2" xfId="104" xr:uid="{00000000-0005-0000-0000-000048000000}"/>
    <cellStyle name="_2120587L.xls Chart 2-1" xfId="105" xr:uid="{00000000-0005-0000-0000-000049000000}"/>
    <cellStyle name="_3010065L" xfId="106" xr:uid="{00000000-0005-0000-0000-00004A000000}"/>
    <cellStyle name="_3070172AL" xfId="107" xr:uid="{00000000-0005-0000-0000-00004B000000}"/>
    <cellStyle name="_3070172L" xfId="108" xr:uid="{00000000-0005-0000-0000-00004C000000}"/>
    <cellStyle name="_3080054l" xfId="109" xr:uid="{00000000-0005-0000-0000-00004D000000}"/>
    <cellStyle name="_3100028L" xfId="110" xr:uid="{00000000-0005-0000-0000-00004E000000}"/>
    <cellStyle name="_3110205l" xfId="111" xr:uid="{00000000-0005-0000-0000-00004F000000}"/>
    <cellStyle name="_Advertising Dicembre 02 HC" xfId="112" xr:uid="{00000000-0005-0000-0000-000050000000}"/>
    <cellStyle name="_Advertising Gennaio 03" xfId="113" xr:uid="{00000000-0005-0000-0000-000051000000}"/>
    <cellStyle name="_Advertising_Giugno" xfId="114" xr:uid="{00000000-0005-0000-0000-000052000000}"/>
    <cellStyle name="_Alt5" xfId="115" xr:uid="{00000000-0005-0000-0000-000053000000}"/>
    <cellStyle name="_Alt5 2" xfId="3635" xr:uid="{A1DD1BAD-86C0-4B14-BFB0-B977B6A513D8}"/>
    <cellStyle name="_Alt5_2+10 Pre-Sub Template v0.4" xfId="116" xr:uid="{00000000-0005-0000-0000-000054000000}"/>
    <cellStyle name="_Alt5_2+10 Pre-Sub Template v0.4 2" xfId="3636" xr:uid="{463F9878-7769-48DD-ACBE-086AF9814A76}"/>
    <cellStyle name="_Alt5_3090107L" xfId="117" xr:uid="{00000000-0005-0000-0000-000055000000}"/>
    <cellStyle name="_Alt5_3090107L 2" xfId="3637" xr:uid="{F8C2267F-7493-4408-9307-C602A82012E2}"/>
    <cellStyle name="_Alt5_3090107L_2+10 CEO Country review template v1" xfId="118" xr:uid="{00000000-0005-0000-0000-000056000000}"/>
    <cellStyle name="_Alt5_Book1" xfId="119" xr:uid="{00000000-0005-0000-0000-000057000000}"/>
    <cellStyle name="_Alt5_Book1 2" xfId="3638" xr:uid="{857677D0-EE8A-4046-AA47-6EE76CC6E561}"/>
    <cellStyle name="_Alt5_DSL v2" xfId="120" xr:uid="{00000000-0005-0000-0000-000058000000}"/>
    <cellStyle name="_Alt5_GR" xfId="121" xr:uid="{00000000-0005-0000-0000-000059000000}"/>
    <cellStyle name="_Alt5_GR 2" xfId="3639" xr:uid="{9D9AC848-1E5F-4276-A533-E3D700815118}"/>
    <cellStyle name="_analisi costi below cons+previsioni" xfId="122" xr:uid="{00000000-0005-0000-0000-00005A000000}"/>
    <cellStyle name="_Assumption update Sept 2005 v1" xfId="123" xr:uid="{00000000-0005-0000-0000-00005B000000}"/>
    <cellStyle name="_Astika Kentra_Marketing2" xfId="124" xr:uid="{00000000-0005-0000-0000-00005C000000}"/>
    <cellStyle name="_Astika Kentra_Marketing2_HOL_5Yforecast" xfId="125" xr:uid="{00000000-0005-0000-0000-00005D000000}"/>
    <cellStyle name="_Astika Kentra_Marketing2_Sheet3" xfId="126" xr:uid="{00000000-0005-0000-0000-00005E000000}"/>
    <cellStyle name="_BC Streaming v5_MV_a" xfId="127" xr:uid="{00000000-0005-0000-0000-00005F000000}"/>
    <cellStyle name="_BELOW 01_03_sintesi-agg" xfId="128" xr:uid="{00000000-0005-0000-0000-000060000000}"/>
    <cellStyle name="_BELOW 06-02" xfId="129" xr:uid="{00000000-0005-0000-0000-000061000000}"/>
    <cellStyle name="_BELOW 11-02" xfId="130" xr:uid="{00000000-0005-0000-0000-000062000000}"/>
    <cellStyle name="_BELOW-CONS-01-02" xfId="131" xr:uid="{00000000-0005-0000-0000-000063000000}"/>
    <cellStyle name="_Book1" xfId="132" xr:uid="{00000000-0005-0000-0000-000064000000}"/>
    <cellStyle name="_Book1 2" xfId="133" xr:uid="{00000000-0005-0000-0000-000065000000}"/>
    <cellStyle name="_Book2 (7)" xfId="134" xr:uid="{00000000-0005-0000-0000-000066000000}"/>
    <cellStyle name="_Book2 (7)_HOL_5Yforecast" xfId="135" xr:uid="{00000000-0005-0000-0000-000067000000}"/>
    <cellStyle name="_Book2 (7)_Sheet3" xfId="136" xr:uid="{00000000-0005-0000-0000-000068000000}"/>
    <cellStyle name="_Book3 (3)" xfId="137" xr:uid="{00000000-0005-0000-0000-000069000000}"/>
    <cellStyle name="_Book3 (3)_HOL_5Yforecast" xfId="138" xr:uid="{00000000-0005-0000-0000-00006A000000}"/>
    <cellStyle name="_Book3 (3)_Sheet3" xfId="139" xr:uid="{00000000-0005-0000-0000-00006B000000}"/>
    <cellStyle name="_Book31" xfId="140" xr:uid="{00000000-0005-0000-0000-00006C000000}"/>
    <cellStyle name="_BP vs Mgt1" xfId="141" xr:uid="{00000000-0005-0000-0000-00006D000000}"/>
    <cellStyle name="_BU Corp HC Detail" xfId="142" xr:uid="{00000000-0005-0000-0000-00006E000000}"/>
    <cellStyle name="_BUDGET-GEN-MARZO 2001" xfId="143" xr:uid="{00000000-0005-0000-0000-00006F000000}"/>
    <cellStyle name="_C3160_LEs for DSL LRP_FY0809_FY0910DB_FY1011_v2 (4)" xfId="144" xr:uid="{00000000-0005-0000-0000-000070000000}"/>
    <cellStyle name="_Calculation v2" xfId="145" xr:uid="{00000000-0005-0000-0000-000071000000}"/>
    <cellStyle name="_CN-CONSOLIDATED_COMMITMENT (2)" xfId="146" xr:uid="{00000000-0005-0000-0000-000072000000}"/>
    <cellStyle name="_Column1" xfId="147" xr:uid="{00000000-0005-0000-0000-000073000000}"/>
    <cellStyle name="_Column1_2.4-Stat P&amp;L" xfId="148" xr:uid="{00000000-0005-0000-0000-000074000000}"/>
    <cellStyle name="_Column1_2+10 CEO Country review template v1" xfId="149" xr:uid="{00000000-0005-0000-0000-000075000000}"/>
    <cellStyle name="_Column1_Capex Actuals 2+10 2007_8" xfId="150" xr:uid="{00000000-0005-0000-0000-000076000000}"/>
    <cellStyle name="_Column1_Capex Actuals 2006_7" xfId="151" xr:uid="{00000000-0005-0000-0000-000077000000}"/>
    <cellStyle name="_Column1_Capital Intensity" xfId="152" xr:uid="{00000000-0005-0000-0000-000078000000}"/>
    <cellStyle name="_Column1_DATA (AH)" xfId="153" xr:uid="{00000000-0005-0000-0000-000079000000}"/>
    <cellStyle name="_Column1_EUROPE icon waterfall" xfId="154" xr:uid="{00000000-0005-0000-0000-00007A000000}"/>
    <cellStyle name="_Column1_Ex POST  XMAS card al 31012006" xfId="155" xr:uid="{00000000-0005-0000-0000-00007B000000}"/>
    <cellStyle name="_Column1_GROUP horizontal IS (stat)" xfId="156" xr:uid="{00000000-0005-0000-0000-00007C000000}"/>
    <cellStyle name="_Column1_Group income statement rec" xfId="157" xr:uid="{00000000-0005-0000-0000-00007D000000}"/>
    <cellStyle name="_Column1_HC" xfId="158" xr:uid="{00000000-0005-0000-0000-00007E000000}"/>
    <cellStyle name="_Column1_Horizontal" xfId="159" xr:uid="{00000000-0005-0000-0000-00007F000000}"/>
    <cellStyle name="_Column1_LRP Horizontal income statement and KPIs" xfId="160" xr:uid="{00000000-0005-0000-0000-000080000000}"/>
    <cellStyle name="_Column1_LRP revenue stimulation in Europe (EV) v2" xfId="161" xr:uid="{00000000-0005-0000-0000-000081000000}"/>
    <cellStyle name="_Column1_MIS5" xfId="162" xr:uid="{00000000-0005-0000-0000-000082000000}"/>
    <cellStyle name="_Column1_Mobile plus revenue_EV_211106 V2- DRAFT (HC)" xfId="163" xr:uid="{00000000-0005-0000-0000-000083000000}"/>
    <cellStyle name="_Column1_Mobile plus revenue_EV_281106_POST REVIEW OUTPUT_(KH update)" xfId="164" xr:uid="{00000000-0005-0000-0000-000084000000}"/>
    <cellStyle name="_Column1_Service revenue for Ed 24NOV06" xfId="165" xr:uid="{00000000-0005-0000-0000-000085000000}"/>
    <cellStyle name="_Column2" xfId="166" xr:uid="{00000000-0005-0000-0000-000086000000}"/>
    <cellStyle name="_Column2_2.4-Stat P&amp;L" xfId="167" xr:uid="{00000000-0005-0000-0000-000087000000}"/>
    <cellStyle name="_Column2_2+10 CEO Country review template v1" xfId="168" xr:uid="{00000000-0005-0000-0000-000088000000}"/>
    <cellStyle name="_Column2_Capex Actuals 2+10 2007_8" xfId="169" xr:uid="{00000000-0005-0000-0000-000089000000}"/>
    <cellStyle name="_Column2_Capex Actuals 2006_7" xfId="170" xr:uid="{00000000-0005-0000-0000-00008A000000}"/>
    <cellStyle name="_Column2_Capital Intensity" xfId="171" xr:uid="{00000000-0005-0000-0000-00008B000000}"/>
    <cellStyle name="_Column2_DATA (AH)" xfId="172" xr:uid="{00000000-0005-0000-0000-00008C000000}"/>
    <cellStyle name="_Column2_EUROPE icon waterfall" xfId="173" xr:uid="{00000000-0005-0000-0000-00008D000000}"/>
    <cellStyle name="_Column2_Ex POST  XMAS card al 31012006" xfId="174" xr:uid="{00000000-0005-0000-0000-00008E000000}"/>
    <cellStyle name="_Column2_GROUP horizontal IS (stat)" xfId="175" xr:uid="{00000000-0005-0000-0000-00008F000000}"/>
    <cellStyle name="_Column2_Group income statement rec" xfId="176" xr:uid="{00000000-0005-0000-0000-000090000000}"/>
    <cellStyle name="_Column2_HC" xfId="177" xr:uid="{00000000-0005-0000-0000-000091000000}"/>
    <cellStyle name="_Column2_Horizontal" xfId="178" xr:uid="{00000000-0005-0000-0000-000092000000}"/>
    <cellStyle name="_Column2_LRP Horizontal income statement and KPIs" xfId="179" xr:uid="{00000000-0005-0000-0000-000093000000}"/>
    <cellStyle name="_Column2_LRP revenue stimulation in Europe (EV) v2" xfId="180" xr:uid="{00000000-0005-0000-0000-000094000000}"/>
    <cellStyle name="_Column2_MIS5" xfId="181" xr:uid="{00000000-0005-0000-0000-000095000000}"/>
    <cellStyle name="_Column2_Mobile plus revenue_EV_211106 V2- DRAFT (HC)" xfId="182" xr:uid="{00000000-0005-0000-0000-000096000000}"/>
    <cellStyle name="_Column2_Mobile plus revenue_EV_281106_POST REVIEW OUTPUT_(KH update)" xfId="183" xr:uid="{00000000-0005-0000-0000-000097000000}"/>
    <cellStyle name="_Column2_Service revenue for Ed 24NOV06" xfId="184" xr:uid="{00000000-0005-0000-0000-000098000000}"/>
    <cellStyle name="_Column3" xfId="185" xr:uid="{00000000-0005-0000-0000-000099000000}"/>
    <cellStyle name="_Column3_2.4-Stat P&amp;L" xfId="186" xr:uid="{00000000-0005-0000-0000-00009A000000}"/>
    <cellStyle name="_Column3_2+10 CEO Country review template v1" xfId="187" xr:uid="{00000000-0005-0000-0000-00009B000000}"/>
    <cellStyle name="_Column3_Capex Actuals 2+10 2007_8" xfId="188" xr:uid="{00000000-0005-0000-0000-00009C000000}"/>
    <cellStyle name="_Column3_Capex Actuals 2006_7" xfId="189" xr:uid="{00000000-0005-0000-0000-00009D000000}"/>
    <cellStyle name="_Column3_Capital Intensity" xfId="190" xr:uid="{00000000-0005-0000-0000-00009E000000}"/>
    <cellStyle name="_Column3_DATA (AH)" xfId="191" xr:uid="{00000000-0005-0000-0000-00009F000000}"/>
    <cellStyle name="_Column3_EUROPE icon waterfall" xfId="192" xr:uid="{00000000-0005-0000-0000-0000A0000000}"/>
    <cellStyle name="_Column3_Ex POST  XMAS card al 31012006" xfId="193" xr:uid="{00000000-0005-0000-0000-0000A1000000}"/>
    <cellStyle name="_Column3_GROUP horizontal IS (stat)" xfId="194" xr:uid="{00000000-0005-0000-0000-0000A2000000}"/>
    <cellStyle name="_Column3_Group income statement rec" xfId="195" xr:uid="{00000000-0005-0000-0000-0000A3000000}"/>
    <cellStyle name="_Column3_HC" xfId="196" xr:uid="{00000000-0005-0000-0000-0000A4000000}"/>
    <cellStyle name="_Column3_Horizontal" xfId="197" xr:uid="{00000000-0005-0000-0000-0000A5000000}"/>
    <cellStyle name="_Column3_LRP Horizontal income statement and KPIs" xfId="198" xr:uid="{00000000-0005-0000-0000-0000A6000000}"/>
    <cellStyle name="_Column3_LRP revenue stimulation in Europe (EV) v2" xfId="199" xr:uid="{00000000-0005-0000-0000-0000A7000000}"/>
    <cellStyle name="_Column3_MIS5" xfId="200" xr:uid="{00000000-0005-0000-0000-0000A8000000}"/>
    <cellStyle name="_Column3_Mobile plus revenue_EV_211106 V2- DRAFT (HC)" xfId="201" xr:uid="{00000000-0005-0000-0000-0000A9000000}"/>
    <cellStyle name="_Column3_Mobile plus revenue_EV_281106_POST REVIEW OUTPUT_(KH update)" xfId="202" xr:uid="{00000000-0005-0000-0000-0000AA000000}"/>
    <cellStyle name="_Column3_Service revenue for Ed 24NOV06" xfId="203" xr:uid="{00000000-0005-0000-0000-0000AB000000}"/>
    <cellStyle name="_Column4" xfId="204" xr:uid="{00000000-0005-0000-0000-0000AC000000}"/>
    <cellStyle name="_Column4_2.4-Stat P&amp;L" xfId="205" xr:uid="{00000000-0005-0000-0000-0000AD000000}"/>
    <cellStyle name="_Column4_2+10 CEO Country review template v1" xfId="206" xr:uid="{00000000-0005-0000-0000-0000AE000000}"/>
    <cellStyle name="_Column4_Capex Actuals 2+10 2007_8" xfId="207" xr:uid="{00000000-0005-0000-0000-0000AF000000}"/>
    <cellStyle name="_Column4_Capex Actuals 2006_7" xfId="208" xr:uid="{00000000-0005-0000-0000-0000B0000000}"/>
    <cellStyle name="_Column4_Capital Intensity" xfId="209" xr:uid="{00000000-0005-0000-0000-0000B1000000}"/>
    <cellStyle name="_Column4_DATA (AH)" xfId="210" xr:uid="{00000000-0005-0000-0000-0000B2000000}"/>
    <cellStyle name="_Column4_EUROPE icon waterfall" xfId="211" xr:uid="{00000000-0005-0000-0000-0000B3000000}"/>
    <cellStyle name="_Column4_Ex POST  XMAS card al 31012006" xfId="212" xr:uid="{00000000-0005-0000-0000-0000B4000000}"/>
    <cellStyle name="_Column4_GROUP horizontal IS (stat)" xfId="213" xr:uid="{00000000-0005-0000-0000-0000B5000000}"/>
    <cellStyle name="_Column4_Group income statement rec" xfId="214" xr:uid="{00000000-0005-0000-0000-0000B6000000}"/>
    <cellStyle name="_Column4_HC" xfId="215" xr:uid="{00000000-0005-0000-0000-0000B7000000}"/>
    <cellStyle name="_Column4_Horizontal" xfId="216" xr:uid="{00000000-0005-0000-0000-0000B8000000}"/>
    <cellStyle name="_Column4_LRP Horizontal income statement and KPIs" xfId="217" xr:uid="{00000000-0005-0000-0000-0000B9000000}"/>
    <cellStyle name="_Column4_LRP revenue stimulation in Europe (EV) v2" xfId="218" xr:uid="{00000000-0005-0000-0000-0000BA000000}"/>
    <cellStyle name="_Column4_MIS5" xfId="219" xr:uid="{00000000-0005-0000-0000-0000BB000000}"/>
    <cellStyle name="_Column4_Mobile plus revenue_EV_211106 V2- DRAFT (HC)" xfId="220" xr:uid="{00000000-0005-0000-0000-0000BC000000}"/>
    <cellStyle name="_Column4_Mobile plus revenue_EV_281106_POST REVIEW OUTPUT_(KH update)" xfId="221" xr:uid="{00000000-0005-0000-0000-0000BD000000}"/>
    <cellStyle name="_Column4_Service revenue for Ed 24NOV06" xfId="222" xr:uid="{00000000-0005-0000-0000-0000BE000000}"/>
    <cellStyle name="_Column5" xfId="223" xr:uid="{00000000-0005-0000-0000-0000BF000000}"/>
    <cellStyle name="_Column5_070503_Revised" xfId="224" xr:uid="{00000000-0005-0000-0000-0000C0000000}"/>
    <cellStyle name="_Column5_2.4-Stat P&amp;L" xfId="225" xr:uid="{00000000-0005-0000-0000-0000C1000000}"/>
    <cellStyle name="_Column5_2+10 CEO Country review template v1" xfId="226" xr:uid="{00000000-0005-0000-0000-0000C2000000}"/>
    <cellStyle name="_Column5_271201" xfId="227" xr:uid="{00000000-0005-0000-0000-0000C3000000}"/>
    <cellStyle name="_Column5_271201.XLS Chart 16" xfId="228" xr:uid="{00000000-0005-0000-0000-0000C4000000}"/>
    <cellStyle name="_Column5_5+7F&amp;OB updates for IR 14DEC05" xfId="229" xr:uid="{00000000-0005-0000-0000-0000C5000000}"/>
    <cellStyle name="_Column5_Assumption update Sept 2005 v1" xfId="230" xr:uid="{00000000-0005-0000-0000-0000C6000000}"/>
    <cellStyle name="_Column5_Book31" xfId="231" xr:uid="{00000000-0005-0000-0000-0000C7000000}"/>
    <cellStyle name="_Column5_Capex Actuals 2+10 2007_8" xfId="232" xr:uid="{00000000-0005-0000-0000-0000C8000000}"/>
    <cellStyle name="_Column5_Capex Actuals 2006_7" xfId="233" xr:uid="{00000000-0005-0000-0000-0000C9000000}"/>
    <cellStyle name="_Column5_Capital Intensity" xfId="234" xr:uid="{00000000-0005-0000-0000-0000CA000000}"/>
    <cellStyle name="_Column5_DATA (AH)" xfId="235" xr:uid="{00000000-0005-0000-0000-0000CB000000}"/>
    <cellStyle name="_Column5_Elisa multiple5" xfId="236" xr:uid="{00000000-0005-0000-0000-0000CC000000}"/>
    <cellStyle name="_Column5_EUROPE icon waterfall" xfId="237" xr:uid="{00000000-0005-0000-0000-0000CD000000}"/>
    <cellStyle name="_Column5_Ex POST  XMAS card al 31012006" xfId="238" xr:uid="{00000000-0005-0000-0000-0000CE000000}"/>
    <cellStyle name="_Column5_GROUP horizontal IS (stat)" xfId="239" xr:uid="{00000000-0005-0000-0000-0000CF000000}"/>
    <cellStyle name="_Column5_Group income statement rec" xfId="240" xr:uid="{00000000-0005-0000-0000-0000D0000000}"/>
    <cellStyle name="_Column5_HC" xfId="241" xr:uid="{00000000-0005-0000-0000-0000D1000000}"/>
    <cellStyle name="_Column5_Horizontal" xfId="242" xr:uid="{00000000-0005-0000-0000-0000D2000000}"/>
    <cellStyle name="_Column5_LRP Horizontal income statement and KPIs" xfId="243" xr:uid="{00000000-0005-0000-0000-0000D3000000}"/>
    <cellStyle name="_Column5_LRP revenue stimulation in Europe (EV) v2" xfId="244" xr:uid="{00000000-0005-0000-0000-0000D4000000}"/>
    <cellStyle name="_Column5_MIS5" xfId="245" xr:uid="{00000000-0005-0000-0000-0000D5000000}"/>
    <cellStyle name="_Column5_Mobile plus revenue_EV_211106 V2- DRAFT (HC)" xfId="246" xr:uid="{00000000-0005-0000-0000-0000D6000000}"/>
    <cellStyle name="_Column5_Mobile plus revenue_EV_281106_POST REVIEW OUTPUT_(KH update)" xfId="247" xr:uid="{00000000-0005-0000-0000-0000D7000000}"/>
    <cellStyle name="_Column5_Service revenue for Ed 24NOV06" xfId="248" xr:uid="{00000000-0005-0000-0000-0000D8000000}"/>
    <cellStyle name="_Column5_Statements sent to PWC 20051113" xfId="249" xr:uid="{00000000-0005-0000-0000-0000D9000000}"/>
    <cellStyle name="_Column5_Telsim 19-July-04" xfId="250" xr:uid="{00000000-0005-0000-0000-0000DA000000}"/>
    <cellStyle name="_Column5_Tower data file" xfId="251" xr:uid="{00000000-0005-0000-0000-0000DB000000}"/>
    <cellStyle name="_Column5_UBS Delight 20051010 v2" xfId="252" xr:uid="{00000000-0005-0000-0000-0000DC000000}"/>
    <cellStyle name="_Column5_UBS Delight 20051024" xfId="253" xr:uid="{00000000-0005-0000-0000-0000DD000000}"/>
    <cellStyle name="_Column5_UBS Delight 20051028" xfId="254" xr:uid="{00000000-0005-0000-0000-0000DE000000}"/>
    <cellStyle name="_Column5_UBS Delight 20051030" xfId="255" xr:uid="{00000000-0005-0000-0000-0000DF000000}"/>
    <cellStyle name="_Column5_UBS Delight 20051103" xfId="256" xr:uid="{00000000-0005-0000-0000-0000E0000000}"/>
    <cellStyle name="_Column5_UBS Delight 20051106" xfId="257" xr:uid="{00000000-0005-0000-0000-0000E1000000}"/>
    <cellStyle name="_Column5_UBS Delight 20051109" xfId="258" xr:uid="{00000000-0005-0000-0000-0000E2000000}"/>
    <cellStyle name="_Column5_UBS Delight 20051113" xfId="259" xr:uid="{00000000-0005-0000-0000-0000E3000000}"/>
    <cellStyle name="_Column5_UBS Delight 20051115" xfId="260" xr:uid="{00000000-0005-0000-0000-0000E4000000}"/>
    <cellStyle name="_Column5_UBS Delight 20051116" xfId="261" xr:uid="{00000000-0005-0000-0000-0000E5000000}"/>
    <cellStyle name="_Column5_UBS Delight 20051120" xfId="262" xr:uid="{00000000-0005-0000-0000-0000E6000000}"/>
    <cellStyle name="_Column5_UBS Delight 20051121" xfId="263" xr:uid="{00000000-0005-0000-0000-0000E7000000}"/>
    <cellStyle name="_Column5_UBS Delight 20051123" xfId="264" xr:uid="{00000000-0005-0000-0000-0000E8000000}"/>
    <cellStyle name="_Column5_UBS Delight 20051129 (2)" xfId="265" xr:uid="{00000000-0005-0000-0000-0000E9000000}"/>
    <cellStyle name="_Column6" xfId="266" xr:uid="{00000000-0005-0000-0000-0000EA000000}"/>
    <cellStyle name="_Column6_2.4-Stat P&amp;L" xfId="267" xr:uid="{00000000-0005-0000-0000-0000EB000000}"/>
    <cellStyle name="_Column6_2+10 CEO Country review template v1" xfId="268" xr:uid="{00000000-0005-0000-0000-0000EC000000}"/>
    <cellStyle name="_Column6_Capex Actuals 2+10 2007_8" xfId="269" xr:uid="{00000000-0005-0000-0000-0000ED000000}"/>
    <cellStyle name="_Column6_Capex Actuals 2006_7" xfId="270" xr:uid="{00000000-0005-0000-0000-0000EE000000}"/>
    <cellStyle name="_Column6_Capital Intensity" xfId="271" xr:uid="{00000000-0005-0000-0000-0000EF000000}"/>
    <cellStyle name="_Column6_DATA (AH)" xfId="272" xr:uid="{00000000-0005-0000-0000-0000F0000000}"/>
    <cellStyle name="_Column6_EUROPE icon waterfall" xfId="273" xr:uid="{00000000-0005-0000-0000-0000F1000000}"/>
    <cellStyle name="_Column6_Ex POST  XMAS card al 31012006" xfId="274" xr:uid="{00000000-0005-0000-0000-0000F2000000}"/>
    <cellStyle name="_Column6_GROUP horizontal IS (stat)" xfId="275" xr:uid="{00000000-0005-0000-0000-0000F3000000}"/>
    <cellStyle name="_Column6_Group income statement rec" xfId="276" xr:uid="{00000000-0005-0000-0000-0000F4000000}"/>
    <cellStyle name="_Column6_HC" xfId="277" xr:uid="{00000000-0005-0000-0000-0000F5000000}"/>
    <cellStyle name="_Column6_Horizontal" xfId="278" xr:uid="{00000000-0005-0000-0000-0000F6000000}"/>
    <cellStyle name="_Column6_LRP Horizontal income statement and KPIs" xfId="279" xr:uid="{00000000-0005-0000-0000-0000F7000000}"/>
    <cellStyle name="_Column6_LRP revenue stimulation in Europe (EV) v2" xfId="280" xr:uid="{00000000-0005-0000-0000-0000F8000000}"/>
    <cellStyle name="_Column6_MIS5" xfId="281" xr:uid="{00000000-0005-0000-0000-0000F9000000}"/>
    <cellStyle name="_Column6_Mobile plus revenue_EV_211106 V2- DRAFT (HC)" xfId="282" xr:uid="{00000000-0005-0000-0000-0000FA000000}"/>
    <cellStyle name="_Column6_Mobile plus revenue_EV_281106_POST REVIEW OUTPUT_(KH update)" xfId="283" xr:uid="{00000000-0005-0000-0000-0000FB000000}"/>
    <cellStyle name="_Column6_Service revenue for Ed 24NOV06" xfId="284" xr:uid="{00000000-0005-0000-0000-0000FC000000}"/>
    <cellStyle name="_Column7" xfId="285" xr:uid="{00000000-0005-0000-0000-0000FD000000}"/>
    <cellStyle name="_Column7_2.4-Stat P&amp;L" xfId="286" xr:uid="{00000000-0005-0000-0000-0000FE000000}"/>
    <cellStyle name="_Column7_2+10 CEO Country review template v1" xfId="287" xr:uid="{00000000-0005-0000-0000-0000FF000000}"/>
    <cellStyle name="_Column7_Capex Actuals 2+10 2007_8" xfId="288" xr:uid="{00000000-0005-0000-0000-000000010000}"/>
    <cellStyle name="_Column7_Capex Actuals 2006_7" xfId="289" xr:uid="{00000000-0005-0000-0000-000001010000}"/>
    <cellStyle name="_Column7_Capital Intensity" xfId="290" xr:uid="{00000000-0005-0000-0000-000002010000}"/>
    <cellStyle name="_Column7_DATA (AH)" xfId="291" xr:uid="{00000000-0005-0000-0000-000003010000}"/>
    <cellStyle name="_Column7_EUROPE icon waterfall" xfId="292" xr:uid="{00000000-0005-0000-0000-000004010000}"/>
    <cellStyle name="_Column7_Ex POST  XMAS card al 31012006" xfId="293" xr:uid="{00000000-0005-0000-0000-000005010000}"/>
    <cellStyle name="_Column7_GROUP horizontal IS (stat)" xfId="294" xr:uid="{00000000-0005-0000-0000-000006010000}"/>
    <cellStyle name="_Column7_Group income statement rec" xfId="295" xr:uid="{00000000-0005-0000-0000-000007010000}"/>
    <cellStyle name="_Column7_HC" xfId="296" xr:uid="{00000000-0005-0000-0000-000008010000}"/>
    <cellStyle name="_Column7_Horizontal" xfId="297" xr:uid="{00000000-0005-0000-0000-000009010000}"/>
    <cellStyle name="_Column7_LRP Horizontal income statement and KPIs" xfId="298" xr:uid="{00000000-0005-0000-0000-00000A010000}"/>
    <cellStyle name="_Column7_LRP revenue stimulation in Europe (EV) v2" xfId="299" xr:uid="{00000000-0005-0000-0000-00000B010000}"/>
    <cellStyle name="_Column7_MIS5" xfId="300" xr:uid="{00000000-0005-0000-0000-00000C010000}"/>
    <cellStyle name="_Column7_Mobile plus revenue_EV_211106 V2- DRAFT (HC)" xfId="301" xr:uid="{00000000-0005-0000-0000-00000D010000}"/>
    <cellStyle name="_Column7_Mobile plus revenue_EV_281106_POST REVIEW OUTPUT_(KH update)" xfId="302" xr:uid="{00000000-0005-0000-0000-00000E010000}"/>
    <cellStyle name="_Column7_Service revenue for Ed 24NOV06" xfId="303" xr:uid="{00000000-0005-0000-0000-00000F010000}"/>
    <cellStyle name="_Comma" xfId="304" xr:uid="{00000000-0005-0000-0000-000010010000}"/>
    <cellStyle name="_Comma_bls roic_GermanyHo" xfId="305" xr:uid="{00000000-0005-0000-0000-000011010000}"/>
    <cellStyle name="_Comma_FT-6June2001_GermanyHo" xfId="306" xr:uid="{00000000-0005-0000-0000-000012010000}"/>
    <cellStyle name="_Comma_GermanyHo" xfId="307" xr:uid="{00000000-0005-0000-0000-000013010000}"/>
    <cellStyle name="_COMPENSI fee-TOT-11-02" xfId="308" xr:uid="{00000000-0005-0000-0000-000014010000}"/>
    <cellStyle name="_Cover e Indice" xfId="309" xr:uid="{00000000-0005-0000-0000-000015010000}"/>
    <cellStyle name="_Currency" xfId="310" xr:uid="{00000000-0005-0000-0000-000016010000}"/>
    <cellStyle name="_Currency_050301 Camel operational model V1" xfId="311" xr:uid="{00000000-0005-0000-0000-000017010000}"/>
    <cellStyle name="_Currency_2+10 CEO Country review template v1" xfId="312" xr:uid="{00000000-0005-0000-0000-000018010000}"/>
    <cellStyle name="_Currency_Betas and WACC_GermanyHo" xfId="313" xr:uid="{00000000-0005-0000-0000-000019010000}"/>
    <cellStyle name="_Currency_bls roic_GermanyHo" xfId="314" xr:uid="{00000000-0005-0000-0000-00001A010000}"/>
    <cellStyle name="_Currency_BLS_GermanyHo" xfId="315" xr:uid="{00000000-0005-0000-0000-00001B010000}"/>
    <cellStyle name="_Currency_Book1" xfId="316" xr:uid="{00000000-0005-0000-0000-00001C010000}"/>
    <cellStyle name="_Currency_Book1_2+10 CEO Country review template v1" xfId="317" xr:uid="{00000000-0005-0000-0000-00001D010000}"/>
    <cellStyle name="_Currency_Book1_2+10 CEO Country review template v1 2" xfId="3640" xr:uid="{7B38710B-0E18-4AED-928C-8D98EF3E81D2}"/>
    <cellStyle name="_Currency_Book1_Jazztel model 16DP3-Exhibits_Orange-Mar01" xfId="318" xr:uid="{00000000-0005-0000-0000-00001E010000}"/>
    <cellStyle name="_Currency_Book1_Jazztel model 16DP3-Exhibits_T_MOBIL2_GermanyHo" xfId="319" xr:uid="{00000000-0005-0000-0000-00001F010000}"/>
    <cellStyle name="_Currency_Book1_Jazztel model 16DP3-Exhibits_T_MOBIL2_Orange-May01_GermanyHo" xfId="320" xr:uid="{00000000-0005-0000-0000-000020010000}"/>
    <cellStyle name="_Currency_Book1_Jazztel model 18DP-exhibits_GermanyHo" xfId="321" xr:uid="{00000000-0005-0000-0000-000021010000}"/>
    <cellStyle name="_Currency_Book1_Orange-Sep01_GermanyHo" xfId="322" xr:uid="{00000000-0005-0000-0000-000022010000}"/>
    <cellStyle name="_Currency_Book1_Orange-Sep01_GermanyHo 2" xfId="3641" xr:uid="{1E6D2379-6B51-4976-A7B3-47170D90AECB}"/>
    <cellStyle name="_Currency_Tower operational model v4.2" xfId="323" xr:uid="{00000000-0005-0000-0000-000023010000}"/>
    <cellStyle name="_CurrencySpace" xfId="324" xr:uid="{00000000-0005-0000-0000-000024010000}"/>
    <cellStyle name="_CurrencySpace_bls roic_GermanyHo" xfId="325" xr:uid="{00000000-0005-0000-0000-000025010000}"/>
    <cellStyle name="_CurrencySpace_Combined Estimates Model 02" xfId="326" xr:uid="{00000000-0005-0000-0000-000026010000}"/>
    <cellStyle name="_CurrencySpace_Fixed Line Report 2008-09 Actuals v6 bench" xfId="327" xr:uid="{00000000-0005-0000-0000-000027010000}"/>
    <cellStyle name="_CurrencySpace_Fixed Line Report 2008-09 Actuals v6 bench HC" xfId="328" xr:uid="{00000000-0005-0000-0000-000028010000}"/>
    <cellStyle name="_CurrencySpace_Fixed Line Report 2008-09 Actuals v7 model" xfId="329" xr:uid="{00000000-0005-0000-0000-000029010000}"/>
    <cellStyle name="_CurrencySpace_Ownership" xfId="330" xr:uid="{00000000-0005-0000-0000-00002A010000}"/>
    <cellStyle name="_CurrencySpace_SOTP" xfId="331" xr:uid="{00000000-0005-0000-0000-00002B010000}"/>
    <cellStyle name="_CurrencySpace_Switches" xfId="332" xr:uid="{00000000-0005-0000-0000-00002C010000}"/>
    <cellStyle name="_CurrencySpace_Version 5" xfId="333" xr:uid="{00000000-0005-0000-0000-00002D010000}"/>
    <cellStyle name="_CurrencySpace_Viceroy Cons Inputs" xfId="334" xr:uid="{00000000-0005-0000-0000-00002E010000}"/>
    <cellStyle name="_CurrencySpace_VZW HC LRP05-6 valuation" xfId="335" xr:uid="{00000000-0005-0000-0000-00002F010000}"/>
    <cellStyle name="_Data" xfId="336" xr:uid="{00000000-0005-0000-0000-000030010000}"/>
    <cellStyle name="_Data_2.4-Stat P&amp;L" xfId="337" xr:uid="{00000000-0005-0000-0000-000031010000}"/>
    <cellStyle name="_Data_2+10 CEO Country review template v1" xfId="338" xr:uid="{00000000-0005-0000-0000-000032010000}"/>
    <cellStyle name="_Data_7.1-REGIONAL Mobile Plus" xfId="339" xr:uid="{00000000-0005-0000-0000-000033010000}"/>
    <cellStyle name="_Data_Capex Actuals 2+10 2007_8" xfId="340" xr:uid="{00000000-0005-0000-0000-000034010000}"/>
    <cellStyle name="_Data_Capex Actuals 2006_7" xfId="341" xr:uid="{00000000-0005-0000-0000-000035010000}"/>
    <cellStyle name="_Data_Capital Intensity" xfId="342" xr:uid="{00000000-0005-0000-0000-000036010000}"/>
    <cellStyle name="_Data_DATA (AH)" xfId="343" xr:uid="{00000000-0005-0000-0000-000037010000}"/>
    <cellStyle name="_Data_EUROPE icon waterfall" xfId="344" xr:uid="{00000000-0005-0000-0000-000038010000}"/>
    <cellStyle name="_Data_Ex POST  XMAS card al 31012006" xfId="345" xr:uid="{00000000-0005-0000-0000-000039010000}"/>
    <cellStyle name="_Data_Flash-Zahlen int Budget" xfId="346" xr:uid="{00000000-0005-0000-0000-00003A010000}"/>
    <cellStyle name="_Data_Flash-Zahlen int Budget_2+10 CEO Country review template v1" xfId="347" xr:uid="{00000000-0005-0000-0000-00003B010000}"/>
    <cellStyle name="_Data_Flash-Zahlen int Budget_Calculation v2" xfId="348" xr:uid="{00000000-0005-0000-0000-00003C010000}"/>
    <cellStyle name="_Data_Flash-Zahlen int Budget_Calculation v2_2+10 CEO Country review template v1" xfId="349" xr:uid="{00000000-0005-0000-0000-00003D010000}"/>
    <cellStyle name="_Data_Flash-Zahlen int Budget_Calculation v2_DB 1b Summary" xfId="350" xr:uid="{00000000-0005-0000-0000-00003E010000}"/>
    <cellStyle name="_Data_Flash-Zahlen int Budget_Calculation v2_DSL v2" xfId="351" xr:uid="{00000000-0005-0000-0000-00003F010000}"/>
    <cellStyle name="_Data_Flash-Zahlen int Budget_Calculation v2_GermanyHo" xfId="352" xr:uid="{00000000-0005-0000-0000-000040010000}"/>
    <cellStyle name="_Data_Flash-Zahlen int Budget_DB 1b Summary" xfId="353" xr:uid="{00000000-0005-0000-0000-000041010000}"/>
    <cellStyle name="_Data_Flash-Zahlen int Budget_DCF Template" xfId="354" xr:uid="{00000000-0005-0000-0000-000042010000}"/>
    <cellStyle name="_Data_Flash-Zahlen int Budget_DCF Template_Turkey" xfId="355" xr:uid="{00000000-0005-0000-0000-000043010000}"/>
    <cellStyle name="_Data_Flash-Zahlen int Budget_DCF-2" xfId="356" xr:uid="{00000000-0005-0000-0000-000044010000}"/>
    <cellStyle name="_Data_Flash-Zahlen int Budget_DSL v2" xfId="357" xr:uid="{00000000-0005-0000-0000-000045010000}"/>
    <cellStyle name="_Data_Flash-Zahlen int Budget_GermanyHo" xfId="358" xr:uid="{00000000-0005-0000-0000-000046010000}"/>
    <cellStyle name="_Data_Flash-Zahlen int Budget_Tower operational model v4.3" xfId="359" xr:uid="{00000000-0005-0000-0000-000047010000}"/>
    <cellStyle name="_Data_GROUP horizontal IS (stat)" xfId="360" xr:uid="{00000000-0005-0000-0000-000048010000}"/>
    <cellStyle name="_Data_Group income statement rec" xfId="361" xr:uid="{00000000-0005-0000-0000-000049010000}"/>
    <cellStyle name="_Data_HC" xfId="362" xr:uid="{00000000-0005-0000-0000-00004A010000}"/>
    <cellStyle name="_Data_Horizontal" xfId="363" xr:uid="{00000000-0005-0000-0000-00004B010000}"/>
    <cellStyle name="_Data_LRP Horizontal income statement and KPIs" xfId="364" xr:uid="{00000000-0005-0000-0000-00004C010000}"/>
    <cellStyle name="_Data_LRP revenue stimulation in Europe (EV) v2" xfId="365" xr:uid="{00000000-0005-0000-0000-00004D010000}"/>
    <cellStyle name="_Data_MIS5" xfId="366" xr:uid="{00000000-0005-0000-0000-00004E010000}"/>
    <cellStyle name="_Data_Mobile plus revenue_EV_211106 V2- DRAFT (HC)" xfId="367" xr:uid="{00000000-0005-0000-0000-00004F010000}"/>
    <cellStyle name="_Data_Mobile plus revenue_EV_281106_POST REVIEW OUTPUT_(KH update)" xfId="368" xr:uid="{00000000-0005-0000-0000-000050010000}"/>
    <cellStyle name="_Data_OTHER DATA v.36 Output sheet final (PV) v3" xfId="369" xr:uid="{00000000-0005-0000-0000-000051010000}"/>
    <cellStyle name="_Data_Service revenue for Ed 24NOV06" xfId="370" xr:uid="{00000000-0005-0000-0000-000052010000}"/>
    <cellStyle name="_Data_sonstiger Input" xfId="371" xr:uid="{00000000-0005-0000-0000-000053010000}"/>
    <cellStyle name="_Data_Tower data file" xfId="372" xr:uid="{00000000-0005-0000-0000-000054010000}"/>
    <cellStyle name="_Data_Tower data file_Arcor Appendix 1b (Detailed Budget)_hardtype" xfId="373" xr:uid="{00000000-0005-0000-0000-000055010000}"/>
    <cellStyle name="_Data_Tower data file_Change Log" xfId="374" xr:uid="{00000000-0005-0000-0000-000056010000}"/>
    <cellStyle name="_Data_Tower data file_GermanyHo" xfId="375" xr:uid="{00000000-0005-0000-0000-000057010000}"/>
    <cellStyle name="_Data_TSI Grafischer_Bericht_Template_TEC Herrn Heil mit Sternausrichtung" xfId="376" xr:uid="{00000000-0005-0000-0000-000058010000}"/>
    <cellStyle name="_Data_TSI Grafischer_Bericht_Template_TEC Herrn Heil mit Sternausrichtung_Calculation v2" xfId="377" xr:uid="{00000000-0005-0000-0000-000059010000}"/>
    <cellStyle name="_Data_TSI Grafischer_Bericht_Template_TEC Herrn Heil mit Sternausrichtung_DCF Template" xfId="378" xr:uid="{00000000-0005-0000-0000-00005A010000}"/>
    <cellStyle name="_Data_TSI Grafischer_Bericht_Template_TEC Herrn Heil mit Sternausrichtung_DCF-2" xfId="379" xr:uid="{00000000-0005-0000-0000-00005B010000}"/>
    <cellStyle name="_Data_TSI Grafischer_Bericht_Template_TEC Herrn Heil mit Sternausrichtung_Tower operational model v4.3" xfId="380" xr:uid="{00000000-0005-0000-0000-00005C010000}"/>
    <cellStyle name="_DCF model" xfId="381" xr:uid="{00000000-0005-0000-0000-00005D010000}"/>
    <cellStyle name="_DCF Template" xfId="382" xr:uid="{00000000-0005-0000-0000-00005E010000}"/>
    <cellStyle name="_DCF valuation_10 May v32" xfId="383" xr:uid="{00000000-0005-0000-0000-00005F010000}"/>
    <cellStyle name="_depr" xfId="384" xr:uid="{00000000-0005-0000-0000-000060010000}"/>
    <cellStyle name="_Dollar_Jazztel model 16DP3-Exhibits" xfId="385" xr:uid="{00000000-0005-0000-0000-000061010000}"/>
    <cellStyle name="_Dollar_Jazztel model 18DP-exhibits_T_MOBIL2_Orange-May01_GermanyHo" xfId="386" xr:uid="{00000000-0005-0000-0000-000062010000}"/>
    <cellStyle name="_DSL Roll-out (capex) 3YP BC (2)" xfId="387" xr:uid="{00000000-0005-0000-0000-000063010000}"/>
    <cellStyle name="_DSL_Business_Case_v4.0" xfId="388" xr:uid="{00000000-0005-0000-0000-000064010000}"/>
    <cellStyle name="_Elisa multiple5" xfId="389" xr:uid="{00000000-0005-0000-0000-000065010000}"/>
    <cellStyle name="_Euro" xfId="390" xr:uid="{00000000-0005-0000-0000-000066010000}"/>
    <cellStyle name="_Euro 2" xfId="3642" xr:uid="{D3608700-B546-4368-90A0-EA5C4AD2BB60}"/>
    <cellStyle name="_Euro_050301 Camel operational model V1" xfId="391" xr:uid="{00000000-0005-0000-0000-000067010000}"/>
    <cellStyle name="_Euro_050301 Camel operational model V1_Arcor Appendix 1b (Detailed Budget)_hardtype" xfId="392" xr:uid="{00000000-0005-0000-0000-000068010000}"/>
    <cellStyle name="_Euro_050301 Camel operational model V1_Change Log" xfId="393" xr:uid="{00000000-0005-0000-0000-000069010000}"/>
    <cellStyle name="_Euro_050301 Camel operational model V1_Europe fixed line &amp; DSL - Alea" xfId="394" xr:uid="{00000000-0005-0000-0000-00006A010000}"/>
    <cellStyle name="_Euro_050301 Camel operational model V1_HORIZONTAL 2008_9 OUTPUTS - 5YP Europe only" xfId="395" xr:uid="{00000000-0005-0000-0000-00006B010000}"/>
    <cellStyle name="_Euro_2+10 Pre-Sub Template v0.4" xfId="396" xr:uid="{00000000-0005-0000-0000-00006C010000}"/>
    <cellStyle name="_Euro_2+10 Pre-Sub Template v0.4 2" xfId="3643" xr:uid="{853CBBF1-968D-4786-9D1E-85E9FED0D082}"/>
    <cellStyle name="_Euro_Book1" xfId="397" xr:uid="{00000000-0005-0000-0000-00006D010000}"/>
    <cellStyle name="_FAP Forecasting DB+2 v1 3" xfId="398" xr:uid="{00000000-0005-0000-0000-00006E010000}"/>
    <cellStyle name="_filebudgetProduzione" xfId="399" xr:uid="{00000000-0005-0000-0000-00006F010000}"/>
    <cellStyle name="_Fixed Acceleration Forecast EBU_Jun 09 (2)" xfId="400" xr:uid="{00000000-0005-0000-0000-000070010000}"/>
    <cellStyle name="_Fixed broadband services forecasts" xfId="401" xr:uid="{00000000-0005-0000-0000-000071010000}"/>
    <cellStyle name="_Fixed broadband services forecasts_HOL_5Yforecast" xfId="402" xr:uid="{00000000-0005-0000-0000-000072010000}"/>
    <cellStyle name="_Fixed broadband services forecasts_Sheet3" xfId="403" xr:uid="{00000000-0005-0000-0000-000073010000}"/>
    <cellStyle name="_fixed corporate services _ F-LRP v2" xfId="404" xr:uid="{00000000-0005-0000-0000-000074010000}"/>
    <cellStyle name="_Fixed Line Report 2008-09 Actuals v6 bench" xfId="405" xr:uid="{00000000-0005-0000-0000-000075010000}"/>
    <cellStyle name="_Fixed Line Report 2008-09 Actuals v6 bench HC" xfId="406" xr:uid="{00000000-0005-0000-0000-000076010000}"/>
    <cellStyle name="_Fixed Line Report 2008-09 Actuals v7 model" xfId="407" xr:uid="{00000000-0005-0000-0000-000077010000}"/>
    <cellStyle name="_Fixed Lines_F9+15_Factbook_PL 06 2009" xfId="408" xr:uid="{00000000-0005-0000-0000-000078010000}"/>
    <cellStyle name="_Fixed_Services_0910_2+10_VG2" xfId="409" xr:uid="{00000000-0005-0000-0000-000079010000}"/>
    <cellStyle name="_Fixed-Broadband Market Evolution &amp; Service Forecast v.6" xfId="410" xr:uid="{00000000-0005-0000-0000-00007A010000}"/>
    <cellStyle name="_Fixed-Broadband Market Evolution &amp; Service Forecast v.6_HOL_5Yforecast" xfId="411" xr:uid="{00000000-0005-0000-0000-00007B010000}"/>
    <cellStyle name="_Fixed-Broadband Market Evolution &amp; Service Forecast v.6_Sheet3" xfId="412" xr:uid="{00000000-0005-0000-0000-00007C010000}"/>
    <cellStyle name="_Fixed-DSL business case update" xfId="413" xr:uid="{00000000-0005-0000-0000-00007D010000}"/>
    <cellStyle name="_FY09 - FY13 Perseas Business case update_CN_updated (2)" xfId="414" xr:uid="{00000000-0005-0000-0000-00007E010000}"/>
    <cellStyle name="_gen0646AL" xfId="415" xr:uid="{00000000-0005-0000-0000-00007F010000}"/>
    <cellStyle name="_Germany Sc3 - analyst comp" xfId="416" xr:uid="{00000000-0005-0000-0000-000080010000}"/>
    <cellStyle name="_GRIGLI.2 BDGT APPROVATO" xfId="417" xr:uid="{00000000-0005-0000-0000-000081010000}"/>
    <cellStyle name="_GRIGLI.6+6" xfId="418" xr:uid="{00000000-0005-0000-0000-000082010000}"/>
    <cellStyle name="_GRIGLI.9+3" xfId="419" xr:uid="{00000000-0005-0000-0000-000083010000}"/>
    <cellStyle name="_GRIGLI.9+3_5'" xfId="420" xr:uid="{00000000-0005-0000-0000-000084010000}"/>
    <cellStyle name="_Header" xfId="421" xr:uid="{00000000-0005-0000-0000-000085010000}"/>
    <cellStyle name="_Header_2.4-Stat P&amp;L" xfId="422" xr:uid="{00000000-0005-0000-0000-000086010000}"/>
    <cellStyle name="_Header_2+10 CEO Country review template v1" xfId="423" xr:uid="{00000000-0005-0000-0000-000087010000}"/>
    <cellStyle name="_Header_Capex Actuals 2+10 2007_8" xfId="424" xr:uid="{00000000-0005-0000-0000-000088010000}"/>
    <cellStyle name="_Header_Capex Actuals 2006_7" xfId="425" xr:uid="{00000000-0005-0000-0000-000089010000}"/>
    <cellStyle name="_Header_Capital Intensity" xfId="426" xr:uid="{00000000-0005-0000-0000-00008A010000}"/>
    <cellStyle name="_Header_DATA (AH)" xfId="427" xr:uid="{00000000-0005-0000-0000-00008B010000}"/>
    <cellStyle name="_Header_EUROPE icon waterfall" xfId="428" xr:uid="{00000000-0005-0000-0000-00008C010000}"/>
    <cellStyle name="_Header_Ex POST  XMAS card al 31012006" xfId="429" xr:uid="{00000000-0005-0000-0000-00008D010000}"/>
    <cellStyle name="_Header_GROUP horizontal IS (stat)" xfId="430" xr:uid="{00000000-0005-0000-0000-00008E010000}"/>
    <cellStyle name="_Header_Group income statement rec" xfId="431" xr:uid="{00000000-0005-0000-0000-00008F010000}"/>
    <cellStyle name="_Header_HC" xfId="432" xr:uid="{00000000-0005-0000-0000-000090010000}"/>
    <cellStyle name="_Header_Horizontal" xfId="433" xr:uid="{00000000-0005-0000-0000-000091010000}"/>
    <cellStyle name="_Header_LRP Horizontal income statement and KPIs" xfId="434" xr:uid="{00000000-0005-0000-0000-000092010000}"/>
    <cellStyle name="_Header_LRP revenue stimulation in Europe (EV) v2" xfId="435" xr:uid="{00000000-0005-0000-0000-000093010000}"/>
    <cellStyle name="_Header_MIS5" xfId="436" xr:uid="{00000000-0005-0000-0000-000094010000}"/>
    <cellStyle name="_Header_Mobile plus revenue_EV_211106 V2- DRAFT (HC)" xfId="437" xr:uid="{00000000-0005-0000-0000-000095010000}"/>
    <cellStyle name="_Header_Mobile plus revenue_EV_281106_POST REVIEW OUTPUT_(KH update)" xfId="438" xr:uid="{00000000-0005-0000-0000-000096010000}"/>
    <cellStyle name="_Header_Service revenue for Ed 24NOV06" xfId="439" xr:uid="{00000000-0005-0000-0000-000097010000}"/>
    <cellStyle name="_Heading" xfId="440" xr:uid="{00000000-0005-0000-0000-000098010000}"/>
    <cellStyle name="_Heading_050301 Camel operational model V1" xfId="441" xr:uid="{00000000-0005-0000-0000-000099010000}"/>
    <cellStyle name="_Heading_2+10 CEO Country review template v1" xfId="442" xr:uid="{00000000-0005-0000-0000-00009A010000}"/>
    <cellStyle name="_Heading_Book1" xfId="443" xr:uid="{00000000-0005-0000-0000-00009B010000}"/>
    <cellStyle name="_Heading_DCF model" xfId="444" xr:uid="{00000000-0005-0000-0000-00009C010000}"/>
    <cellStyle name="_Heading_prestemp" xfId="445" xr:uid="{00000000-0005-0000-0000-00009D010000}"/>
    <cellStyle name="_Headline" xfId="446" xr:uid="{00000000-0005-0000-0000-00009E010000}"/>
    <cellStyle name="_Headline_050301 Camel operational model V1" xfId="447" xr:uid="{00000000-0005-0000-0000-00009F010000}"/>
    <cellStyle name="_Headline_Book1" xfId="448" xr:uid="{00000000-0005-0000-0000-0000A0010000}"/>
    <cellStyle name="_Headline_DCF model" xfId="449" xr:uid="{00000000-0005-0000-0000-0000A1010000}"/>
    <cellStyle name="_Highlight" xfId="450" xr:uid="{00000000-0005-0000-0000-0000A2010000}"/>
    <cellStyle name="_HOL Connectivity Total" xfId="451" xr:uid="{00000000-0005-0000-0000-0000A3010000}"/>
    <cellStyle name="_HOLv2" xfId="452" xr:uid="{00000000-0005-0000-0000-0000A4010000}"/>
    <cellStyle name="_HomeZone F5+7 v2" xfId="453" xr:uid="{00000000-0005-0000-0000-0000A5010000}"/>
    <cellStyle name="_Hyperion input" xfId="454" xr:uid="{00000000-0005-0000-0000-0000A6010000}"/>
    <cellStyle name="_Infotainment services" xfId="455" xr:uid="{00000000-0005-0000-0000-0000A7010000}"/>
    <cellStyle name="_l lines_count" xfId="456" xr:uid="{00000000-0005-0000-0000-0000A8010000}"/>
    <cellStyle name="_Last Mile  Connectivity forecast v1" xfId="457" xr:uid="{00000000-0005-0000-0000-0000A9010000}"/>
    <cellStyle name="_LE cost control" xfId="458" xr:uid="{00000000-0005-0000-0000-0000AA010000}"/>
    <cellStyle name="_LL OPEX (PERSEAS)" xfId="459" xr:uid="{00000000-0005-0000-0000-0000AB010000}"/>
    <cellStyle name="_MEDIA 10-02" xfId="460" xr:uid="{00000000-0005-0000-0000-0000AC010000}"/>
    <cellStyle name="_MEDIA 10-02_RDA AGG" xfId="461" xr:uid="{00000000-0005-0000-0000-0000AD010000}"/>
    <cellStyle name="_Multiple" xfId="462" xr:uid="{00000000-0005-0000-0000-0000AE010000}"/>
    <cellStyle name="_Multiple_050301 Camel operational model V1" xfId="463" xr:uid="{00000000-0005-0000-0000-0000AF010000}"/>
    <cellStyle name="_Multiple_Betas and WACC_GermanyHo" xfId="464" xr:uid="{00000000-0005-0000-0000-0000B0010000}"/>
    <cellStyle name="_Multiple_Book1" xfId="465" xr:uid="{00000000-0005-0000-0000-0000B1010000}"/>
    <cellStyle name="_Multiple_Book1_Jazztel model 16DP3-Exhibits_FT-6June2001" xfId="466" xr:uid="{00000000-0005-0000-0000-0000B2010000}"/>
    <cellStyle name="_Multiple_Book1_Jazztel model 18DP-exhibits_T_MOBIL2_GermanyHo" xfId="467" xr:uid="{00000000-0005-0000-0000-0000B3010000}"/>
    <cellStyle name="_Multiple_Book1_Jazztel model 18DP-exhibits_Telia-April01(new structure)_FT-6June2001_GermanyHo" xfId="468" xr:uid="{00000000-0005-0000-0000-0000B4010000}"/>
    <cellStyle name="_Multiple_Book3_GermanyHo" xfId="469" xr:uid="{00000000-0005-0000-0000-0000B5010000}"/>
    <cellStyle name="_Multiple_Calculation v2" xfId="470" xr:uid="{00000000-0005-0000-0000-0000B6010000}"/>
    <cellStyle name="_Multiple_DCF Template" xfId="471" xr:uid="{00000000-0005-0000-0000-0000B7010000}"/>
    <cellStyle name="_Multiple_DCF Template_Arcor Appendix 1b (Detailed Budget)_hardtype" xfId="472" xr:uid="{00000000-0005-0000-0000-0000B8010000}"/>
    <cellStyle name="_Multiple_DCF Template_Change Log" xfId="473" xr:uid="{00000000-0005-0000-0000-0000B9010000}"/>
    <cellStyle name="_Multiple_DCF Template_Europe fixed line &amp; DSL - Alea" xfId="474" xr:uid="{00000000-0005-0000-0000-0000BA010000}"/>
    <cellStyle name="_Multiple_DCF Template_GermanyHo" xfId="475" xr:uid="{00000000-0005-0000-0000-0000BB010000}"/>
    <cellStyle name="_Multiple_DCF Template_HORIZONTAL 2008_9 OUTPUTS - 5YP Europe only" xfId="476" xr:uid="{00000000-0005-0000-0000-0000BC010000}"/>
    <cellStyle name="_Multiple_DCF-2" xfId="477" xr:uid="{00000000-0005-0000-0000-0000BD010000}"/>
    <cellStyle name="_Multiple_Elisa multiple5" xfId="478" xr:uid="{00000000-0005-0000-0000-0000BE010000}"/>
    <cellStyle name="_Multiple_GermanyHo" xfId="479" xr:uid="{00000000-0005-0000-0000-0000BF010000}"/>
    <cellStyle name="_Multiple_TDC model 2005 04 30" xfId="480" xr:uid="{00000000-0005-0000-0000-0000C0010000}"/>
    <cellStyle name="_Multiple_Tower operational model v4.2" xfId="481" xr:uid="{00000000-0005-0000-0000-0000C1010000}"/>
    <cellStyle name="_Multiple_Tower operational model v4.3" xfId="482" xr:uid="{00000000-0005-0000-0000-0000C2010000}"/>
    <cellStyle name="_MultipleSpace" xfId="483" xr:uid="{00000000-0005-0000-0000-0000C3010000}"/>
    <cellStyle name="_MultipleSpace_050301 Camel operational model V1" xfId="484" xr:uid="{00000000-0005-0000-0000-0000C4010000}"/>
    <cellStyle name="_MultipleSpace_bls roic" xfId="485" xr:uid="{00000000-0005-0000-0000-0000C5010000}"/>
    <cellStyle name="_MultipleSpace_Book1" xfId="486" xr:uid="{00000000-0005-0000-0000-0000C6010000}"/>
    <cellStyle name="_MultipleSpace_Book1_Jazztel model 18DP-exhibits_T_MOBIL2_FT-6June2001" xfId="487" xr:uid="{00000000-0005-0000-0000-0000C7010000}"/>
    <cellStyle name="_MultipleSpace_Book1_Jazztel model 18DP-exhibits_T_MOBIL2_GermanyHo" xfId="488" xr:uid="{00000000-0005-0000-0000-0000C8010000}"/>
    <cellStyle name="_MultipleSpace_Book3_GermanyHo" xfId="489" xr:uid="{00000000-0005-0000-0000-0000C9010000}"/>
    <cellStyle name="_MultipleSpace_Calculation v2" xfId="490" xr:uid="{00000000-0005-0000-0000-0000CA010000}"/>
    <cellStyle name="_MultipleSpace_DCF Template" xfId="491" xr:uid="{00000000-0005-0000-0000-0000CB010000}"/>
    <cellStyle name="_MultipleSpace_DCF-2" xfId="492" xr:uid="{00000000-0005-0000-0000-0000CC010000}"/>
    <cellStyle name="_MultipleSpace_Elisa multiple5" xfId="493" xr:uid="{00000000-0005-0000-0000-0000CD010000}"/>
    <cellStyle name="_MultipleSpace_FT-6June2001_GermanyHo" xfId="494" xr:uid="{00000000-0005-0000-0000-0000CE010000}"/>
    <cellStyle name="_MultipleSpace_TDC model 2005 04 30" xfId="495" xr:uid="{00000000-0005-0000-0000-0000CF010000}"/>
    <cellStyle name="_MultipleSpace_Tower operational model v4.2_GermanyHo" xfId="496" xr:uid="{00000000-0005-0000-0000-0000D0010000}"/>
    <cellStyle name="_MultipleSpace_Tower operational model v4.3" xfId="497" xr:uid="{00000000-0005-0000-0000-0000D1010000}"/>
    <cellStyle name="_OPEX BU Corp Febbraio 03" xfId="498" xr:uid="{00000000-0005-0000-0000-0000D2010000}"/>
    <cellStyle name="_OPEX BU Corp Maggio 03" xfId="499" xr:uid="{00000000-0005-0000-0000-0000D3010000}"/>
    <cellStyle name="_OPEX BU Corp Marzo 03" xfId="500" xr:uid="{00000000-0005-0000-0000-0000D4010000}"/>
    <cellStyle name="_Opex Capex Dicembre" xfId="501" xr:uid="{00000000-0005-0000-0000-0000D5010000}"/>
    <cellStyle name="_OPEX CAPEX FTE BU Corporate 2002-03" xfId="502" xr:uid="{00000000-0005-0000-0000-0000D6010000}"/>
    <cellStyle name="_Opex Capex Galli" xfId="503" xr:uid="{00000000-0005-0000-0000-0000D7010000}"/>
    <cellStyle name="_Opex Capex Galli 18122002ftsera" xfId="504" xr:uid="{00000000-0005-0000-0000-0000D8010000}"/>
    <cellStyle name="_OPEX Dicembre BU Corp 02Totale" xfId="505" xr:uid="{00000000-0005-0000-0000-0000D9010000}"/>
    <cellStyle name="_OPEX Gennaio BU Corp 03" xfId="506" xr:uid="{00000000-0005-0000-0000-0000DA010000}"/>
    <cellStyle name="_OPEX Luglio 2002" xfId="507" xr:uid="{00000000-0005-0000-0000-0000DB010000}"/>
    <cellStyle name="_OPEX Novembre BU Corp 2002" xfId="508" xr:uid="{00000000-0005-0000-0000-0000DC010000}"/>
    <cellStyle name="_OPEX Ottobre BU Corp 2002" xfId="509" xr:uid="{00000000-0005-0000-0000-0000DD010000}"/>
    <cellStyle name="_opex_04" xfId="510" xr:uid="{00000000-0005-0000-0000-0000DE010000}"/>
    <cellStyle name="_Percent" xfId="511" xr:uid="{00000000-0005-0000-0000-0000DF010000}"/>
    <cellStyle name="_Percent_050301 Camel operational model V1" xfId="512" xr:uid="{00000000-0005-0000-0000-0000E0010000}"/>
    <cellStyle name="_Percent_050301 Camel operational model V1_Arcor Appendix 1b (Detailed Budget)_hardtype" xfId="513" xr:uid="{00000000-0005-0000-0000-0000E1010000}"/>
    <cellStyle name="_Percent_050301 Camel operational model V1_Change Log" xfId="514" xr:uid="{00000000-0005-0000-0000-0000E2010000}"/>
    <cellStyle name="_Percent_Betas and WACC_GermanyHo" xfId="515" xr:uid="{00000000-0005-0000-0000-0000E3010000}"/>
    <cellStyle name="_Percent_Book1" xfId="516" xr:uid="{00000000-0005-0000-0000-0000E4010000}"/>
    <cellStyle name="_Percent_Book1_GermanyHo" xfId="517" xr:uid="{00000000-0005-0000-0000-0000E5010000}"/>
    <cellStyle name="_Percent_Book1_GermanyHo 2" xfId="3644" xr:uid="{D2ED31BA-810B-4D66-A434-51357706960C}"/>
    <cellStyle name="_Percent_Book1_Jazztel model 16DP3-Exhibits_Orange-May01_GermanyHo" xfId="518" xr:uid="{00000000-0005-0000-0000-0000E6010000}"/>
    <cellStyle name="_Percent_Book1_Jazztel model 16DP3-Exhibits_T_MOBIL2_GermanyHo" xfId="519" xr:uid="{00000000-0005-0000-0000-0000E7010000}"/>
    <cellStyle name="_Percent_Book1_Orange-Sep01_GermanyHo" xfId="520" xr:uid="{00000000-0005-0000-0000-0000E8010000}"/>
    <cellStyle name="_Percent_Book1_Orange-Sep01_GermanyHo 2" xfId="3645" xr:uid="{F92B0732-11FD-46FE-B41A-7B3276EE7110}"/>
    <cellStyle name="_PercentSpace" xfId="521" xr:uid="{00000000-0005-0000-0000-0000E9010000}"/>
    <cellStyle name="_PercentSpace_050301 Camel operational model V1" xfId="522" xr:uid="{00000000-0005-0000-0000-0000EA010000}"/>
    <cellStyle name="_PercentSpace_Betas and WACC_GermanyHo" xfId="523" xr:uid="{00000000-0005-0000-0000-0000EB010000}"/>
    <cellStyle name="_PercentSpace_Book1" xfId="524" xr:uid="{00000000-0005-0000-0000-0000EC010000}"/>
    <cellStyle name="_PERSEAS VASD 3 YEAR PLAN JULY 2008 v2 140708_Version 2" xfId="525" xr:uid="{00000000-0005-0000-0000-0000ED010000}"/>
    <cellStyle name="_Perseas-Techinput-DB0809_RV" xfId="526" xr:uid="{00000000-0005-0000-0000-0000EE010000}"/>
    <cellStyle name="_Perseas-Techinput-DB0809_RV_HOL_5Yforecast" xfId="527" xr:uid="{00000000-0005-0000-0000-0000EF010000}"/>
    <cellStyle name="_Perseas-Techinput-DB0809_RV_Sheet3" xfId="528" xr:uid="{00000000-0005-0000-0000-0000F0010000}"/>
    <cellStyle name="_PROD" xfId="529" xr:uid="{00000000-0005-0000-0000-0000F1010000}"/>
    <cellStyle name="_PROD 02-03_sintesi" xfId="530" xr:uid="{00000000-0005-0000-0000-0000F2010000}"/>
    <cellStyle name="_PROD 10-02" xfId="531" xr:uid="{00000000-0005-0000-0000-0000F3010000}"/>
    <cellStyle name="_PROD 11-02" xfId="532" xr:uid="{00000000-0005-0000-0000-0000F4010000}"/>
    <cellStyle name="_PROD-CONS-01-02" xfId="533" xr:uid="{00000000-0005-0000-0000-0000F5010000}"/>
    <cellStyle name="_PRODUCTION 01-2001" xfId="534" xr:uid="{00000000-0005-0000-0000-0000F6010000}"/>
    <cellStyle name="_Reconsolidation" xfId="535" xr:uid="{00000000-0005-0000-0000-0000F7010000}"/>
    <cellStyle name="_Riders" xfId="536" xr:uid="{00000000-0005-0000-0000-0000F8010000}"/>
    <cellStyle name="_Row1" xfId="537" xr:uid="{00000000-0005-0000-0000-0000F9010000}"/>
    <cellStyle name="_Row1_2.4-Stat P&amp;L" xfId="538" xr:uid="{00000000-0005-0000-0000-0000FA010000}"/>
    <cellStyle name="_Row1_7.1-REGIONAL Mobile Plus" xfId="539" xr:uid="{00000000-0005-0000-0000-0000FB010000}"/>
    <cellStyle name="_Row1_Capex Actuals 2+10 2007_8" xfId="540" xr:uid="{00000000-0005-0000-0000-0000FC010000}"/>
    <cellStyle name="_Row1_Capex Actuals 2006_7" xfId="541" xr:uid="{00000000-0005-0000-0000-0000FD010000}"/>
    <cellStyle name="_Row1_Capital Intensity" xfId="542" xr:uid="{00000000-0005-0000-0000-0000FE010000}"/>
    <cellStyle name="_Row1_DATA (AH)" xfId="543" xr:uid="{00000000-0005-0000-0000-0000FF010000}"/>
    <cellStyle name="_Row1_EUROPE icon waterfall" xfId="544" xr:uid="{00000000-0005-0000-0000-000000020000}"/>
    <cellStyle name="_Row1_Ex POST  XMAS card al 31012006" xfId="545" xr:uid="{00000000-0005-0000-0000-000001020000}"/>
    <cellStyle name="_Row1_GROUP horizontal IS (stat)" xfId="546" xr:uid="{00000000-0005-0000-0000-000002020000}"/>
    <cellStyle name="_Row1_Group income statement rec" xfId="547" xr:uid="{00000000-0005-0000-0000-000003020000}"/>
    <cellStyle name="_Row1_HC" xfId="548" xr:uid="{00000000-0005-0000-0000-000004020000}"/>
    <cellStyle name="_Row1_Horizontal" xfId="549" xr:uid="{00000000-0005-0000-0000-000005020000}"/>
    <cellStyle name="_Row1_LRP Horizontal income statement and KPIs" xfId="550" xr:uid="{00000000-0005-0000-0000-000006020000}"/>
    <cellStyle name="_Row1_LRP revenue stimulation in Europe (EV) v2" xfId="551" xr:uid="{00000000-0005-0000-0000-000007020000}"/>
    <cellStyle name="_Row1_MIS5" xfId="552" xr:uid="{00000000-0005-0000-0000-000008020000}"/>
    <cellStyle name="_Row1_Mobile plus revenue_EV_211106 V2- DRAFT (HC)" xfId="553" xr:uid="{00000000-0005-0000-0000-000009020000}"/>
    <cellStyle name="_Row1_Mobile plus revenue_EV_281106_POST REVIEW OUTPUT_(KH update)" xfId="554" xr:uid="{00000000-0005-0000-0000-00000A020000}"/>
    <cellStyle name="_Row1_Service revenue for Ed 24NOV06" xfId="555" xr:uid="{00000000-0005-0000-0000-00000B020000}"/>
    <cellStyle name="_Row2" xfId="556" xr:uid="{00000000-0005-0000-0000-00000C020000}"/>
    <cellStyle name="_Row2_2.4-Stat P&amp;L" xfId="557" xr:uid="{00000000-0005-0000-0000-00000D020000}"/>
    <cellStyle name="_Row2_Capex Actuals 2+10 2007_8" xfId="558" xr:uid="{00000000-0005-0000-0000-00000E020000}"/>
    <cellStyle name="_Row2_Capex Actuals 2006_7" xfId="559" xr:uid="{00000000-0005-0000-0000-00000F020000}"/>
    <cellStyle name="_Row2_Capital Intensity" xfId="560" xr:uid="{00000000-0005-0000-0000-000010020000}"/>
    <cellStyle name="_Row2_DATA (AH)" xfId="561" xr:uid="{00000000-0005-0000-0000-000011020000}"/>
    <cellStyle name="_Row2_EUROPE icon waterfall" xfId="562" xr:uid="{00000000-0005-0000-0000-000012020000}"/>
    <cellStyle name="_Row2_Ex POST  XMAS card al 31012006" xfId="563" xr:uid="{00000000-0005-0000-0000-000013020000}"/>
    <cellStyle name="_Row2_GROUP horizontal IS (stat)" xfId="564" xr:uid="{00000000-0005-0000-0000-000014020000}"/>
    <cellStyle name="_Row2_Group income statement rec" xfId="565" xr:uid="{00000000-0005-0000-0000-000015020000}"/>
    <cellStyle name="_Row2_HC" xfId="566" xr:uid="{00000000-0005-0000-0000-000016020000}"/>
    <cellStyle name="_Row2_Horizontal" xfId="567" xr:uid="{00000000-0005-0000-0000-000017020000}"/>
    <cellStyle name="_Row2_LRP Horizontal income statement and KPIs" xfId="568" xr:uid="{00000000-0005-0000-0000-000018020000}"/>
    <cellStyle name="_Row2_LRP revenue stimulation in Europe (EV) v2" xfId="569" xr:uid="{00000000-0005-0000-0000-000019020000}"/>
    <cellStyle name="_Row2_MIS5" xfId="570" xr:uid="{00000000-0005-0000-0000-00001A020000}"/>
    <cellStyle name="_Row2_Mobile plus revenue_EV_211106 V2- DRAFT (HC)" xfId="571" xr:uid="{00000000-0005-0000-0000-00001B020000}"/>
    <cellStyle name="_Row2_Mobile plus revenue_EV_281106_POST REVIEW OUTPUT_(KH update)" xfId="572" xr:uid="{00000000-0005-0000-0000-00001C020000}"/>
    <cellStyle name="_Row2_Service revenue for Ed 24NOV06" xfId="573" xr:uid="{00000000-0005-0000-0000-00001D020000}"/>
    <cellStyle name="_Row3" xfId="574" xr:uid="{00000000-0005-0000-0000-00001E020000}"/>
    <cellStyle name="_Row3_2.4-Stat P&amp;L" xfId="575" xr:uid="{00000000-0005-0000-0000-00001F020000}"/>
    <cellStyle name="_Row3_Capex Actuals 2+10 2007_8" xfId="576" xr:uid="{00000000-0005-0000-0000-000020020000}"/>
    <cellStyle name="_Row3_Capex Actuals 2006_7" xfId="577" xr:uid="{00000000-0005-0000-0000-000021020000}"/>
    <cellStyle name="_Row3_Capital Intensity" xfId="578" xr:uid="{00000000-0005-0000-0000-000022020000}"/>
    <cellStyle name="_Row3_DATA (AH)" xfId="579" xr:uid="{00000000-0005-0000-0000-000023020000}"/>
    <cellStyle name="_Row3_EUROPE icon waterfall" xfId="580" xr:uid="{00000000-0005-0000-0000-000024020000}"/>
    <cellStyle name="_Row3_Ex POST  XMAS card al 31012006" xfId="581" xr:uid="{00000000-0005-0000-0000-000025020000}"/>
    <cellStyle name="_Row3_GROUP horizontal IS (stat)" xfId="582" xr:uid="{00000000-0005-0000-0000-000026020000}"/>
    <cellStyle name="_Row3_Group income statement rec" xfId="583" xr:uid="{00000000-0005-0000-0000-000027020000}"/>
    <cellStyle name="_Row3_HC" xfId="584" xr:uid="{00000000-0005-0000-0000-000028020000}"/>
    <cellStyle name="_Row3_Horizontal" xfId="585" xr:uid="{00000000-0005-0000-0000-000029020000}"/>
    <cellStyle name="_Row3_LRP Horizontal income statement and KPIs" xfId="586" xr:uid="{00000000-0005-0000-0000-00002A020000}"/>
    <cellStyle name="_Row3_LRP revenue stimulation in Europe (EV) v2" xfId="587" xr:uid="{00000000-0005-0000-0000-00002B020000}"/>
    <cellStyle name="_Row3_MIS5" xfId="588" xr:uid="{00000000-0005-0000-0000-00002C020000}"/>
    <cellStyle name="_Row3_Mobile plus revenue_EV_211106 V2- DRAFT (HC)" xfId="589" xr:uid="{00000000-0005-0000-0000-00002D020000}"/>
    <cellStyle name="_Row3_Mobile plus revenue_EV_281106_POST REVIEW OUTPUT_(KH update)" xfId="590" xr:uid="{00000000-0005-0000-0000-00002E020000}"/>
    <cellStyle name="_Row3_Service revenue for Ed 24NOV06" xfId="591" xr:uid="{00000000-0005-0000-0000-00002F020000}"/>
    <cellStyle name="_Row4" xfId="592" xr:uid="{00000000-0005-0000-0000-000030020000}"/>
    <cellStyle name="_Row4_2.4-Stat P&amp;L" xfId="593" xr:uid="{00000000-0005-0000-0000-000031020000}"/>
    <cellStyle name="_Row4_Capex Actuals 2+10 2007_8" xfId="594" xr:uid="{00000000-0005-0000-0000-000032020000}"/>
    <cellStyle name="_Row4_Capex Actuals 2006_7" xfId="595" xr:uid="{00000000-0005-0000-0000-000033020000}"/>
    <cellStyle name="_Row4_Capital Intensity" xfId="596" xr:uid="{00000000-0005-0000-0000-000034020000}"/>
    <cellStyle name="_Row4_DATA (AH)" xfId="597" xr:uid="{00000000-0005-0000-0000-000035020000}"/>
    <cellStyle name="_Row4_EUROPE icon waterfall" xfId="598" xr:uid="{00000000-0005-0000-0000-000036020000}"/>
    <cellStyle name="_Row4_Ex POST  XMAS card al 31012006" xfId="599" xr:uid="{00000000-0005-0000-0000-000037020000}"/>
    <cellStyle name="_Row4_GROUP horizontal IS (stat)" xfId="600" xr:uid="{00000000-0005-0000-0000-000038020000}"/>
    <cellStyle name="_Row4_Group income statement rec" xfId="601" xr:uid="{00000000-0005-0000-0000-000039020000}"/>
    <cellStyle name="_Row4_HC" xfId="602" xr:uid="{00000000-0005-0000-0000-00003A020000}"/>
    <cellStyle name="_Row4_Horizontal" xfId="603" xr:uid="{00000000-0005-0000-0000-00003B020000}"/>
    <cellStyle name="_Row4_LRP Horizontal income statement and KPIs" xfId="604" xr:uid="{00000000-0005-0000-0000-00003C020000}"/>
    <cellStyle name="_Row4_LRP revenue stimulation in Europe (EV) v2" xfId="605" xr:uid="{00000000-0005-0000-0000-00003D020000}"/>
    <cellStyle name="_Row4_MIS5" xfId="606" xr:uid="{00000000-0005-0000-0000-00003E020000}"/>
    <cellStyle name="_Row4_Mobile plus revenue_EV_211106 V2- DRAFT (HC)" xfId="607" xr:uid="{00000000-0005-0000-0000-00003F020000}"/>
    <cellStyle name="_Row4_Mobile plus revenue_EV_281106_POST REVIEW OUTPUT_(KH update)" xfId="608" xr:uid="{00000000-0005-0000-0000-000040020000}"/>
    <cellStyle name="_Row4_Service revenue for Ed 24NOV06" xfId="609" xr:uid="{00000000-0005-0000-0000-000041020000}"/>
    <cellStyle name="_Row5" xfId="610" xr:uid="{00000000-0005-0000-0000-000042020000}"/>
    <cellStyle name="_Row5_070503_Revised" xfId="611" xr:uid="{00000000-0005-0000-0000-000043020000}"/>
    <cellStyle name="_Row5_2.4-Stat P&amp;L" xfId="612" xr:uid="{00000000-0005-0000-0000-000044020000}"/>
    <cellStyle name="_Row5_271201" xfId="613" xr:uid="{00000000-0005-0000-0000-000045020000}"/>
    <cellStyle name="_Row5_271201.XLS Chart 16" xfId="614" xr:uid="{00000000-0005-0000-0000-000046020000}"/>
    <cellStyle name="_Row5_5+7F&amp;OB updates for IR 14DEC05" xfId="615" xr:uid="{00000000-0005-0000-0000-000047020000}"/>
    <cellStyle name="_Row5_Assumption update Sept 2005 v1" xfId="616" xr:uid="{00000000-0005-0000-0000-000048020000}"/>
    <cellStyle name="_Row5_Book31" xfId="617" xr:uid="{00000000-0005-0000-0000-000049020000}"/>
    <cellStyle name="_Row5_Capex Actuals 2+10 2007_8" xfId="618" xr:uid="{00000000-0005-0000-0000-00004A020000}"/>
    <cellStyle name="_Row5_Capex Actuals 2006_7" xfId="619" xr:uid="{00000000-0005-0000-0000-00004B020000}"/>
    <cellStyle name="_Row5_Capital Intensity" xfId="620" xr:uid="{00000000-0005-0000-0000-00004C020000}"/>
    <cellStyle name="_Row5_DATA (AH)" xfId="621" xr:uid="{00000000-0005-0000-0000-00004D020000}"/>
    <cellStyle name="_Row5_Elisa multiple5" xfId="622" xr:uid="{00000000-0005-0000-0000-00004E020000}"/>
    <cellStyle name="_Row5_EUROPE icon waterfall" xfId="623" xr:uid="{00000000-0005-0000-0000-00004F020000}"/>
    <cellStyle name="_Row5_Ex POST  XMAS card al 31012006" xfId="624" xr:uid="{00000000-0005-0000-0000-000050020000}"/>
    <cellStyle name="_Row5_GROUP horizontal IS (stat)" xfId="625" xr:uid="{00000000-0005-0000-0000-000051020000}"/>
    <cellStyle name="_Row5_Group income statement rec" xfId="626" xr:uid="{00000000-0005-0000-0000-000052020000}"/>
    <cellStyle name="_Row5_HC" xfId="627" xr:uid="{00000000-0005-0000-0000-000053020000}"/>
    <cellStyle name="_Row5_Horizontal" xfId="628" xr:uid="{00000000-0005-0000-0000-000054020000}"/>
    <cellStyle name="_Row5_LRP Horizontal income statement and KPIs" xfId="629" xr:uid="{00000000-0005-0000-0000-000055020000}"/>
    <cellStyle name="_Row5_LRP revenue stimulation in Europe (EV) v2" xfId="630" xr:uid="{00000000-0005-0000-0000-000056020000}"/>
    <cellStyle name="_Row5_MIS5" xfId="631" xr:uid="{00000000-0005-0000-0000-000057020000}"/>
    <cellStyle name="_Row5_Mobile plus revenue_EV_211106 V2- DRAFT (HC)" xfId="632" xr:uid="{00000000-0005-0000-0000-000058020000}"/>
    <cellStyle name="_Row5_Mobile plus revenue_EV_281106_POST REVIEW OUTPUT_(KH update)" xfId="633" xr:uid="{00000000-0005-0000-0000-000059020000}"/>
    <cellStyle name="_Row5_Service revenue for Ed 24NOV06" xfId="634" xr:uid="{00000000-0005-0000-0000-00005A020000}"/>
    <cellStyle name="_Row5_Statements sent to PWC 20051113" xfId="635" xr:uid="{00000000-0005-0000-0000-00005B020000}"/>
    <cellStyle name="_Row5_Telsim 19-July-04" xfId="636" xr:uid="{00000000-0005-0000-0000-00005C020000}"/>
    <cellStyle name="_Row5_Tower data file" xfId="637" xr:uid="{00000000-0005-0000-0000-00005D020000}"/>
    <cellStyle name="_Row5_UBS Delight 20051010 v2" xfId="638" xr:uid="{00000000-0005-0000-0000-00005E020000}"/>
    <cellStyle name="_Row5_UBS Delight 20051024" xfId="639" xr:uid="{00000000-0005-0000-0000-00005F020000}"/>
    <cellStyle name="_Row5_UBS Delight 20051028" xfId="640" xr:uid="{00000000-0005-0000-0000-000060020000}"/>
    <cellStyle name="_Row5_UBS Delight 20051030" xfId="641" xr:uid="{00000000-0005-0000-0000-000061020000}"/>
    <cellStyle name="_Row5_UBS Delight 20051103" xfId="642" xr:uid="{00000000-0005-0000-0000-000062020000}"/>
    <cellStyle name="_Row5_UBS Delight 20051106" xfId="643" xr:uid="{00000000-0005-0000-0000-000063020000}"/>
    <cellStyle name="_Row5_UBS Delight 20051109" xfId="644" xr:uid="{00000000-0005-0000-0000-000064020000}"/>
    <cellStyle name="_Row5_UBS Delight 20051113" xfId="645" xr:uid="{00000000-0005-0000-0000-000065020000}"/>
    <cellStyle name="_Row5_UBS Delight 20051115" xfId="646" xr:uid="{00000000-0005-0000-0000-000066020000}"/>
    <cellStyle name="_Row5_UBS Delight 20051116" xfId="647" xr:uid="{00000000-0005-0000-0000-000067020000}"/>
    <cellStyle name="_Row5_UBS Delight 20051120" xfId="648" xr:uid="{00000000-0005-0000-0000-000068020000}"/>
    <cellStyle name="_Row5_UBS Delight 20051121" xfId="649" xr:uid="{00000000-0005-0000-0000-000069020000}"/>
    <cellStyle name="_Row5_UBS Delight 20051123" xfId="650" xr:uid="{00000000-0005-0000-0000-00006A020000}"/>
    <cellStyle name="_Row5_UBS Delight 20051129 (2)" xfId="651" xr:uid="{00000000-0005-0000-0000-00006B020000}"/>
    <cellStyle name="_Row6" xfId="652" xr:uid="{00000000-0005-0000-0000-00006C020000}"/>
    <cellStyle name="_Row6_2.4-Stat P&amp;L" xfId="653" xr:uid="{00000000-0005-0000-0000-00006D020000}"/>
    <cellStyle name="_Row6_Capex Actuals 2+10 2007_8" xfId="654" xr:uid="{00000000-0005-0000-0000-00006E020000}"/>
    <cellStyle name="_Row6_Capex Actuals 2006_7" xfId="655" xr:uid="{00000000-0005-0000-0000-00006F020000}"/>
    <cellStyle name="_Row6_Capital Intensity" xfId="656" xr:uid="{00000000-0005-0000-0000-000070020000}"/>
    <cellStyle name="_Row6_DATA (AH)" xfId="657" xr:uid="{00000000-0005-0000-0000-000071020000}"/>
    <cellStyle name="_Row6_EUROPE icon waterfall" xfId="658" xr:uid="{00000000-0005-0000-0000-000072020000}"/>
    <cellStyle name="_Row6_Ex POST  XMAS card al 31012006" xfId="659" xr:uid="{00000000-0005-0000-0000-000073020000}"/>
    <cellStyle name="_Row6_GROUP horizontal IS (stat)" xfId="660" xr:uid="{00000000-0005-0000-0000-000074020000}"/>
    <cellStyle name="_Row6_Group income statement rec" xfId="661" xr:uid="{00000000-0005-0000-0000-000075020000}"/>
    <cellStyle name="_Row6_HC" xfId="662" xr:uid="{00000000-0005-0000-0000-000076020000}"/>
    <cellStyle name="_Row6_Horizontal" xfId="663" xr:uid="{00000000-0005-0000-0000-000077020000}"/>
    <cellStyle name="_Row6_LRP Horizontal income statement and KPIs" xfId="664" xr:uid="{00000000-0005-0000-0000-000078020000}"/>
    <cellStyle name="_Row6_LRP revenue stimulation in Europe (EV) v2" xfId="665" xr:uid="{00000000-0005-0000-0000-000079020000}"/>
    <cellStyle name="_Row6_MIS5" xfId="666" xr:uid="{00000000-0005-0000-0000-00007A020000}"/>
    <cellStyle name="_Row6_Mobile plus revenue_EV_211106 V2- DRAFT (HC)" xfId="667" xr:uid="{00000000-0005-0000-0000-00007B020000}"/>
    <cellStyle name="_Row6_Mobile plus revenue_EV_281106_POST REVIEW OUTPUT_(KH update)" xfId="668" xr:uid="{00000000-0005-0000-0000-00007C020000}"/>
    <cellStyle name="_Row6_Service revenue for Ed 24NOV06" xfId="669" xr:uid="{00000000-0005-0000-0000-00007D020000}"/>
    <cellStyle name="_Row7" xfId="670" xr:uid="{00000000-0005-0000-0000-00007E020000}"/>
    <cellStyle name="_Row7_2.4-Stat P&amp;L" xfId="671" xr:uid="{00000000-0005-0000-0000-00007F020000}"/>
    <cellStyle name="_Row7_Capex Actuals 2+10 2007_8" xfId="672" xr:uid="{00000000-0005-0000-0000-000080020000}"/>
    <cellStyle name="_Row7_Capex Actuals 2006_7" xfId="673" xr:uid="{00000000-0005-0000-0000-000081020000}"/>
    <cellStyle name="_Row7_Capital Intensity" xfId="674" xr:uid="{00000000-0005-0000-0000-000082020000}"/>
    <cellStyle name="_Row7_DATA (AH)" xfId="675" xr:uid="{00000000-0005-0000-0000-000083020000}"/>
    <cellStyle name="_Row7_EUROPE icon waterfall" xfId="676" xr:uid="{00000000-0005-0000-0000-000084020000}"/>
    <cellStyle name="_Row7_Ex POST  XMAS card al 31012006" xfId="677" xr:uid="{00000000-0005-0000-0000-000085020000}"/>
    <cellStyle name="_Row7_GROUP horizontal IS (stat)" xfId="678" xr:uid="{00000000-0005-0000-0000-000086020000}"/>
    <cellStyle name="_Row7_Group income statement rec" xfId="679" xr:uid="{00000000-0005-0000-0000-000087020000}"/>
    <cellStyle name="_Row7_HC" xfId="680" xr:uid="{00000000-0005-0000-0000-000088020000}"/>
    <cellStyle name="_Row7_Horizontal" xfId="681" xr:uid="{00000000-0005-0000-0000-000089020000}"/>
    <cellStyle name="_Row7_LRP Horizontal income statement and KPIs" xfId="682" xr:uid="{00000000-0005-0000-0000-00008A020000}"/>
    <cellStyle name="_Row7_LRP revenue stimulation in Europe (EV) v2" xfId="683" xr:uid="{00000000-0005-0000-0000-00008B020000}"/>
    <cellStyle name="_Row7_MIS5" xfId="684" xr:uid="{00000000-0005-0000-0000-00008C020000}"/>
    <cellStyle name="_Row7_Mobile plus revenue_EV_211106 V2- DRAFT (HC)" xfId="685" xr:uid="{00000000-0005-0000-0000-00008D020000}"/>
    <cellStyle name="_Row7_Mobile plus revenue_EV_281106_POST REVIEW OUTPUT_(KH update)" xfId="686" xr:uid="{00000000-0005-0000-0000-00008E020000}"/>
    <cellStyle name="_Row7_Service revenue for Ed 24NOV06" xfId="687" xr:uid="{00000000-0005-0000-0000-00008F020000}"/>
    <cellStyle name="_SMARTS Model Assumptions" xfId="688" xr:uid="{00000000-0005-0000-0000-000090020000}"/>
    <cellStyle name="_SMARTS Model v21" xfId="689" xr:uid="{00000000-0005-0000-0000-000091020000}"/>
    <cellStyle name="_Spinoza adjustment 140906" xfId="690" xr:uid="{00000000-0005-0000-0000-000092020000}"/>
    <cellStyle name="_standard businesscase" xfId="691" xr:uid="{00000000-0005-0000-0000-000093020000}"/>
    <cellStyle name="_Statements sent to PWC 20051113" xfId="692" xr:uid="{00000000-0005-0000-0000-000094020000}"/>
    <cellStyle name="_SubHeading" xfId="693" xr:uid="{00000000-0005-0000-0000-000095020000}"/>
    <cellStyle name="_SubHeading_050301 Camel operational model V1" xfId="694" xr:uid="{00000000-0005-0000-0000-000096020000}"/>
    <cellStyle name="_SubHeading_2+10 CEO Country review template v1" xfId="695" xr:uid="{00000000-0005-0000-0000-000097020000}"/>
    <cellStyle name="_SubHeading_bls roic" xfId="696" xr:uid="{00000000-0005-0000-0000-000098020000}"/>
    <cellStyle name="_SubHeading_Book1" xfId="697" xr:uid="{00000000-0005-0000-0000-000099020000}"/>
    <cellStyle name="_SubHeading_DCF model" xfId="698" xr:uid="{00000000-0005-0000-0000-00009A020000}"/>
    <cellStyle name="_SubHeading_prestemp" xfId="699" xr:uid="{00000000-0005-0000-0000-00009B020000}"/>
    <cellStyle name="_Table" xfId="700" xr:uid="{00000000-0005-0000-0000-00009C020000}"/>
    <cellStyle name="_Table_050301 Camel operational model V1" xfId="701" xr:uid="{00000000-0005-0000-0000-00009D020000}"/>
    <cellStyle name="_Table_2+10 CEO Country review template v1" xfId="702" xr:uid="{00000000-0005-0000-0000-00009E020000}"/>
    <cellStyle name="_Table_bls roic" xfId="703" xr:uid="{00000000-0005-0000-0000-00009F020000}"/>
    <cellStyle name="_Table_Book1" xfId="704" xr:uid="{00000000-0005-0000-0000-0000A0020000}"/>
    <cellStyle name="_Table_DCF model" xfId="705" xr:uid="{00000000-0005-0000-0000-0000A1020000}"/>
    <cellStyle name="_Table_DCF Template" xfId="706" xr:uid="{00000000-0005-0000-0000-0000A2020000}"/>
    <cellStyle name="_Table_Elisa multiple5" xfId="707" xr:uid="{00000000-0005-0000-0000-0000A3020000}"/>
    <cellStyle name="_Table_TDC model 2005 04 30" xfId="708" xr:uid="{00000000-0005-0000-0000-0000A4020000}"/>
    <cellStyle name="_TableHead" xfId="709" xr:uid="{00000000-0005-0000-0000-0000A5020000}"/>
    <cellStyle name="_TableHead_050301 Camel operational model V1" xfId="710" xr:uid="{00000000-0005-0000-0000-0000A6020000}"/>
    <cellStyle name="_TableHead_2+10 CEO Country review template v1" xfId="711" xr:uid="{00000000-0005-0000-0000-0000A7020000}"/>
    <cellStyle name="_TableHead_Book1" xfId="712" xr:uid="{00000000-0005-0000-0000-0000A8020000}"/>
    <cellStyle name="_TableHead_Broadband Comps" xfId="713" xr:uid="{00000000-0005-0000-0000-0000A9020000}"/>
    <cellStyle name="_TableHead_DCF model" xfId="714" xr:uid="{00000000-0005-0000-0000-0000AA020000}"/>
    <cellStyle name="_TableHead_DCF Template" xfId="715" xr:uid="{00000000-0005-0000-0000-0000AB020000}"/>
    <cellStyle name="_TableHead_Elisa multiple5" xfId="716" xr:uid="{00000000-0005-0000-0000-0000AC020000}"/>
    <cellStyle name="_TableHead_Fixed Line Report 2008-09 Actuals v6 bench" xfId="717" xr:uid="{00000000-0005-0000-0000-0000AD020000}"/>
    <cellStyle name="_TableHead_Fixed Line Report 2008-09 Actuals v6 bench HC" xfId="718" xr:uid="{00000000-0005-0000-0000-0000AE020000}"/>
    <cellStyle name="_TableHead_Fixed Line Report 2008-09 Actuals v7 model" xfId="719" xr:uid="{00000000-0005-0000-0000-0000AF020000}"/>
    <cellStyle name="_TableHead_TDC model 2005 04 30" xfId="720" xr:uid="{00000000-0005-0000-0000-0000B0020000}"/>
    <cellStyle name="_TableHeading" xfId="721" xr:uid="{00000000-0005-0000-0000-0000B1020000}"/>
    <cellStyle name="_TableHeading_050301 Camel operational model V1" xfId="722" xr:uid="{00000000-0005-0000-0000-0000B2020000}"/>
    <cellStyle name="_TableHeading_Book1" xfId="723" xr:uid="{00000000-0005-0000-0000-0000B3020000}"/>
    <cellStyle name="_TableHeading_DCF model" xfId="724" xr:uid="{00000000-0005-0000-0000-0000B4020000}"/>
    <cellStyle name="_TableRowBorder" xfId="725" xr:uid="{00000000-0005-0000-0000-0000B5020000}"/>
    <cellStyle name="_TableRowBorder 2" xfId="726" xr:uid="{00000000-0005-0000-0000-0000B6020000}"/>
    <cellStyle name="_TableRowBorder_VF-IT" xfId="727" xr:uid="{00000000-0005-0000-0000-0000B7020000}"/>
    <cellStyle name="_TableRowHead" xfId="728" xr:uid="{00000000-0005-0000-0000-0000B8020000}"/>
    <cellStyle name="_TableRowHead_050301 Camel operational model V1" xfId="729" xr:uid="{00000000-0005-0000-0000-0000B9020000}"/>
    <cellStyle name="_TableRowHead_2+10 CEO Country review template v1" xfId="730" xr:uid="{00000000-0005-0000-0000-0000BA020000}"/>
    <cellStyle name="_TableRowHead_Book1" xfId="731" xr:uid="{00000000-0005-0000-0000-0000BB020000}"/>
    <cellStyle name="_TableRowHead_Broadband Comps" xfId="732" xr:uid="{00000000-0005-0000-0000-0000BC020000}"/>
    <cellStyle name="_TableRowHead_DCF model" xfId="733" xr:uid="{00000000-0005-0000-0000-0000BD020000}"/>
    <cellStyle name="_TableRowHead_DCF Template" xfId="734" xr:uid="{00000000-0005-0000-0000-0000BE020000}"/>
    <cellStyle name="_TableRowHead_Elisa multiple5" xfId="735" xr:uid="{00000000-0005-0000-0000-0000BF020000}"/>
    <cellStyle name="_TableRowHead_TDC model 2005 04 30" xfId="736" xr:uid="{00000000-0005-0000-0000-0000C0020000}"/>
    <cellStyle name="_TableRowHeading" xfId="737" xr:uid="{00000000-0005-0000-0000-0000C1020000}"/>
    <cellStyle name="_TableRowHeading_050301 Camel operational model V1" xfId="738" xr:uid="{00000000-0005-0000-0000-0000C2020000}"/>
    <cellStyle name="_TableRowHeading_Book1" xfId="739" xr:uid="{00000000-0005-0000-0000-0000C3020000}"/>
    <cellStyle name="_TableRowHeading_DCF model" xfId="740" xr:uid="{00000000-0005-0000-0000-0000C4020000}"/>
    <cellStyle name="_TableSuperHead" xfId="741" xr:uid="{00000000-0005-0000-0000-0000C5020000}"/>
    <cellStyle name="_TableSuperHead_050301 Camel operational model V1" xfId="742" xr:uid="{00000000-0005-0000-0000-0000C6020000}"/>
    <cellStyle name="_TableSuperHead_2+10 CEO Country review template v1" xfId="743" xr:uid="{00000000-0005-0000-0000-0000C7020000}"/>
    <cellStyle name="_TableSuperHead_Book1" xfId="744" xr:uid="{00000000-0005-0000-0000-0000C8020000}"/>
    <cellStyle name="_TableSuperHead_Broadband Comps" xfId="745" xr:uid="{00000000-0005-0000-0000-0000C9020000}"/>
    <cellStyle name="_TableSuperHead_DCF model" xfId="746" xr:uid="{00000000-0005-0000-0000-0000CA020000}"/>
    <cellStyle name="_TableSuperHeading" xfId="747" xr:uid="{00000000-0005-0000-0000-0000CB020000}"/>
    <cellStyle name="_TableSuperHeading_050301 Camel operational model V1" xfId="748" xr:uid="{00000000-0005-0000-0000-0000CC020000}"/>
    <cellStyle name="_TableSuperHeading_Book1" xfId="749" xr:uid="{00000000-0005-0000-0000-0000CD020000}"/>
    <cellStyle name="_TableSuperHeading_DCF model" xfId="750" xr:uid="{00000000-0005-0000-0000-0000CE020000}"/>
    <cellStyle name="_TableText" xfId="751" xr:uid="{00000000-0005-0000-0000-0000CF020000}"/>
    <cellStyle name="_TableText_050301 Camel operational model V1" xfId="752" xr:uid="{00000000-0005-0000-0000-0000D0020000}"/>
    <cellStyle name="_TableText_Book1" xfId="753" xr:uid="{00000000-0005-0000-0000-0000D1020000}"/>
    <cellStyle name="_TableText_DCF model" xfId="754" xr:uid="{00000000-0005-0000-0000-0000D2020000}"/>
    <cellStyle name="_target mdv 110902" xfId="755" xr:uid="{00000000-0005-0000-0000-0000D3020000}"/>
    <cellStyle name="_TDC model 2005 04 30" xfId="756" xr:uid="{00000000-0005-0000-0000-0000D4020000}"/>
    <cellStyle name="_TOT-09 PRODUC" xfId="757" xr:uid="{00000000-0005-0000-0000-0000D5020000}"/>
    <cellStyle name="_Tower data file" xfId="758" xr:uid="{00000000-0005-0000-0000-0000D6020000}"/>
    <cellStyle name="_Tower operational model v4.3" xfId="759" xr:uid="{00000000-0005-0000-0000-0000D7020000}"/>
    <cellStyle name="_TSIM - CAPEX V1.0" xfId="760" xr:uid="{00000000-0005-0000-0000-0000D8020000}"/>
    <cellStyle name="_UBS Delight 20051113" xfId="761" xr:uid="{00000000-0005-0000-0000-0000D9020000}"/>
    <cellStyle name="_val" xfId="762" xr:uid="{00000000-0005-0000-0000-0000DA020000}"/>
    <cellStyle name="_Valuation 0413041" xfId="763" xr:uid="{00000000-0005-0000-0000-0000DB020000}"/>
    <cellStyle name="_VIP BP_2003-04231" xfId="764" xr:uid="{00000000-0005-0000-0000-0000DC020000}"/>
    <cellStyle name="£Currency [0]" xfId="767" xr:uid="{00000000-0005-0000-0000-0000DD020000}"/>
    <cellStyle name="£Pounds" xfId="768" xr:uid="{00000000-0005-0000-0000-0000DE020000}"/>
    <cellStyle name="=C:\WINDOWS\SYSTEM32\COMMAND.COM" xfId="765" xr:uid="{00000000-0005-0000-0000-0000DF020000}"/>
    <cellStyle name="=C:\WINNT\SYSTEM32\COMMAND.COM" xfId="766" xr:uid="{00000000-0005-0000-0000-0000E0020000}"/>
    <cellStyle name="§Q\?1@" xfId="769" xr:uid="{00000000-0005-0000-0000-0000E1020000}"/>
    <cellStyle name="0" xfId="770" xr:uid="{00000000-0005-0000-0000-0000E2020000}"/>
    <cellStyle name="0 2" xfId="771" xr:uid="{00000000-0005-0000-0000-0000E3020000}"/>
    <cellStyle name="0,0_x000a__x000a_NA_x000a__x000a_" xfId="772" xr:uid="{00000000-0005-0000-0000-0000E4020000}"/>
    <cellStyle name="0,0_x000d__x000a_NA_x000d__x000a_" xfId="773" xr:uid="{00000000-0005-0000-0000-0000E5020000}"/>
    <cellStyle name="0.0" xfId="774" xr:uid="{00000000-0005-0000-0000-0000E6020000}"/>
    <cellStyle name="0.0 2" xfId="775" xr:uid="{00000000-0005-0000-0000-0000E7020000}"/>
    <cellStyle name="0.0 x; (0.0 x)" xfId="776" xr:uid="{00000000-0005-0000-0000-0000E8020000}"/>
    <cellStyle name="0.0 x; (0.0 x) 2" xfId="777" xr:uid="{00000000-0005-0000-0000-0000E9020000}"/>
    <cellStyle name="0.0 x; (0.0 x) 3" xfId="778" xr:uid="{00000000-0005-0000-0000-0000EA020000}"/>
    <cellStyle name="0.0_2+10 CEO Country review template v1" xfId="779" xr:uid="{00000000-0005-0000-0000-0000EB020000}"/>
    <cellStyle name="0.00" xfId="780" xr:uid="{00000000-0005-0000-0000-0000EC020000}"/>
    <cellStyle name="0.00 2" xfId="781" xr:uid="{00000000-0005-0000-0000-0000ED020000}"/>
    <cellStyle name="000" xfId="782" xr:uid="{00000000-0005-0000-0000-0000EE020000}"/>
    <cellStyle name="'000" xfId="783" xr:uid="{00000000-0005-0000-0000-0000EF020000}"/>
    <cellStyle name="000_DSL v2" xfId="1934" xr:uid="{00000000-0005-0000-0000-0000F0020000}"/>
    <cellStyle name="000's" xfId="784" xr:uid="{00000000-0005-0000-0000-0000F1020000}"/>
    <cellStyle name="0DP bkt" xfId="785" xr:uid="{00000000-0005-0000-0000-0000F2020000}"/>
    <cellStyle name="1,comma" xfId="786" xr:uid="{00000000-0005-0000-0000-0000F3020000}"/>
    <cellStyle name="12 bkt 0DP" xfId="787" xr:uid="{00000000-0005-0000-0000-0000F4020000}"/>
    <cellStyle name="12 bkt 2DP" xfId="788" xr:uid="{00000000-0005-0000-0000-0000F5020000}"/>
    <cellStyle name="14 bold head" xfId="789" xr:uid="{00000000-0005-0000-0000-0000F6020000}"/>
    <cellStyle name="1Nachkommastelle" xfId="790" xr:uid="{00000000-0005-0000-0000-0000F7020000}"/>
    <cellStyle name="20% - Accent1" xfId="15" builtinId="30" customBuiltin="1"/>
    <cellStyle name="20% - Accent1 2" xfId="791" xr:uid="{00000000-0005-0000-0000-0000F9020000}"/>
    <cellStyle name="20% - Accent2" xfId="19" builtinId="34" customBuiltin="1"/>
    <cellStyle name="20% - Accent3" xfId="23" builtinId="38" customBuiltin="1"/>
    <cellStyle name="20% - Accent4" xfId="27" builtinId="42" customBuiltin="1"/>
    <cellStyle name="20% - Accent5" xfId="31" builtinId="46" customBuiltin="1"/>
    <cellStyle name="20% - Accent6" xfId="35" builtinId="50" customBuiltin="1"/>
    <cellStyle name="3" xfId="792" xr:uid="{00000000-0005-0000-0000-0000FF020000}"/>
    <cellStyle name="3_2+10 CEO Country review template v1" xfId="793" xr:uid="{00000000-0005-0000-0000-000000030000}"/>
    <cellStyle name="3_DB 1b Summary" xfId="794" xr:uid="{00000000-0005-0000-0000-000001030000}"/>
    <cellStyle name="3_DSL v2" xfId="795" xr:uid="{00000000-0005-0000-0000-000002030000}"/>
    <cellStyle name="4.56" xfId="796" xr:uid="{00000000-0005-0000-0000-000003030000}"/>
    <cellStyle name="40% - Accent1" xfId="16" builtinId="31" customBuiltin="1"/>
    <cellStyle name="40% - Accent2" xfId="20" builtinId="35" customBuiltin="1"/>
    <cellStyle name="40% - Accent3" xfId="24" builtinId="39" customBuiltin="1"/>
    <cellStyle name="40% - Accent4" xfId="28" builtinId="43" customBuiltin="1"/>
    <cellStyle name="40% - Accent5" xfId="32" builtinId="47" customBuiltin="1"/>
    <cellStyle name="40% - Accent6" xfId="36" builtinId="51" customBuiltin="1"/>
    <cellStyle name="60% - Accent1" xfId="17" builtinId="32" customBuiltin="1"/>
    <cellStyle name="60% - Accent2" xfId="21" builtinId="36" customBuiltin="1"/>
    <cellStyle name="60% - Accent3" xfId="25" builtinId="40" customBuiltin="1"/>
    <cellStyle name="60% - Accent4" xfId="29" builtinId="44" customBuiltin="1"/>
    <cellStyle name="60% - Accent5" xfId="33" builtinId="48" customBuiltin="1"/>
    <cellStyle name="60% - Accent6" xfId="37" builtinId="52" customBuiltin="1"/>
    <cellStyle name="a" xfId="797" xr:uid="{00000000-0005-0000-0000-000010030000}"/>
    <cellStyle name="A Big heading" xfId="798" xr:uid="{00000000-0005-0000-0000-000011030000}"/>
    <cellStyle name="A body text" xfId="799" xr:uid="{00000000-0005-0000-0000-000012030000}"/>
    <cellStyle name="A smaller heading" xfId="800" xr:uid="{00000000-0005-0000-0000-000013030000}"/>
    <cellStyle name="aBanner" xfId="801" xr:uid="{00000000-0005-0000-0000-000014030000}"/>
    <cellStyle name="aBody" xfId="802" xr:uid="{00000000-0005-0000-0000-000015030000}"/>
    <cellStyle name="aCash" xfId="803" xr:uid="{00000000-0005-0000-0000-000016030000}"/>
    <cellStyle name="aCash .0 K" xfId="804" xr:uid="{00000000-0005-0000-0000-000017030000}"/>
    <cellStyle name="aCash Cents" xfId="805" xr:uid="{00000000-0005-0000-0000-000018030000}"/>
    <cellStyle name="aCash K" xfId="806" xr:uid="{00000000-0005-0000-0000-000019030000}"/>
    <cellStyle name="aCash M" xfId="807" xr:uid="{00000000-0005-0000-0000-00001A030000}"/>
    <cellStyle name="Accent1" xfId="14" builtinId="29" customBuiltin="1"/>
    <cellStyle name="Accent2" xfId="18" builtinId="33" customBuiltin="1"/>
    <cellStyle name="Accent3" xfId="22" builtinId="37" customBuiltin="1"/>
    <cellStyle name="Accent4" xfId="26" builtinId="41" customBuiltin="1"/>
    <cellStyle name="Accent5" xfId="30" builtinId="45" customBuiltin="1"/>
    <cellStyle name="Accent6" xfId="34" builtinId="49" customBuiltin="1"/>
    <cellStyle name="Actual Date" xfId="808" xr:uid="{00000000-0005-0000-0000-000021030000}"/>
    <cellStyle name="Actual Date 2" xfId="1935" xr:uid="{00000000-0005-0000-0000-000022030000}"/>
    <cellStyle name="AFE" xfId="809" xr:uid="{00000000-0005-0000-0000-000023030000}"/>
    <cellStyle name="After Percent" xfId="810" xr:uid="{00000000-0005-0000-0000-000024030000}"/>
    <cellStyle name="After Percent 2" xfId="811" xr:uid="{00000000-0005-0000-0000-000025030000}"/>
    <cellStyle name="After Percent 2 2" xfId="2519" xr:uid="{00000000-0005-0000-0000-000026030000}"/>
    <cellStyle name="After Percent 3" xfId="2518" xr:uid="{00000000-0005-0000-0000-000027030000}"/>
    <cellStyle name="Año" xfId="812" xr:uid="{00000000-0005-0000-0000-000028030000}"/>
    <cellStyle name="args.style" xfId="813" xr:uid="{00000000-0005-0000-0000-000029030000}"/>
    <cellStyle name="Arial 10" xfId="814" xr:uid="{00000000-0005-0000-0000-00002A030000}"/>
    <cellStyle name="Arial 12" xfId="815" xr:uid="{00000000-0005-0000-0000-00002B030000}"/>
    <cellStyle name="Assumption [#]" xfId="816" xr:uid="{00000000-0005-0000-0000-00002C030000}"/>
    <cellStyle name="Availability" xfId="817" xr:uid="{00000000-0005-0000-0000-00002D030000}"/>
    <cellStyle name="b" xfId="818" xr:uid="{00000000-0005-0000-0000-00002E030000}"/>
    <cellStyle name="Bad" xfId="4" builtinId="27" customBuiltin="1"/>
    <cellStyle name="Balance_Sheet" xfId="819" xr:uid="{00000000-0005-0000-0000-000030030000}"/>
    <cellStyle name="Banner" xfId="820" xr:uid="{00000000-0005-0000-0000-000031030000}"/>
    <cellStyle name="Basic1" xfId="821" xr:uid="{00000000-0005-0000-0000-000032030000}"/>
    <cellStyle name="Besuchter Hyperlink" xfId="822" xr:uid="{00000000-0005-0000-0000-000033030000}"/>
    <cellStyle name="billion" xfId="823" xr:uid="{00000000-0005-0000-0000-000034030000}"/>
    <cellStyle name="BLACK" xfId="824" xr:uid="{00000000-0005-0000-0000-000035030000}"/>
    <cellStyle name="Blank" xfId="825" xr:uid="{00000000-0005-0000-0000-000036030000}"/>
    <cellStyle name="blaugrau" xfId="826" xr:uid="{00000000-0005-0000-0000-000037030000}"/>
    <cellStyle name="blaugrau 2" xfId="827" xr:uid="{00000000-0005-0000-0000-000038030000}"/>
    <cellStyle name="blaugrau 3" xfId="828" xr:uid="{00000000-0005-0000-0000-000039030000}"/>
    <cellStyle name="blaugrau 4" xfId="829" xr:uid="{00000000-0005-0000-0000-00003A030000}"/>
    <cellStyle name="blaukursiv" xfId="830" xr:uid="{00000000-0005-0000-0000-00003B030000}"/>
    <cellStyle name="blaukursiv 2" xfId="831" xr:uid="{00000000-0005-0000-0000-00003C030000}"/>
    <cellStyle name="blaukursiv 2 2" xfId="1991" xr:uid="{00000000-0005-0000-0000-00003D030000}"/>
    <cellStyle name="blaukursiv 2 2 2" xfId="2877" xr:uid="{00000000-0005-0000-0000-00003E030000}"/>
    <cellStyle name="blaukursiv 2 2 2 2" xfId="4450" xr:uid="{E8CACED2-30B1-42E0-B95D-FEB0817CD501}"/>
    <cellStyle name="blaukursiv 2 2 3" xfId="3302" xr:uid="{00000000-0005-0000-0000-00003F030000}"/>
    <cellStyle name="blaukursiv 2 2 3 2" xfId="4873" xr:uid="{64756CB4-6DEC-4793-B7F7-69E8977F42C9}"/>
    <cellStyle name="blaukursiv 2 3" xfId="2521" xr:uid="{00000000-0005-0000-0000-000040030000}"/>
    <cellStyle name="blaukursiv 2 3 2" xfId="4108" xr:uid="{36174F2D-97FD-4EF0-9A11-6AE7F4606EDA}"/>
    <cellStyle name="blaukursiv 3" xfId="1990" xr:uid="{00000000-0005-0000-0000-000041030000}"/>
    <cellStyle name="blaukursiv 3 2" xfId="2876" xr:uid="{00000000-0005-0000-0000-000042030000}"/>
    <cellStyle name="blaukursiv 3 2 2" xfId="4449" xr:uid="{03B6FF60-52D9-4557-A81D-0CE58AB9C46D}"/>
    <cellStyle name="blaukursiv 3 3" xfId="3301" xr:uid="{00000000-0005-0000-0000-000043030000}"/>
    <cellStyle name="blaukursiv 3 3 2" xfId="4872" xr:uid="{19ADB11B-307C-4F00-A732-9E09E40196C1}"/>
    <cellStyle name="blaukursiv 4" xfId="2520" xr:uid="{00000000-0005-0000-0000-000044030000}"/>
    <cellStyle name="blaukursiv 4 2" xfId="4107" xr:uid="{D6E27F29-1006-4601-8656-760646EC4837}"/>
    <cellStyle name="Blue" xfId="832" xr:uid="{00000000-0005-0000-0000-000045030000}"/>
    <cellStyle name="blue$00" xfId="833" xr:uid="{00000000-0005-0000-0000-000046030000}"/>
    <cellStyle name="Body" xfId="834" xr:uid="{00000000-0005-0000-0000-000047030000}"/>
    <cellStyle name="bold big" xfId="835" xr:uid="{00000000-0005-0000-0000-000048030000}"/>
    <cellStyle name="bold bot bord" xfId="836" xr:uid="{00000000-0005-0000-0000-000049030000}"/>
    <cellStyle name="bold bot bord 2" xfId="837" xr:uid="{00000000-0005-0000-0000-00004A030000}"/>
    <cellStyle name="Bold Pink" xfId="838" xr:uid="{00000000-0005-0000-0000-00004B030000}"/>
    <cellStyle name="Bold Pink 2" xfId="1992" xr:uid="{00000000-0005-0000-0000-00004C030000}"/>
    <cellStyle name="Bold Pink 2 2" xfId="2878" xr:uid="{00000000-0005-0000-0000-00004D030000}"/>
    <cellStyle name="Bold Pink 2 2 2" xfId="4451" xr:uid="{CC5221A2-4F7A-412D-8078-5C1599FFA577}"/>
    <cellStyle name="Bold Pink 2 3" xfId="3303" xr:uid="{00000000-0005-0000-0000-00004E030000}"/>
    <cellStyle name="Bold Pink 2 3 2" xfId="4874" xr:uid="{45D1694D-537B-44DC-BFF1-8627F2157371}"/>
    <cellStyle name="Bold Pink 3" xfId="2522" xr:uid="{00000000-0005-0000-0000-00004F030000}"/>
    <cellStyle name="Bold Pink 3 2" xfId="4109" xr:uid="{A6142D45-4780-41CE-BFFD-E80106933759}"/>
    <cellStyle name="bold underline" xfId="839" xr:uid="{00000000-0005-0000-0000-000050030000}"/>
    <cellStyle name="Border Bottom Thick" xfId="840" xr:uid="{00000000-0005-0000-0000-000051030000}"/>
    <cellStyle name="Border Bottom Thick 2" xfId="1936" xr:uid="{00000000-0005-0000-0000-000052030000}"/>
    <cellStyle name="Border Bottom Thick 2 2" xfId="2863" xr:uid="{00000000-0005-0000-0000-000053030000}"/>
    <cellStyle name="Border Bottom Thick 3" xfId="2523" xr:uid="{00000000-0005-0000-0000-000054030000}"/>
    <cellStyle name="Border Heavy" xfId="841" xr:uid="{00000000-0005-0000-0000-000055030000}"/>
    <cellStyle name="Border Heavy 2" xfId="1937" xr:uid="{00000000-0005-0000-0000-000056030000}"/>
    <cellStyle name="Border Heavy 2 2" xfId="2864" xr:uid="{00000000-0005-0000-0000-000057030000}"/>
    <cellStyle name="Border Heavy 3" xfId="2524" xr:uid="{00000000-0005-0000-0000-000058030000}"/>
    <cellStyle name="Border Thin" xfId="842" xr:uid="{00000000-0005-0000-0000-000059030000}"/>
    <cellStyle name="Border Top Thin" xfId="843" xr:uid="{00000000-0005-0000-0000-00005A030000}"/>
    <cellStyle name="Border Top Thin 2" xfId="844" xr:uid="{00000000-0005-0000-0000-00005B030000}"/>
    <cellStyle name="Border Top Thin 3" xfId="845" xr:uid="{00000000-0005-0000-0000-00005C030000}"/>
    <cellStyle name="Border Top Thin 4" xfId="846" xr:uid="{00000000-0005-0000-0000-00005D030000}"/>
    <cellStyle name="Border Years" xfId="847" xr:uid="{00000000-0005-0000-0000-00005E030000}"/>
    <cellStyle name="Border Years 2" xfId="1938" xr:uid="{00000000-0005-0000-0000-00005F030000}"/>
    <cellStyle name="bottom dbl" xfId="848" xr:uid="{00000000-0005-0000-0000-000060030000}"/>
    <cellStyle name="bottom dbl 2" xfId="1939" xr:uid="{00000000-0005-0000-0000-000061030000}"/>
    <cellStyle name="British Pound" xfId="849" xr:uid="{00000000-0005-0000-0000-000062030000}"/>
    <cellStyle name="calc" xfId="850" xr:uid="{00000000-0005-0000-0000-000063030000}"/>
    <cellStyle name="calc 2" xfId="1940" xr:uid="{00000000-0005-0000-0000-000064030000}"/>
    <cellStyle name="Calc Currency (0)" xfId="851" xr:uid="{00000000-0005-0000-0000-000065030000}"/>
    <cellStyle name="Calc Currency (2)" xfId="852" xr:uid="{00000000-0005-0000-0000-000066030000}"/>
    <cellStyle name="Calc Units (0)" xfId="853" xr:uid="{00000000-0005-0000-0000-000067030000}"/>
    <cellStyle name="Calculation" xfId="7" builtinId="22" customBuiltin="1"/>
    <cellStyle name="Calculation with Border" xfId="854" xr:uid="{00000000-0005-0000-0000-000069030000}"/>
    <cellStyle name="Calculation with Border 2" xfId="855" xr:uid="{00000000-0005-0000-0000-00006A030000}"/>
    <cellStyle name="Calculation with Border 2 2" xfId="1994" xr:uid="{00000000-0005-0000-0000-00006B030000}"/>
    <cellStyle name="Calculation with Border 2 2 2" xfId="2880" xr:uid="{00000000-0005-0000-0000-00006C030000}"/>
    <cellStyle name="Calculation with Border 2 2 2 2" xfId="4453" xr:uid="{A05F1DCE-7894-45A1-A3C5-DD34F8F71430}"/>
    <cellStyle name="Calculation with Border 2 2 3" xfId="3305" xr:uid="{00000000-0005-0000-0000-00006D030000}"/>
    <cellStyle name="Calculation with Border 2 2 3 2" xfId="4876" xr:uid="{B7203579-B173-4DCE-8098-6F50BBE3166F}"/>
    <cellStyle name="Calculation with Border 2 2 4" xfId="3656" xr:uid="{6B8A451A-4617-4D25-9E0B-39C0B0195571}"/>
    <cellStyle name="Calculation with Border 2 3" xfId="2526" xr:uid="{00000000-0005-0000-0000-00006E030000}"/>
    <cellStyle name="Calculation with Border 2 3 2" xfId="4111" xr:uid="{5B6464D4-1158-4DDA-8A7B-0C7B12B86EDF}"/>
    <cellStyle name="Calculation with Border 2 4" xfId="2516" xr:uid="{00000000-0005-0000-0000-00006F030000}"/>
    <cellStyle name="Calculation with Border 2 4 2" xfId="4105" xr:uid="{2E0D903D-D725-4918-976E-FFAEDCBE3985}"/>
    <cellStyle name="Calculation with Border 3" xfId="856" xr:uid="{00000000-0005-0000-0000-000070030000}"/>
    <cellStyle name="Calculation with Border 3 2" xfId="1995" xr:uid="{00000000-0005-0000-0000-000071030000}"/>
    <cellStyle name="Calculation with Border 3 2 2" xfId="2881" xr:uid="{00000000-0005-0000-0000-000072030000}"/>
    <cellStyle name="Calculation with Border 3 2 2 2" xfId="4454" xr:uid="{FAA729B6-54CE-4608-9A40-B084F222D4A5}"/>
    <cellStyle name="Calculation with Border 3 2 3" xfId="3306" xr:uid="{00000000-0005-0000-0000-000073030000}"/>
    <cellStyle name="Calculation with Border 3 2 3 2" xfId="4877" xr:uid="{BD02F8B3-0C7B-4834-9412-42E790E065B8}"/>
    <cellStyle name="Calculation with Border 3 2 4" xfId="3657" xr:uid="{F969EC9F-0166-45B1-ADD8-6C4031246B96}"/>
    <cellStyle name="Calculation with Border 3 3" xfId="2527" xr:uid="{00000000-0005-0000-0000-000074030000}"/>
    <cellStyle name="Calculation with Border 3 3 2" xfId="4112" xr:uid="{07D77B67-4FBA-40B3-BA78-4584D922DACC}"/>
    <cellStyle name="Calculation with Border 3 4" xfId="2515" xr:uid="{00000000-0005-0000-0000-000075030000}"/>
    <cellStyle name="Calculation with Border 3 4 2" xfId="4104" xr:uid="{36C7C8D0-FDC2-4966-8B07-74066B69BA6E}"/>
    <cellStyle name="Calculation with Border 4" xfId="857" xr:uid="{00000000-0005-0000-0000-000076030000}"/>
    <cellStyle name="Calculation with Border 4 2" xfId="1996" xr:uid="{00000000-0005-0000-0000-000077030000}"/>
    <cellStyle name="Calculation with Border 4 2 2" xfId="2882" xr:uid="{00000000-0005-0000-0000-000078030000}"/>
    <cellStyle name="Calculation with Border 4 2 2 2" xfId="4455" xr:uid="{02A0FC16-4C56-4C2D-BAFC-B05650DAE160}"/>
    <cellStyle name="Calculation with Border 4 2 3" xfId="3307" xr:uid="{00000000-0005-0000-0000-000079030000}"/>
    <cellStyle name="Calculation with Border 4 2 3 2" xfId="4878" xr:uid="{93CE7021-CD26-41FF-B0C6-F888B568BBA2}"/>
    <cellStyle name="Calculation with Border 4 2 4" xfId="3658" xr:uid="{58A1A5CA-F885-4904-A83D-2AA176DC595E}"/>
    <cellStyle name="Calculation with Border 4 3" xfId="2528" xr:uid="{00000000-0005-0000-0000-00007A030000}"/>
    <cellStyle name="Calculation with Border 4 3 2" xfId="4113" xr:uid="{64EC5FFF-5399-4F44-BCCA-973240C32EF4}"/>
    <cellStyle name="Calculation with Border 4 4" xfId="2514" xr:uid="{00000000-0005-0000-0000-00007B030000}"/>
    <cellStyle name="Calculation with Border 4 4 2" xfId="4103" xr:uid="{F2632CA8-7B04-4FF2-8227-550A9A86BBCE}"/>
    <cellStyle name="Calculation with Border 5" xfId="1993" xr:uid="{00000000-0005-0000-0000-00007C030000}"/>
    <cellStyle name="Calculation with Border 5 2" xfId="2879" xr:uid="{00000000-0005-0000-0000-00007D030000}"/>
    <cellStyle name="Calculation with Border 5 2 2" xfId="4452" xr:uid="{A86A1E3B-20F4-41BF-9D32-8407CD5F563C}"/>
    <cellStyle name="Calculation with Border 5 3" xfId="3304" xr:uid="{00000000-0005-0000-0000-00007E030000}"/>
    <cellStyle name="Calculation with Border 5 3 2" xfId="4875" xr:uid="{C007F655-61D9-4CEA-AB9F-F8EEAEF0353A}"/>
    <cellStyle name="Calculation with Border 5 4" xfId="3655" xr:uid="{6C89622B-E92A-4B0E-9B8F-9FE851042A19}"/>
    <cellStyle name="Calculation with Border 6" xfId="2525" xr:uid="{00000000-0005-0000-0000-00007F030000}"/>
    <cellStyle name="Calculation with Border 6 2" xfId="4110" xr:uid="{B73A72D6-BE53-426E-80D4-E923C08A0422}"/>
    <cellStyle name="Calculation with Border 7" xfId="2517" xr:uid="{00000000-0005-0000-0000-000080030000}"/>
    <cellStyle name="Calculation with Border 7 2" xfId="4106" xr:uid="{B0DCFF1A-C7F8-43A4-ACB7-68F9696DC53B}"/>
    <cellStyle name="Case" xfId="858" xr:uid="{00000000-0005-0000-0000-000081030000}"/>
    <cellStyle name="Cashflow" xfId="859" xr:uid="{00000000-0005-0000-0000-000082030000}"/>
    <cellStyle name="Cashflow 2" xfId="1941" xr:uid="{00000000-0005-0000-0000-000083030000}"/>
    <cellStyle name="category" xfId="860" xr:uid="{00000000-0005-0000-0000-000084030000}"/>
    <cellStyle name="cc0 -CalComma" xfId="861" xr:uid="{00000000-0005-0000-0000-000085030000}"/>
    <cellStyle name="cc1 -CalComma" xfId="862" xr:uid="{00000000-0005-0000-0000-000086030000}"/>
    <cellStyle name="cc2 -CalComma" xfId="863" xr:uid="{00000000-0005-0000-0000-000087030000}"/>
    <cellStyle name="cc3 -CalComma" xfId="864" xr:uid="{00000000-0005-0000-0000-000088030000}"/>
    <cellStyle name="cc4 -CalComma" xfId="865" xr:uid="{00000000-0005-0000-0000-000089030000}"/>
    <cellStyle name="cComma0" xfId="866" xr:uid="{00000000-0005-0000-0000-00008A030000}"/>
    <cellStyle name="cComma1" xfId="867" xr:uid="{00000000-0005-0000-0000-00008B030000}"/>
    <cellStyle name="cComma2" xfId="868" xr:uid="{00000000-0005-0000-0000-00008C030000}"/>
    <cellStyle name="cComma3" xfId="869" xr:uid="{00000000-0005-0000-0000-00008D030000}"/>
    <cellStyle name="cCurrency0" xfId="870" xr:uid="{00000000-0005-0000-0000-00008E030000}"/>
    <cellStyle name="cCurrency2" xfId="871" xr:uid="{00000000-0005-0000-0000-00008F030000}"/>
    <cellStyle name="cDateDM" xfId="872" xr:uid="{00000000-0005-0000-0000-000090030000}"/>
    <cellStyle name="cDateDMY" xfId="873" xr:uid="{00000000-0005-0000-0000-000091030000}"/>
    <cellStyle name="cDateHM" xfId="874" xr:uid="{00000000-0005-0000-0000-000092030000}"/>
    <cellStyle name="cDateMY" xfId="875" xr:uid="{00000000-0005-0000-0000-000093030000}"/>
    <cellStyle name="cDateT24" xfId="876" xr:uid="{00000000-0005-0000-0000-000094030000}"/>
    <cellStyle name="cdDMMY -CalDate" xfId="877" xr:uid="{00000000-0005-0000-0000-000095030000}"/>
    <cellStyle name="cdDMMYHM -CalDateTime" xfId="878" xr:uid="{00000000-0005-0000-0000-000096030000}"/>
    <cellStyle name="cdDMY -CalDate" xfId="879" xr:uid="{00000000-0005-0000-0000-000097030000}"/>
    <cellStyle name="cdMDY -CalDate" xfId="880" xr:uid="{00000000-0005-0000-0000-000098030000}"/>
    <cellStyle name="cdMMY -CalDate" xfId="881" xr:uid="{00000000-0005-0000-0000-000099030000}"/>
    <cellStyle name="cdMMYc-CalDateC" xfId="882" xr:uid="{00000000-0005-0000-0000-00009A030000}"/>
    <cellStyle name="cell" xfId="883" xr:uid="{00000000-0005-0000-0000-00009B030000}"/>
    <cellStyle name="cell 2" xfId="884" xr:uid="{00000000-0005-0000-0000-00009C030000}"/>
    <cellStyle name="cell 2 2" xfId="1998" xr:uid="{00000000-0005-0000-0000-00009D030000}"/>
    <cellStyle name="cell 2 2 2" xfId="2884" xr:uid="{00000000-0005-0000-0000-00009E030000}"/>
    <cellStyle name="cell 2 2 2 2" xfId="4457" xr:uid="{B8BE06CD-E46B-4B7D-AF92-E63B4E93A5FA}"/>
    <cellStyle name="cell 2 2 3" xfId="3309" xr:uid="{00000000-0005-0000-0000-00009F030000}"/>
    <cellStyle name="cell 2 2 3 2" xfId="4880" xr:uid="{C59564C9-8E2B-4DE1-8CC9-B3E3E341C00B}"/>
    <cellStyle name="cell 2 3" xfId="2530" xr:uid="{00000000-0005-0000-0000-0000A0030000}"/>
    <cellStyle name="cell 2 3 2" xfId="4115" xr:uid="{37B93E51-9C22-42BF-89EE-E59148E50722}"/>
    <cellStyle name="cell 3" xfId="1997" xr:uid="{00000000-0005-0000-0000-0000A1030000}"/>
    <cellStyle name="cell 3 2" xfId="2883" xr:uid="{00000000-0005-0000-0000-0000A2030000}"/>
    <cellStyle name="cell 3 2 2" xfId="4456" xr:uid="{DD2EBF99-D261-48B3-90ED-508670A282D4}"/>
    <cellStyle name="cell 3 3" xfId="3308" xr:uid="{00000000-0005-0000-0000-0000A3030000}"/>
    <cellStyle name="cell 3 3 2" xfId="4879" xr:uid="{335000EC-173D-421D-B35C-D9DFD3E8228F}"/>
    <cellStyle name="cell 4" xfId="2529" xr:uid="{00000000-0005-0000-0000-0000A4030000}"/>
    <cellStyle name="cell 4 2" xfId="4114" xr:uid="{2B549657-4663-4626-B348-06109166E257}"/>
    <cellStyle name="Center" xfId="885" xr:uid="{00000000-0005-0000-0000-0000A5030000}"/>
    <cellStyle name="Center 2" xfId="886" xr:uid="{00000000-0005-0000-0000-0000A6030000}"/>
    <cellStyle name="cf0 -CalFixed" xfId="887" xr:uid="{00000000-0005-0000-0000-0000A7030000}"/>
    <cellStyle name="Check" xfId="888" xr:uid="{00000000-0005-0000-0000-0000A8030000}"/>
    <cellStyle name="Check 2" xfId="3646" xr:uid="{F62BB29A-B0ED-4B17-8EDD-A2367C38DA2B}"/>
    <cellStyle name="Check Cell" xfId="9" builtinId="23" customBuiltin="1"/>
    <cellStyle name="Checksum" xfId="889" xr:uid="{00000000-0005-0000-0000-0000AA030000}"/>
    <cellStyle name="cmHM  -CalTime" xfId="890" xr:uid="{00000000-0005-0000-0000-0000AB030000}"/>
    <cellStyle name="cmHM24+ -CalTime" xfId="891" xr:uid="{00000000-0005-0000-0000-0000AC030000}"/>
    <cellStyle name="Co. Names" xfId="892" xr:uid="{00000000-0005-0000-0000-0000AD030000}"/>
    <cellStyle name="COL HEADINGS" xfId="893" xr:uid="{00000000-0005-0000-0000-0000AE030000}"/>
    <cellStyle name="COL HEADINGS 2" xfId="894" xr:uid="{00000000-0005-0000-0000-0000AF030000}"/>
    <cellStyle name="Colhead_left" xfId="895" xr:uid="{00000000-0005-0000-0000-0000B0030000}"/>
    <cellStyle name="ColHeading" xfId="896" xr:uid="{00000000-0005-0000-0000-0000B1030000}"/>
    <cellStyle name="Column heading" xfId="897" xr:uid="{00000000-0005-0000-0000-0000B2030000}"/>
    <cellStyle name="Column label" xfId="898" xr:uid="{00000000-0005-0000-0000-0000B3030000}"/>
    <cellStyle name="Column label (left aligned)" xfId="899" xr:uid="{00000000-0005-0000-0000-0000B4030000}"/>
    <cellStyle name="Column label (no wrap)" xfId="900" xr:uid="{00000000-0005-0000-0000-0000B5030000}"/>
    <cellStyle name="Column label (not bold)" xfId="901" xr:uid="{00000000-0005-0000-0000-0000B6030000}"/>
    <cellStyle name="Column Title" xfId="902" xr:uid="{00000000-0005-0000-0000-0000B7030000}"/>
    <cellStyle name="ColumnHeading" xfId="903" xr:uid="{00000000-0005-0000-0000-0000B8030000}"/>
    <cellStyle name="Com?a" xfId="904" xr:uid="{00000000-0005-0000-0000-0000B9030000}"/>
    <cellStyle name="Com?a 2" xfId="3647" xr:uid="{EAFCF775-016F-4950-BD89-10850CC45EAF}"/>
    <cellStyle name="Com⏭a" xfId="905" xr:uid="{00000000-0005-0000-0000-0000BA030000}"/>
    <cellStyle name="Com⏭a 2" xfId="3648" xr:uid="{F1410919-0165-42CC-A60D-E6674070776E}"/>
    <cellStyle name="Comma  - Style1" xfId="906" xr:uid="{00000000-0005-0000-0000-0000BB030000}"/>
    <cellStyle name="Comma  - Style2" xfId="907" xr:uid="{00000000-0005-0000-0000-0000BC030000}"/>
    <cellStyle name="Comma  - Style3" xfId="908" xr:uid="{00000000-0005-0000-0000-0000BD030000}"/>
    <cellStyle name="Comma  - Style4" xfId="909" xr:uid="{00000000-0005-0000-0000-0000BE030000}"/>
    <cellStyle name="Comma  - Style5" xfId="910" xr:uid="{00000000-0005-0000-0000-0000BF030000}"/>
    <cellStyle name="Comma  - Style6" xfId="911" xr:uid="{00000000-0005-0000-0000-0000C0030000}"/>
    <cellStyle name="Comma  - Style7" xfId="912" xr:uid="{00000000-0005-0000-0000-0000C1030000}"/>
    <cellStyle name="Comma  - Style8" xfId="913" xr:uid="{00000000-0005-0000-0000-0000C2030000}"/>
    <cellStyle name="comma - number" xfId="914" xr:uid="{00000000-0005-0000-0000-0000C3030000}"/>
    <cellStyle name="Comma [1]" xfId="915" xr:uid="{00000000-0005-0000-0000-0000C4030000}"/>
    <cellStyle name="Comma [2]" xfId="916" xr:uid="{00000000-0005-0000-0000-0000C5030000}"/>
    <cellStyle name="Comma [3]" xfId="917" xr:uid="{00000000-0005-0000-0000-0000C6030000}"/>
    <cellStyle name="Comma 0" xfId="918" xr:uid="{00000000-0005-0000-0000-0000C7030000}"/>
    <cellStyle name="Comma 17" xfId="2327" xr:uid="{00000000-0005-0000-0000-0000C8030000}"/>
    <cellStyle name="Comma 17 2" xfId="3925" xr:uid="{1B734134-B6F8-45E2-84DB-223092F9F879}"/>
    <cellStyle name="Comma 17 3" xfId="2329" xr:uid="{00000000-0005-0000-0000-0000C9030000}"/>
    <cellStyle name="Comma 17 3 2" xfId="3927" xr:uid="{90EBB6F9-4570-4DD2-B22A-E9427B8A2445}"/>
    <cellStyle name="Comma 2" xfId="919" xr:uid="{00000000-0005-0000-0000-0000CA030000}"/>
    <cellStyle name="Comma 2 2" xfId="920" xr:uid="{00000000-0005-0000-0000-0000CB030000}"/>
    <cellStyle name="Comma 2 3" xfId="3649" xr:uid="{B9EB7794-2640-4564-BB80-49BF54F5716F}"/>
    <cellStyle name="Comma 22" xfId="2326" xr:uid="{00000000-0005-0000-0000-0000CC030000}"/>
    <cellStyle name="Comma 22 2" xfId="2328" xr:uid="{00000000-0005-0000-0000-0000CD030000}"/>
    <cellStyle name="Comma 22 2 2" xfId="3926" xr:uid="{CA905A98-1039-466B-B5C0-EA7C0E47E5BE}"/>
    <cellStyle name="Comma 22 3" xfId="3924" xr:uid="{213E1C81-6967-4E79-8F88-D28EF79DF9FB}"/>
    <cellStyle name="Comma 3" xfId="921" xr:uid="{00000000-0005-0000-0000-0000CE030000}"/>
    <cellStyle name="Comma 4" xfId="922" xr:uid="{00000000-0005-0000-0000-0000CF030000}"/>
    <cellStyle name="Comma 4 2" xfId="3650" xr:uid="{84BE9B17-3EF6-4B3B-A649-E457C886F173}"/>
    <cellStyle name="Comma 5" xfId="1924" xr:uid="{00000000-0005-0000-0000-0000D0030000}"/>
    <cellStyle name="Comma 5 2" xfId="3653" xr:uid="{15A11783-69EC-4EC0-917B-944E4EF4E0A7}"/>
    <cellStyle name="Comma0" xfId="923" xr:uid="{00000000-0005-0000-0000-0000D1030000}"/>
    <cellStyle name="Comment" xfId="924" xr:uid="{00000000-0005-0000-0000-0000D2030000}"/>
    <cellStyle name="Company" xfId="925" xr:uid="{00000000-0005-0000-0000-0000D3030000}"/>
    <cellStyle name="Company Name" xfId="926" xr:uid="{00000000-0005-0000-0000-0000D4030000}"/>
    <cellStyle name="Company_050301 Camel operational model V1" xfId="927" xr:uid="{00000000-0005-0000-0000-0000D5030000}"/>
    <cellStyle name="COMPS" xfId="928" xr:uid="{00000000-0005-0000-0000-0000D6030000}"/>
    <cellStyle name="COMPS 2" xfId="929" xr:uid="{00000000-0005-0000-0000-0000D7030000}"/>
    <cellStyle name="COMPS 2 2" xfId="2255" xr:uid="{00000000-0005-0000-0000-0000D8030000}"/>
    <cellStyle name="COMPS 2 2 2" xfId="3141" xr:uid="{00000000-0005-0000-0000-0000D9030000}"/>
    <cellStyle name="COMPS 2 2 2 2" xfId="4714" xr:uid="{963E6983-2464-4DB4-BAA1-9A6276814C33}"/>
    <cellStyle name="COMPS 2 2 3" xfId="3566" xr:uid="{00000000-0005-0000-0000-0000DA030000}"/>
    <cellStyle name="COMPS 2 2 3 2" xfId="5137" xr:uid="{B3A819CA-6658-4ECE-A53A-C4AFCE208566}"/>
    <cellStyle name="COMPS 2 3" xfId="2532" xr:uid="{00000000-0005-0000-0000-0000DB030000}"/>
    <cellStyle name="COMPS 2 3 2" xfId="4117" xr:uid="{5E4EFB41-6A7C-4703-80E8-97029B08B9B1}"/>
    <cellStyle name="COMPS 3" xfId="2254" xr:uid="{00000000-0005-0000-0000-0000DC030000}"/>
    <cellStyle name="COMPS 3 2" xfId="3140" xr:uid="{00000000-0005-0000-0000-0000DD030000}"/>
    <cellStyle name="COMPS 3 2 2" xfId="4713" xr:uid="{71266806-47FB-4818-B26E-1DD42C7E2FE7}"/>
    <cellStyle name="COMPS 3 3" xfId="3565" xr:uid="{00000000-0005-0000-0000-0000DE030000}"/>
    <cellStyle name="COMPS 3 3 2" xfId="5136" xr:uid="{76F7776C-8373-45C4-90D9-746A9D44B41D}"/>
    <cellStyle name="COMPS 4" xfId="2531" xr:uid="{00000000-0005-0000-0000-0000DF030000}"/>
    <cellStyle name="COMPS 4 2" xfId="4116" xr:uid="{037586A1-C4D5-4DEE-80C3-7ADC68EBCFD9}"/>
    <cellStyle name="Copied" xfId="930" xr:uid="{00000000-0005-0000-0000-0000E0030000}"/>
    <cellStyle name="Copy Decimal 0" xfId="931" xr:uid="{00000000-0005-0000-0000-0000E1030000}"/>
    <cellStyle name="Copy Decimal 0,00" xfId="932" xr:uid="{00000000-0005-0000-0000-0000E2030000}"/>
    <cellStyle name="Copy Decimal 0_DCF valuation_10 May v32" xfId="1942" xr:uid="{00000000-0005-0000-0000-0000E3030000}"/>
    <cellStyle name="Copy Percent 0" xfId="933" xr:uid="{00000000-0005-0000-0000-0000E4030000}"/>
    <cellStyle name="Copy Percent 0,00" xfId="934" xr:uid="{00000000-0005-0000-0000-0000E5030000}"/>
    <cellStyle name="Copy Percent 0_0309 XI" xfId="1943" xr:uid="{00000000-0005-0000-0000-0000E6030000}"/>
    <cellStyle name="Country1" xfId="935" xr:uid="{00000000-0005-0000-0000-0000E7030000}"/>
    <cellStyle name="cp0 -CalPercent" xfId="936" xr:uid="{00000000-0005-0000-0000-0000E8030000}"/>
    <cellStyle name="cp1 -CalPercent" xfId="937" xr:uid="{00000000-0005-0000-0000-0000E9030000}"/>
    <cellStyle name="cp2 -CalPercent" xfId="938" xr:uid="{00000000-0005-0000-0000-0000EA030000}"/>
    <cellStyle name="cp3 -CalPercent" xfId="939" xr:uid="{00000000-0005-0000-0000-0000EB030000}"/>
    <cellStyle name="cParenth0" xfId="940" xr:uid="{00000000-0005-0000-0000-0000EC030000}"/>
    <cellStyle name="cParenth2" xfId="941" xr:uid="{00000000-0005-0000-0000-0000ED030000}"/>
    <cellStyle name="cPercent0" xfId="942" xr:uid="{00000000-0005-0000-0000-0000EE030000}"/>
    <cellStyle name="cPercent1" xfId="943" xr:uid="{00000000-0005-0000-0000-0000EF030000}"/>
    <cellStyle name="cPercent2" xfId="944" xr:uid="{00000000-0005-0000-0000-0000F0030000}"/>
    <cellStyle name="cr0 -CalCurr" xfId="945" xr:uid="{00000000-0005-0000-0000-0000F1030000}"/>
    <cellStyle name="cr1 -CalCurr" xfId="946" xr:uid="{00000000-0005-0000-0000-0000F2030000}"/>
    <cellStyle name="cr2 -CalCurr" xfId="947" xr:uid="{00000000-0005-0000-0000-0000F3030000}"/>
    <cellStyle name="cr3 -CalCurr" xfId="948" xr:uid="{00000000-0005-0000-0000-0000F4030000}"/>
    <cellStyle name="cr4 -CalCurr" xfId="949" xr:uid="{00000000-0005-0000-0000-0000F5030000}"/>
    <cellStyle name="cRed0" xfId="950" xr:uid="{00000000-0005-0000-0000-0000F6030000}"/>
    <cellStyle name="cRed2" xfId="951" xr:uid="{00000000-0005-0000-0000-0000F7030000}"/>
    <cellStyle name="cTextB" xfId="952" xr:uid="{00000000-0005-0000-0000-0000F8030000}"/>
    <cellStyle name="cTextBCen" xfId="953" xr:uid="{00000000-0005-0000-0000-0000F9030000}"/>
    <cellStyle name="cTextCen" xfId="954" xr:uid="{00000000-0005-0000-0000-0000FA030000}"/>
    <cellStyle name="cTextGenWrap" xfId="955" xr:uid="{00000000-0005-0000-0000-0000FB030000}"/>
    <cellStyle name="cTextI" xfId="956" xr:uid="{00000000-0005-0000-0000-0000FC030000}"/>
    <cellStyle name="cTextSm" xfId="957" xr:uid="{00000000-0005-0000-0000-0000FD030000}"/>
    <cellStyle name="cTextSmWrap" xfId="958" xr:uid="{00000000-0005-0000-0000-0000FE030000}"/>
    <cellStyle name="cTextU" xfId="959" xr:uid="{00000000-0005-0000-0000-0000FF030000}"/>
    <cellStyle name="Cuadro 1" xfId="960" xr:uid="{00000000-0005-0000-0000-000000040000}"/>
    <cellStyle name="cur2" xfId="961" xr:uid="{00000000-0005-0000-0000-000001040000}"/>
    <cellStyle name="CurRatio" xfId="962" xr:uid="{00000000-0005-0000-0000-000002040000}"/>
    <cellStyle name="Currency" xfId="3634" builtinId="4"/>
    <cellStyle name="Currency - £" xfId="963" xr:uid="{00000000-0005-0000-0000-000003040000}"/>
    <cellStyle name="Currency - £ - sub-total" xfId="964" xr:uid="{00000000-0005-0000-0000-000004040000}"/>
    <cellStyle name="Currency - £ - sub-total 2" xfId="965" xr:uid="{00000000-0005-0000-0000-000005040000}"/>
    <cellStyle name="Currency - £ - sub-total 3" xfId="966" xr:uid="{00000000-0005-0000-0000-000006040000}"/>
    <cellStyle name="Currency - £ - sub-total 4" xfId="967" xr:uid="{00000000-0005-0000-0000-000007040000}"/>
    <cellStyle name="Currency - £ - total" xfId="968" xr:uid="{00000000-0005-0000-0000-000008040000}"/>
    <cellStyle name="Currency - £ - total 2" xfId="1944" xr:uid="{00000000-0005-0000-0000-000009040000}"/>
    <cellStyle name="Currency - £ - total 2 2" xfId="2320" xr:uid="{00000000-0005-0000-0000-00000A040000}"/>
    <cellStyle name="Currency - £ - total 2 2 2" xfId="3204" xr:uid="{00000000-0005-0000-0000-00000B040000}"/>
    <cellStyle name="Currency - £ - total 2 2 2 2" xfId="4775" xr:uid="{48D96412-1D09-42AC-BC75-F7B10765248E}"/>
    <cellStyle name="Currency - £ - total 2 2 3" xfId="3628" xr:uid="{00000000-0005-0000-0000-00000C040000}"/>
    <cellStyle name="Currency - £ - total 2 2 3 2" xfId="5198" xr:uid="{6112760C-5283-4285-ACEF-E61B35D1FF0E}"/>
    <cellStyle name="Currency - £ - total 2 2 4" xfId="3919" xr:uid="{9677E978-D2E6-4A46-9695-592BCF740A71}"/>
    <cellStyle name="Currency - £ - total 2 3" xfId="2865" xr:uid="{00000000-0005-0000-0000-00000D040000}"/>
    <cellStyle name="Currency - £ - total 2 3 2" xfId="4441" xr:uid="{B1C8B7EF-C4CE-403B-B1BB-8505EE6F8909}"/>
    <cellStyle name="Currency - £ - total 2 4" xfId="3293" xr:uid="{00000000-0005-0000-0000-00000E040000}"/>
    <cellStyle name="Currency - £ - total 2 4 2" xfId="4864" xr:uid="{0D2C22E4-3395-4992-820D-94A47B34599C}"/>
    <cellStyle name="Currency - £ - total 3" xfId="1999" xr:uid="{00000000-0005-0000-0000-00000F040000}"/>
    <cellStyle name="Currency - £ - total 3 2" xfId="2885" xr:uid="{00000000-0005-0000-0000-000010040000}"/>
    <cellStyle name="Currency - £ - total 3 2 2" xfId="4458" xr:uid="{CEAF78DE-1A68-463B-9820-BAA10486246E}"/>
    <cellStyle name="Currency - £ - total 3 3" xfId="3310" xr:uid="{00000000-0005-0000-0000-000011040000}"/>
    <cellStyle name="Currency - £ - total 3 3 2" xfId="4881" xr:uid="{AA2CB249-4997-4980-8EB7-052F46F23265}"/>
    <cellStyle name="Currency - £ - total 3 4" xfId="3659" xr:uid="{3CD6F589-4166-4A97-888F-5D3D3AAE109E}"/>
    <cellStyle name="Currency - £ - total 4" xfId="2533" xr:uid="{00000000-0005-0000-0000-000012040000}"/>
    <cellStyle name="Currency - £ - total 4 2" xfId="4118" xr:uid="{4A07EC8C-4B56-437F-9529-18EA73775D48}"/>
    <cellStyle name="Currency - £ - total 5" xfId="2513" xr:uid="{00000000-0005-0000-0000-000013040000}"/>
    <cellStyle name="Currency - £ - total 5 2" xfId="4102" xr:uid="{D5B79C1C-5AC5-4FEB-B749-B519A90E894A}"/>
    <cellStyle name="Currency - £_DATA (AH)" xfId="969" xr:uid="{00000000-0005-0000-0000-000014040000}"/>
    <cellStyle name="Currency - no ()" xfId="970" xr:uid="{00000000-0005-0000-0000-000015040000}"/>
    <cellStyle name="Currency (2dp)" xfId="971" xr:uid="{00000000-0005-0000-0000-000016040000}"/>
    <cellStyle name="Currency [00]" xfId="972" xr:uid="{00000000-0005-0000-0000-000017040000}"/>
    <cellStyle name="Currency [2]" xfId="973" xr:uid="{00000000-0005-0000-0000-000018040000}"/>
    <cellStyle name="Currency [2] 2" xfId="974" xr:uid="{00000000-0005-0000-0000-000019040000}"/>
    <cellStyle name="Currency [2] 2 2" xfId="2001" xr:uid="{00000000-0005-0000-0000-00001A040000}"/>
    <cellStyle name="Currency [2] 2 2 2" xfId="2887" xr:uid="{00000000-0005-0000-0000-00001B040000}"/>
    <cellStyle name="Currency [2] 2 2 2 2" xfId="4460" xr:uid="{599C9F94-E275-4467-BB50-DC99169EFEEB}"/>
    <cellStyle name="Currency [2] 2 2 3" xfId="3312" xr:uid="{00000000-0005-0000-0000-00001C040000}"/>
    <cellStyle name="Currency [2] 2 2 3 2" xfId="4883" xr:uid="{EF782D1D-E693-48AA-B932-DE7AE876B808}"/>
    <cellStyle name="Currency [2] 2 2 4" xfId="3661" xr:uid="{FDE199D2-7446-439D-85E0-BB04D4C3BBC5}"/>
    <cellStyle name="Currency [2] 2 3" xfId="2535" xr:uid="{00000000-0005-0000-0000-00001D040000}"/>
    <cellStyle name="Currency [2] 2 3 2" xfId="4120" xr:uid="{DA3AB5E0-E301-49B0-8E37-4F512C9069F1}"/>
    <cellStyle name="Currency [2] 2 4" xfId="2511" xr:uid="{00000000-0005-0000-0000-00001E040000}"/>
    <cellStyle name="Currency [2] 2 4 2" xfId="4100" xr:uid="{A5D94B13-575B-4220-9D8A-E286C8EC1E31}"/>
    <cellStyle name="Currency [2] 3" xfId="975" xr:uid="{00000000-0005-0000-0000-00001F040000}"/>
    <cellStyle name="Currency [2] 3 2" xfId="2002" xr:uid="{00000000-0005-0000-0000-000020040000}"/>
    <cellStyle name="Currency [2] 3 2 2" xfId="2888" xr:uid="{00000000-0005-0000-0000-000021040000}"/>
    <cellStyle name="Currency [2] 3 2 2 2" xfId="4461" xr:uid="{471F8E8A-18F5-49B0-802F-BBD356D29AEA}"/>
    <cellStyle name="Currency [2] 3 2 3" xfId="3313" xr:uid="{00000000-0005-0000-0000-000022040000}"/>
    <cellStyle name="Currency [2] 3 2 3 2" xfId="4884" xr:uid="{B658E6AF-4EFD-4ACA-8A9F-0E45263CDB53}"/>
    <cellStyle name="Currency [2] 3 2 4" xfId="3662" xr:uid="{146A7D06-1C0A-4F4A-8AF0-FE4C2B9A9C99}"/>
    <cellStyle name="Currency [2] 3 3" xfId="2536" xr:uid="{00000000-0005-0000-0000-000023040000}"/>
    <cellStyle name="Currency [2] 3 3 2" xfId="4121" xr:uid="{7F557A95-567D-4F81-BE50-D1C0AF3B3A43}"/>
    <cellStyle name="Currency [2] 3 4" xfId="2510" xr:uid="{00000000-0005-0000-0000-000024040000}"/>
    <cellStyle name="Currency [2] 3 4 2" xfId="4099" xr:uid="{B8E5CD1A-8649-4A56-BA43-20B98D20121E}"/>
    <cellStyle name="Currency [2] 4" xfId="976" xr:uid="{00000000-0005-0000-0000-000025040000}"/>
    <cellStyle name="Currency [2] 4 2" xfId="2003" xr:uid="{00000000-0005-0000-0000-000026040000}"/>
    <cellStyle name="Currency [2] 4 2 2" xfId="2889" xr:uid="{00000000-0005-0000-0000-000027040000}"/>
    <cellStyle name="Currency [2] 4 2 2 2" xfId="4462" xr:uid="{6DFDEA6A-A616-487E-A375-66B4F002670E}"/>
    <cellStyle name="Currency [2] 4 2 3" xfId="3314" xr:uid="{00000000-0005-0000-0000-000028040000}"/>
    <cellStyle name="Currency [2] 4 2 3 2" xfId="4885" xr:uid="{67FEFC5C-2A60-4EC5-B096-79F0E927BBD4}"/>
    <cellStyle name="Currency [2] 4 2 4" xfId="3663" xr:uid="{79A88338-219C-459A-9444-51885E75EA1A}"/>
    <cellStyle name="Currency [2] 4 3" xfId="2537" xr:uid="{00000000-0005-0000-0000-000029040000}"/>
    <cellStyle name="Currency [2] 4 3 2" xfId="4122" xr:uid="{F5157E1E-D33C-4F9D-A38B-CF10D98CD69A}"/>
    <cellStyle name="Currency [2] 4 4" xfId="2509" xr:uid="{00000000-0005-0000-0000-00002A040000}"/>
    <cellStyle name="Currency [2] 4 4 2" xfId="4098" xr:uid="{EE19913D-AB64-4B24-8525-B9BD95C7E9BA}"/>
    <cellStyle name="Currency [2] 5" xfId="2000" xr:uid="{00000000-0005-0000-0000-00002B040000}"/>
    <cellStyle name="Currency [2] 5 2" xfId="2886" xr:uid="{00000000-0005-0000-0000-00002C040000}"/>
    <cellStyle name="Currency [2] 5 2 2" xfId="4459" xr:uid="{21752A9E-A826-4EE2-8FE0-BB3940CB8499}"/>
    <cellStyle name="Currency [2] 5 3" xfId="3311" xr:uid="{00000000-0005-0000-0000-00002D040000}"/>
    <cellStyle name="Currency [2] 5 3 2" xfId="4882" xr:uid="{588625A4-D782-447A-801D-4F98C685EEAD}"/>
    <cellStyle name="Currency [2] 5 4" xfId="3660" xr:uid="{CC8EDD50-E544-4F75-8B9D-E84643BF700A}"/>
    <cellStyle name="Currency [2] 6" xfId="2534" xr:uid="{00000000-0005-0000-0000-00002E040000}"/>
    <cellStyle name="Currency [2] 6 2" xfId="4119" xr:uid="{B2EE36AA-0768-4EC0-BD87-F8F93E737E21}"/>
    <cellStyle name="Currency [2] 7" xfId="2512" xr:uid="{00000000-0005-0000-0000-00002F040000}"/>
    <cellStyle name="Currency [2] 7 2" xfId="4101" xr:uid="{32A8D5CA-C548-4D62-91D0-082D5853E4BE}"/>
    <cellStyle name="Currency 0" xfId="977" xr:uid="{00000000-0005-0000-0000-000030040000}"/>
    <cellStyle name="Currency 2" xfId="978" xr:uid="{00000000-0005-0000-0000-000031040000}"/>
    <cellStyle name="Currency 3" xfId="979" xr:uid="{00000000-0005-0000-0000-000032040000}"/>
    <cellStyle name="Currency 4" xfId="980" xr:uid="{00000000-0005-0000-0000-000033040000}"/>
    <cellStyle name="Currency 5" xfId="981" xr:uid="{00000000-0005-0000-0000-000034040000}"/>
    <cellStyle name="Currency 6" xfId="982" xr:uid="{00000000-0005-0000-0000-000035040000}"/>
    <cellStyle name="Currency 7" xfId="5203" xr:uid="{131D7561-F179-4A7C-8683-D05B71B16F9D}"/>
    <cellStyle name="Currency Dollar" xfId="983" xr:uid="{00000000-0005-0000-0000-000036040000}"/>
    <cellStyle name="Currency Dollar (2dp)" xfId="984" xr:uid="{00000000-0005-0000-0000-000037040000}"/>
    <cellStyle name="Currency EUR" xfId="985" xr:uid="{00000000-0005-0000-0000-000038040000}"/>
    <cellStyle name="Currency EUR (2dp)" xfId="986" xr:uid="{00000000-0005-0000-0000-000039040000}"/>
    <cellStyle name="Currency Euro" xfId="987" xr:uid="{00000000-0005-0000-0000-00003A040000}"/>
    <cellStyle name="Currency Euro (2dp)" xfId="988" xr:uid="{00000000-0005-0000-0000-00003B040000}"/>
    <cellStyle name="Currency GBP" xfId="989" xr:uid="{00000000-0005-0000-0000-00003C040000}"/>
    <cellStyle name="Currency GBP (2dp)" xfId="990" xr:uid="{00000000-0005-0000-0000-00003D040000}"/>
    <cellStyle name="Currency Pound" xfId="991" xr:uid="{00000000-0005-0000-0000-00003E040000}"/>
    <cellStyle name="Currency Pound (2dp)" xfId="992" xr:uid="{00000000-0005-0000-0000-00003F040000}"/>
    <cellStyle name="Currency USD" xfId="993" xr:uid="{00000000-0005-0000-0000-000040040000}"/>
    <cellStyle name="Currency USD (2dp)" xfId="994" xr:uid="{00000000-0005-0000-0000-000041040000}"/>
    <cellStyle name="Currency0" xfId="995" xr:uid="{00000000-0005-0000-0000-000042040000}"/>
    <cellStyle name="Currency1Blue" xfId="996" xr:uid="{00000000-0005-0000-0000-000043040000}"/>
    <cellStyle name="CUS.Work.Area" xfId="997" xr:uid="{00000000-0005-0000-0000-000044040000}"/>
    <cellStyle name="CW" xfId="998" xr:uid="{00000000-0005-0000-0000-000045040000}"/>
    <cellStyle name="CW 2" xfId="999" xr:uid="{00000000-0005-0000-0000-000046040000}"/>
    <cellStyle name="CW 2 2" xfId="1985" xr:uid="{00000000-0005-0000-0000-000047040000}"/>
    <cellStyle name="CW 2 2 2" xfId="2873" xr:uid="{00000000-0005-0000-0000-000048040000}"/>
    <cellStyle name="CW 2 2 2 2" xfId="4446" xr:uid="{ED4F5250-9D09-4062-9CD1-32AAC78B6994}"/>
    <cellStyle name="CW 2 2 3" xfId="3298" xr:uid="{00000000-0005-0000-0000-000049040000}"/>
    <cellStyle name="CW 2 2 3 2" xfId="4869" xr:uid="{0AF53F63-A9B7-42BF-88F7-FA35C345D8BC}"/>
    <cellStyle name="CW 2 3" xfId="2539" xr:uid="{00000000-0005-0000-0000-00004A040000}"/>
    <cellStyle name="CW 2 3 2" xfId="4124" xr:uid="{9B5FAE8F-54D5-4794-898F-C42BBC02E4BE}"/>
    <cellStyle name="CW 3" xfId="2266" xr:uid="{00000000-0005-0000-0000-00004B040000}"/>
    <cellStyle name="CW 3 2" xfId="3152" xr:uid="{00000000-0005-0000-0000-00004C040000}"/>
    <cellStyle name="CW 3 2 2" xfId="4725" xr:uid="{C035DD18-1403-4D71-8656-CDB5CD5BBE07}"/>
    <cellStyle name="CW 3 3" xfId="3577" xr:uid="{00000000-0005-0000-0000-00004D040000}"/>
    <cellStyle name="CW 3 3 2" xfId="5148" xr:uid="{02049348-CBC1-4332-B145-4D23A4FE7600}"/>
    <cellStyle name="CW 4" xfId="2538" xr:uid="{00000000-0005-0000-0000-00004E040000}"/>
    <cellStyle name="CW 4 2" xfId="4123" xr:uid="{DA0B6664-FDFC-438B-92CF-61D7ECBFF274}"/>
    <cellStyle name="d" xfId="1000" xr:uid="{00000000-0005-0000-0000-00004F040000}"/>
    <cellStyle name="d_Blank company forecasts" xfId="1001" xr:uid="{00000000-0005-0000-0000-000050040000}"/>
    <cellStyle name="data" xfId="1002" xr:uid="{00000000-0005-0000-0000-000051040000}"/>
    <cellStyle name="Data Input" xfId="1003" xr:uid="{00000000-0005-0000-0000-000052040000}"/>
    <cellStyle name="Data Input 2" xfId="1004" xr:uid="{00000000-0005-0000-0000-000053040000}"/>
    <cellStyle name="Data Input 2 2" xfId="2004" xr:uid="{00000000-0005-0000-0000-000054040000}"/>
    <cellStyle name="Data Input 2 2 2" xfId="2890" xr:uid="{00000000-0005-0000-0000-000055040000}"/>
    <cellStyle name="Data Input 2 2 2 2" xfId="4463" xr:uid="{9F08D9F8-5CD3-4A7C-889F-C1A2391B5BC3}"/>
    <cellStyle name="Data Input 2 2 3" xfId="3315" xr:uid="{00000000-0005-0000-0000-000056040000}"/>
    <cellStyle name="Data Input 2 2 3 2" xfId="4886" xr:uid="{AA0410DF-BCC7-4A62-A654-CB948CEE6FC7}"/>
    <cellStyle name="Data Input 2 3" xfId="2541" xr:uid="{00000000-0005-0000-0000-000057040000}"/>
    <cellStyle name="Data Input 2 3 2" xfId="4126" xr:uid="{29F1F588-230B-4300-82D5-E4BFD3C577AB}"/>
    <cellStyle name="Data Input 3" xfId="1987" xr:uid="{00000000-0005-0000-0000-000058040000}"/>
    <cellStyle name="Data Input 3 2" xfId="2875" xr:uid="{00000000-0005-0000-0000-000059040000}"/>
    <cellStyle name="Data Input 3 2 2" xfId="4448" xr:uid="{42C42E68-F122-4C93-8869-CE41416809B4}"/>
    <cellStyle name="Data Input 3 3" xfId="3300" xr:uid="{00000000-0005-0000-0000-00005A040000}"/>
    <cellStyle name="Data Input 3 3 2" xfId="4871" xr:uid="{268816C5-68D3-4471-9FD6-CFE994328241}"/>
    <cellStyle name="Data Input 4" xfId="2540" xr:uid="{00000000-0005-0000-0000-00005B040000}"/>
    <cellStyle name="Data Input 4 2" xfId="4125" xr:uid="{2260FD76-C3BA-4DF4-8E71-ABDD0AE3D4EC}"/>
    <cellStyle name="Data Section Heading" xfId="1005" xr:uid="{00000000-0005-0000-0000-00005C040000}"/>
    <cellStyle name="DATA_Amount" xfId="1006" xr:uid="{00000000-0005-0000-0000-00005D040000}"/>
    <cellStyle name="Date" xfId="1007" xr:uid="{00000000-0005-0000-0000-00005E040000}"/>
    <cellStyle name="Date (Month)" xfId="1008" xr:uid="{00000000-0005-0000-0000-00005F040000}"/>
    <cellStyle name="Date (Year)" xfId="1009" xr:uid="{00000000-0005-0000-0000-000060040000}"/>
    <cellStyle name="Date Aligned" xfId="1010" xr:uid="{00000000-0005-0000-0000-000061040000}"/>
    <cellStyle name="Date Short" xfId="1011" xr:uid="{00000000-0005-0000-0000-000062040000}"/>
    <cellStyle name="Date, Long" xfId="1012" xr:uid="{00000000-0005-0000-0000-000063040000}"/>
    <cellStyle name="Date, Short" xfId="1013" xr:uid="{00000000-0005-0000-0000-000064040000}"/>
    <cellStyle name="Date_105960_1" xfId="1014" xr:uid="{00000000-0005-0000-0000-000065040000}"/>
    <cellStyle name="Date2" xfId="1015" xr:uid="{00000000-0005-0000-0000-000066040000}"/>
    <cellStyle name="DateUS" xfId="1016" xr:uid="{00000000-0005-0000-0000-000067040000}"/>
    <cellStyle name="Datum" xfId="1017" xr:uid="{00000000-0005-0000-0000-000068040000}"/>
    <cellStyle name="Datum 2" xfId="1945" xr:uid="{00000000-0005-0000-0000-000069040000}"/>
    <cellStyle name="Datum 2 2" xfId="2267" xr:uid="{00000000-0005-0000-0000-00006A040000}"/>
    <cellStyle name="Datum mit Wochentag" xfId="1018" xr:uid="{00000000-0005-0000-0000-00006B040000}"/>
    <cellStyle name="DblLineDollarAcct" xfId="1019" xr:uid="{00000000-0005-0000-0000-00006C040000}"/>
    <cellStyle name="DblLinePercent" xfId="1020" xr:uid="{00000000-0005-0000-0000-00006D040000}"/>
    <cellStyle name="dd/mm/yy" xfId="1021" xr:uid="{00000000-0005-0000-0000-00006E040000}"/>
    <cellStyle name="Dec 0,0" xfId="1022" xr:uid="{00000000-0005-0000-0000-00006F040000}"/>
    <cellStyle name="Dec 0,00" xfId="1023" xr:uid="{00000000-0005-0000-0000-000070040000}"/>
    <cellStyle name="decimal" xfId="1024" xr:uid="{00000000-0005-0000-0000-000071040000}"/>
    <cellStyle name="Decimal 0,0" xfId="1025" xr:uid="{00000000-0005-0000-0000-000072040000}"/>
    <cellStyle name="Decimal 0,00" xfId="1026" xr:uid="{00000000-0005-0000-0000-000073040000}"/>
    <cellStyle name="Decimal 0,0000" xfId="1027" xr:uid="{00000000-0005-0000-0000-000074040000}"/>
    <cellStyle name="Decimal1" xfId="1028" xr:uid="{00000000-0005-0000-0000-000075040000}"/>
    <cellStyle name="Decimal2" xfId="1029" xr:uid="{00000000-0005-0000-0000-000076040000}"/>
    <cellStyle name="Dezimal (0.0)" xfId="1030" xr:uid="{00000000-0005-0000-0000-000077040000}"/>
    <cellStyle name="Dezimal [+line]" xfId="1031" xr:uid="{00000000-0005-0000-0000-000078040000}"/>
    <cellStyle name="Dezimal [+line] 2" xfId="1946" xr:uid="{00000000-0005-0000-0000-000079040000}"/>
    <cellStyle name="Dezimal [0]_01_delta03_V47_KORR_21.8." xfId="1947" xr:uid="{00000000-0005-0000-0000-00007A040000}"/>
    <cellStyle name="Dezimal 0,00" xfId="1032" xr:uid="{00000000-0005-0000-0000-00007B040000}"/>
    <cellStyle name="Dezimal_!!!GO" xfId="1948" xr:uid="{00000000-0005-0000-0000-00007C040000}"/>
    <cellStyle name="diskette" xfId="1033" xr:uid="{00000000-0005-0000-0000-00007D040000}"/>
    <cellStyle name="DollarAccounting" xfId="1034" xr:uid="{00000000-0005-0000-0000-00007E040000}"/>
    <cellStyle name="Dotted Line" xfId="1035" xr:uid="{00000000-0005-0000-0000-00007F040000}"/>
    <cellStyle name="Double Accounting" xfId="1036" xr:uid="{00000000-0005-0000-0000-000080040000}"/>
    <cellStyle name="DOWNFOOT" xfId="1037" xr:uid="{00000000-0005-0000-0000-000081040000}"/>
    <cellStyle name="DOWNFOOT 2" xfId="1038" xr:uid="{00000000-0005-0000-0000-000082040000}"/>
    <cellStyle name="DOWNFOOT 2 2" xfId="1986" xr:uid="{00000000-0005-0000-0000-000083040000}"/>
    <cellStyle name="DOWNFOOT 2 2 2" xfId="2874" xr:uid="{00000000-0005-0000-0000-000084040000}"/>
    <cellStyle name="DOWNFOOT 2 2 2 2" xfId="4447" xr:uid="{0EBC3BE0-67BE-4F45-AC9E-C98289FCE741}"/>
    <cellStyle name="DOWNFOOT 2 2 3" xfId="3299" xr:uid="{00000000-0005-0000-0000-000085040000}"/>
    <cellStyle name="DOWNFOOT 2 2 3 2" xfId="4870" xr:uid="{A7AA68DB-CC22-4886-900A-BC59E16B915C}"/>
    <cellStyle name="DOWNFOOT 2 3" xfId="2543" xr:uid="{00000000-0005-0000-0000-000086040000}"/>
    <cellStyle name="DOWNFOOT 2 3 2" xfId="4128" xr:uid="{90AD1A03-77E4-4E5C-8235-10BCE674D70F}"/>
    <cellStyle name="DOWNFOOT 3" xfId="2005" xr:uid="{00000000-0005-0000-0000-000087040000}"/>
    <cellStyle name="DOWNFOOT 3 2" xfId="2891" xr:uid="{00000000-0005-0000-0000-000088040000}"/>
    <cellStyle name="DOWNFOOT 3 2 2" xfId="4464" xr:uid="{1FB942A6-07F7-404E-811A-BB5F0478978F}"/>
    <cellStyle name="DOWNFOOT 3 3" xfId="3316" xr:uid="{00000000-0005-0000-0000-000089040000}"/>
    <cellStyle name="DOWNFOOT 3 3 2" xfId="4887" xr:uid="{24A4C772-8C77-4C80-BD04-0566F012F9B4}"/>
    <cellStyle name="DOWNFOOT 4" xfId="2542" xr:uid="{00000000-0005-0000-0000-00008A040000}"/>
    <cellStyle name="DOWNFOOT 4 2" xfId="4127" xr:uid="{A92767B2-F8B3-47B8-A496-317B085849E2}"/>
    <cellStyle name="dp*Accent" xfId="1039" xr:uid="{00000000-0005-0000-0000-00008B040000}"/>
    <cellStyle name="dp*ChartSubTitle" xfId="1040" xr:uid="{00000000-0005-0000-0000-00008C040000}"/>
    <cellStyle name="dp*ChartTitle" xfId="1041" xr:uid="{00000000-0005-0000-0000-00008D040000}"/>
    <cellStyle name="dp*ColumnHeading1" xfId="1042" xr:uid="{00000000-0005-0000-0000-00008E040000}"/>
    <cellStyle name="dp*ColumnHeading2" xfId="1043" xr:uid="{00000000-0005-0000-0000-00008F040000}"/>
    <cellStyle name="dp*ColumnHeadingDate" xfId="1044" xr:uid="{00000000-0005-0000-0000-000090040000}"/>
    <cellStyle name="dp*FiscalDate" xfId="1045" xr:uid="{00000000-0005-0000-0000-000091040000}"/>
    <cellStyle name="dp*Footnote" xfId="1046" xr:uid="{00000000-0005-0000-0000-000092040000}"/>
    <cellStyle name="dp*Information" xfId="1047" xr:uid="{00000000-0005-0000-0000-000093040000}"/>
    <cellStyle name="dp*LabelItalics" xfId="1048" xr:uid="{00000000-0005-0000-0000-000094040000}"/>
    <cellStyle name="dp*LabelItalicsLineAbove" xfId="1049" xr:uid="{00000000-0005-0000-0000-000095040000}"/>
    <cellStyle name="dp*LabelItalicsLineAbove 2" xfId="1949" xr:uid="{00000000-0005-0000-0000-000096040000}"/>
    <cellStyle name="dp*LabelLine" xfId="1050" xr:uid="{00000000-0005-0000-0000-000097040000}"/>
    <cellStyle name="dp*LabelLine 2" xfId="1950" xr:uid="{00000000-0005-0000-0000-000098040000}"/>
    <cellStyle name="dp*Labels" xfId="1051" xr:uid="{00000000-0005-0000-0000-000099040000}"/>
    <cellStyle name="dp*Normal" xfId="1052" xr:uid="{00000000-0005-0000-0000-00009A040000}"/>
    <cellStyle name="dp*NormalCurrency1Dec." xfId="1053" xr:uid="{00000000-0005-0000-0000-00009B040000}"/>
    <cellStyle name="dp*Number%Italics" xfId="1054" xr:uid="{00000000-0005-0000-0000-00009C040000}"/>
    <cellStyle name="dp*Number%ItalicsLineAbove" xfId="1055" xr:uid="{00000000-0005-0000-0000-00009D040000}"/>
    <cellStyle name="dp*Number%ItalicsLineAbove 2" xfId="1056" xr:uid="{00000000-0005-0000-0000-00009E040000}"/>
    <cellStyle name="dp*Number%ItalicsLineAbove 3" xfId="1057" xr:uid="{00000000-0005-0000-0000-00009F040000}"/>
    <cellStyle name="dp*Number%ItalicsLineAbove 4" xfId="1058" xr:uid="{00000000-0005-0000-0000-0000A0040000}"/>
    <cellStyle name="dp*NumberCurrencyLine" xfId="1059" xr:uid="{00000000-0005-0000-0000-0000A1040000}"/>
    <cellStyle name="dp*NumberCurrencyLine 2" xfId="1951" xr:uid="{00000000-0005-0000-0000-0000A2040000}"/>
    <cellStyle name="dp*NumberGeneral" xfId="1060" xr:uid="{00000000-0005-0000-0000-0000A3040000}"/>
    <cellStyle name="dp*NumberGeneral2Dec." xfId="1061" xr:uid="{00000000-0005-0000-0000-0000A4040000}"/>
    <cellStyle name="dp*NumberLine" xfId="1062" xr:uid="{00000000-0005-0000-0000-0000A5040000}"/>
    <cellStyle name="dp*NumberLine 2" xfId="1063" xr:uid="{00000000-0005-0000-0000-0000A6040000}"/>
    <cellStyle name="dp*NumberLineEPS" xfId="1064" xr:uid="{00000000-0005-0000-0000-0000A7040000}"/>
    <cellStyle name="dp*NumberLineEPS 2" xfId="1065" xr:uid="{00000000-0005-0000-0000-0000A8040000}"/>
    <cellStyle name="dp*NumberSpecial" xfId="1066" xr:uid="{00000000-0005-0000-0000-0000A9040000}"/>
    <cellStyle name="dp*RatioX" xfId="1067" xr:uid="{00000000-0005-0000-0000-0000AA040000}"/>
    <cellStyle name="dp*SeriesName" xfId="1068" xr:uid="{00000000-0005-0000-0000-0000AB040000}"/>
    <cellStyle name="dp*SheetSubTitle" xfId="1069" xr:uid="{00000000-0005-0000-0000-0000AC040000}"/>
    <cellStyle name="dp*SheetSubTitle 2" xfId="1070" xr:uid="{00000000-0005-0000-0000-0000AD040000}"/>
    <cellStyle name="dp*SheetTitle" xfId="1071" xr:uid="{00000000-0005-0000-0000-0000AE040000}"/>
    <cellStyle name="dp*SubTitle" xfId="1072" xr:uid="{00000000-0005-0000-0000-0000AF040000}"/>
    <cellStyle name="dp*ThickLineAbove" xfId="1073" xr:uid="{00000000-0005-0000-0000-0000B0040000}"/>
    <cellStyle name="dp*ThickLineBelow" xfId="1074" xr:uid="{00000000-0005-0000-0000-0000B1040000}"/>
    <cellStyle name="dp*ThickLineBelow 2" xfId="2544" xr:uid="{00000000-0005-0000-0000-0000B2040000}"/>
    <cellStyle name="dp*ThinLineAbove" xfId="1075" xr:uid="{00000000-0005-0000-0000-0000B3040000}"/>
    <cellStyle name="dp*ThinLineAbove 2" xfId="1076" xr:uid="{00000000-0005-0000-0000-0000B4040000}"/>
    <cellStyle name="dp*ThinLineAbove 3" xfId="1077" xr:uid="{00000000-0005-0000-0000-0000B5040000}"/>
    <cellStyle name="dp*ThinLineAbove 4" xfId="1078" xr:uid="{00000000-0005-0000-0000-0000B6040000}"/>
    <cellStyle name="dp*ThinLineBelow" xfId="1079" xr:uid="{00000000-0005-0000-0000-0000B7040000}"/>
    <cellStyle name="dp*XAxisTitle" xfId="1080" xr:uid="{00000000-0005-0000-0000-0000B8040000}"/>
    <cellStyle name="Eingabe" xfId="1928" xr:uid="{00000000-0005-0000-0000-0000B9040000}"/>
    <cellStyle name="Eingabe 2" xfId="1952" xr:uid="{00000000-0005-0000-0000-0000BA040000}"/>
    <cellStyle name="Entered" xfId="1081" xr:uid="{00000000-0005-0000-0000-0000BB040000}"/>
    <cellStyle name="Euro" xfId="1082" xr:uid="{00000000-0005-0000-0000-0000BC040000}"/>
    <cellStyle name="Excel_BuiltIn_Bad" xfId="1989" xr:uid="{00000000-0005-0000-0000-0000BD040000}"/>
    <cellStyle name="ExchangeRatio" xfId="1083" xr:uid="{00000000-0005-0000-0000-0000BE040000}"/>
    <cellStyle name="ExchangeRatio 2" xfId="1084" xr:uid="{00000000-0005-0000-0000-0000BF040000}"/>
    <cellStyle name="ExchangeRatio 2 2" xfId="2007" xr:uid="{00000000-0005-0000-0000-0000C0040000}"/>
    <cellStyle name="ExchangeRatio 2 2 2" xfId="2893" xr:uid="{00000000-0005-0000-0000-0000C1040000}"/>
    <cellStyle name="ExchangeRatio 2 2 2 2" xfId="4466" xr:uid="{299BE960-EA6B-4703-8ECC-0AA0E9CF799C}"/>
    <cellStyle name="ExchangeRatio 2 2 3" xfId="3318" xr:uid="{00000000-0005-0000-0000-0000C2040000}"/>
    <cellStyle name="ExchangeRatio 2 2 3 2" xfId="4889" xr:uid="{8A135EA8-7728-4EA8-AD34-B4E7BC5A5E4D}"/>
    <cellStyle name="ExchangeRatio 2 3" xfId="2546" xr:uid="{00000000-0005-0000-0000-0000C3040000}"/>
    <cellStyle name="ExchangeRatio 2 3 2" xfId="4130" xr:uid="{A30A3D35-AADB-4894-A8D3-7D0777E97B40}"/>
    <cellStyle name="ExchangeRatio 3" xfId="2006" xr:uid="{00000000-0005-0000-0000-0000C4040000}"/>
    <cellStyle name="ExchangeRatio 3 2" xfId="2892" xr:uid="{00000000-0005-0000-0000-0000C5040000}"/>
    <cellStyle name="ExchangeRatio 3 2 2" xfId="4465" xr:uid="{AAF65890-DD41-49CF-BB12-2713A9166F98}"/>
    <cellStyle name="ExchangeRatio 3 3" xfId="3317" xr:uid="{00000000-0005-0000-0000-0000C6040000}"/>
    <cellStyle name="ExchangeRatio 3 3 2" xfId="4888" xr:uid="{CA9566BF-95AC-49D3-B44A-1A4F754B9884}"/>
    <cellStyle name="ExchangeRatio 4" xfId="2545" xr:uid="{00000000-0005-0000-0000-0000C7040000}"/>
    <cellStyle name="ExchangeRatio 4 2" xfId="4129" xr:uid="{A39EB2A0-9C6B-4B6A-ACD4-998F77E115CE}"/>
    <cellStyle name="Explanatory Text" xfId="12" builtinId="53" customBuiltin="1"/>
    <cellStyle name="Ext link" xfId="1085" xr:uid="{00000000-0005-0000-0000-0000C9040000}"/>
    <cellStyle name="External link" xfId="1086" xr:uid="{00000000-0005-0000-0000-0000CA040000}"/>
    <cellStyle name="EY House" xfId="1087" xr:uid="{00000000-0005-0000-0000-0000CB040000}"/>
    <cellStyle name="Finanz" xfId="1088" xr:uid="{00000000-0005-0000-0000-0000CC040000}"/>
    <cellStyle name="Fixed" xfId="1089" xr:uid="{00000000-0005-0000-0000-0000CD040000}"/>
    <cellStyle name="fo]_x000d__x000a_UserName=Murat Zelef_x000d__x000a_UserCompany=Bumerang_x000d__x000a__x000d__x000a_[File Paths]_x000d__x000a_WorkingDirectory=C:\EQUIS\DLWIN_x000d__x000a_DownLoader=C" xfId="1090" xr:uid="{00000000-0005-0000-0000-0000CE040000}"/>
    <cellStyle name="Followed Hyperl?nk_1080099L.xls Chart 4" xfId="1091" xr:uid="{00000000-0005-0000-0000-0000CF040000}"/>
    <cellStyle name="Footnote" xfId="1092" xr:uid="{00000000-0005-0000-0000-0000D0040000}"/>
    <cellStyle name="footnote1" xfId="1093" xr:uid="{00000000-0005-0000-0000-0000D1040000}"/>
    <cellStyle name="Formula" xfId="1094" xr:uid="{00000000-0005-0000-0000-0000D2040000}"/>
    <cellStyle name="gelberHintergrund" xfId="1095" xr:uid="{00000000-0005-0000-0000-0000D3040000}"/>
    <cellStyle name="gelberHintergrund 2" xfId="1096" xr:uid="{00000000-0005-0000-0000-0000D4040000}"/>
    <cellStyle name="gelberHintergrund 2 2" xfId="2009" xr:uid="{00000000-0005-0000-0000-0000D5040000}"/>
    <cellStyle name="gelberHintergrund 2 2 2" xfId="2895" xr:uid="{00000000-0005-0000-0000-0000D6040000}"/>
    <cellStyle name="gelberHintergrund 2 2 2 2" xfId="4468" xr:uid="{23526BDC-C567-4EFD-8993-C277F6F98CED}"/>
    <cellStyle name="gelberHintergrund 2 2 3" xfId="3320" xr:uid="{00000000-0005-0000-0000-0000D7040000}"/>
    <cellStyle name="gelberHintergrund 2 2 3 2" xfId="4891" xr:uid="{A904CAF5-3ED9-45D1-9E25-25CAEF09896E}"/>
    <cellStyle name="gelberHintergrund 2 3" xfId="2548" xr:uid="{00000000-0005-0000-0000-0000D8040000}"/>
    <cellStyle name="gelberHintergrund 2 3 2" xfId="4132" xr:uid="{A64833AD-EE67-4B80-820D-6B8BBC379AB8}"/>
    <cellStyle name="gelberHintergrund 3" xfId="2008" xr:uid="{00000000-0005-0000-0000-0000D9040000}"/>
    <cellStyle name="gelberHintergrund 3 2" xfId="2894" xr:uid="{00000000-0005-0000-0000-0000DA040000}"/>
    <cellStyle name="gelberHintergrund 3 2 2" xfId="4467" xr:uid="{DB4A35F4-C646-4A9D-9ECF-CD5DFA84F33E}"/>
    <cellStyle name="gelberHintergrund 3 3" xfId="3319" xr:uid="{00000000-0005-0000-0000-0000DB040000}"/>
    <cellStyle name="gelberHintergrund 3 3 2" xfId="4890" xr:uid="{1B39665A-8EC3-44E2-9CAD-AE383B3C18C8}"/>
    <cellStyle name="gelberHintergrund 4" xfId="2547" xr:uid="{00000000-0005-0000-0000-0000DC040000}"/>
    <cellStyle name="gelberHintergrund 4 2" xfId="4131" xr:uid="{0EFFD2B5-0AC9-4DE1-9EA8-B5DB0CC7B557}"/>
    <cellStyle name="Good" xfId="3" builtinId="26" customBuiltin="1"/>
    <cellStyle name="GPAFont" xfId="1097" xr:uid="{00000000-0005-0000-0000-0000DE040000}"/>
    <cellStyle name="Grey" xfId="1098" xr:uid="{00000000-0005-0000-0000-0000DF040000}"/>
    <cellStyle name="GWN Table Body" xfId="1099" xr:uid="{00000000-0005-0000-0000-0000E0040000}"/>
    <cellStyle name="GWN Table Header" xfId="1100" xr:uid="{00000000-0005-0000-0000-0000E1040000}"/>
    <cellStyle name="GWN Table Left Header" xfId="1101" xr:uid="{00000000-0005-0000-0000-0000E2040000}"/>
    <cellStyle name="GWN Table Note" xfId="1102" xr:uid="{00000000-0005-0000-0000-0000E3040000}"/>
    <cellStyle name="GWN Table Title" xfId="1103" xr:uid="{00000000-0005-0000-0000-0000E4040000}"/>
    <cellStyle name="H0" xfId="1104" xr:uid="{00000000-0005-0000-0000-0000E5040000}"/>
    <cellStyle name="h0 -Heading" xfId="1105" xr:uid="{00000000-0005-0000-0000-0000E6040000}"/>
    <cellStyle name="H1" xfId="1106" xr:uid="{00000000-0005-0000-0000-0000E7040000}"/>
    <cellStyle name="h1 -Heading" xfId="1107" xr:uid="{00000000-0005-0000-0000-0000E8040000}"/>
    <cellStyle name="H1_FAP Forecasting v1.03" xfId="1108" xr:uid="{00000000-0005-0000-0000-0000E9040000}"/>
    <cellStyle name="H2" xfId="1109" xr:uid="{00000000-0005-0000-0000-0000EA040000}"/>
    <cellStyle name="h2 -Heading" xfId="1110" xr:uid="{00000000-0005-0000-0000-0000EB040000}"/>
    <cellStyle name="H2_FAP Forecasting v1.03" xfId="1111" xr:uid="{00000000-0005-0000-0000-0000EC040000}"/>
    <cellStyle name="H3" xfId="1112" xr:uid="{00000000-0005-0000-0000-0000ED040000}"/>
    <cellStyle name="h3 -Heading" xfId="1113" xr:uid="{00000000-0005-0000-0000-0000EE040000}"/>
    <cellStyle name="H3_FAP Forecasting v1.03" xfId="1114" xr:uid="{00000000-0005-0000-0000-0000EF040000}"/>
    <cellStyle name="H4" xfId="1115" xr:uid="{00000000-0005-0000-0000-0000F0040000}"/>
    <cellStyle name="Hard input" xfId="1116" xr:uid="{00000000-0005-0000-0000-0000F1040000}"/>
    <cellStyle name="hard no" xfId="1117" xr:uid="{00000000-0005-0000-0000-0000F2040000}"/>
    <cellStyle name="hard no 2" xfId="1118" xr:uid="{00000000-0005-0000-0000-0000F3040000}"/>
    <cellStyle name="hard no 2 2" xfId="2011" xr:uid="{00000000-0005-0000-0000-0000F4040000}"/>
    <cellStyle name="hard no 2 2 2" xfId="2897" xr:uid="{00000000-0005-0000-0000-0000F5040000}"/>
    <cellStyle name="hard no 2 2 2 2" xfId="4470" xr:uid="{040EF38F-1BA8-4E2C-8C4C-91B4CD517823}"/>
    <cellStyle name="hard no 2 2 3" xfId="3322" xr:uid="{00000000-0005-0000-0000-0000F6040000}"/>
    <cellStyle name="hard no 2 2 3 2" xfId="4893" xr:uid="{384F33A2-54DC-45E3-A9B3-E3627C73F3B2}"/>
    <cellStyle name="hard no 2 3" xfId="2550" xr:uid="{00000000-0005-0000-0000-0000F7040000}"/>
    <cellStyle name="hard no 2 3 2" xfId="4134" xr:uid="{62E6F099-5E96-46C3-831B-46E94E6F140F}"/>
    <cellStyle name="hard no 3" xfId="2010" xr:uid="{00000000-0005-0000-0000-0000F8040000}"/>
    <cellStyle name="hard no 3 2" xfId="2896" xr:uid="{00000000-0005-0000-0000-0000F9040000}"/>
    <cellStyle name="hard no 3 2 2" xfId="4469" xr:uid="{4E975E07-B184-4B5F-A50F-8F68E77643C3}"/>
    <cellStyle name="hard no 3 3" xfId="3321" xr:uid="{00000000-0005-0000-0000-0000FA040000}"/>
    <cellStyle name="hard no 3 3 2" xfId="4892" xr:uid="{949B1A84-4AF5-4B2E-80E8-1FE7798046C6}"/>
    <cellStyle name="hard no 4" xfId="2549" xr:uid="{00000000-0005-0000-0000-0000FB040000}"/>
    <cellStyle name="hard no 4 2" xfId="4133" xr:uid="{A694830F-539D-4E7F-9D38-DCB347D97852}"/>
    <cellStyle name="Hard Percent" xfId="1119" xr:uid="{00000000-0005-0000-0000-0000FC040000}"/>
    <cellStyle name="hardno" xfId="1120" xr:uid="{00000000-0005-0000-0000-0000FD040000}"/>
    <cellStyle name="hatched" xfId="1121" xr:uid="{00000000-0005-0000-0000-0000FE040000}"/>
    <cellStyle name="hatched 2" xfId="1122" xr:uid="{00000000-0005-0000-0000-0000FF040000}"/>
    <cellStyle name="hatched 2 2" xfId="2013" xr:uid="{00000000-0005-0000-0000-000000050000}"/>
    <cellStyle name="hatched 2 2 2" xfId="2899" xr:uid="{00000000-0005-0000-0000-000001050000}"/>
    <cellStyle name="hatched 2 2 2 2" xfId="4472" xr:uid="{A3747133-5072-46B4-96A7-76FA4C476567}"/>
    <cellStyle name="hatched 2 2 3" xfId="3324" xr:uid="{00000000-0005-0000-0000-000002050000}"/>
    <cellStyle name="hatched 2 2 3 2" xfId="4895" xr:uid="{B6384274-2863-4925-8584-5DB64A3F33FF}"/>
    <cellStyle name="hatched 2 3" xfId="2552" xr:uid="{00000000-0005-0000-0000-000003050000}"/>
    <cellStyle name="hatched 2 3 2" xfId="4136" xr:uid="{C91FDD3B-A5B4-4DB9-B4FE-F34A6902F65F}"/>
    <cellStyle name="hatched 3" xfId="2012" xr:uid="{00000000-0005-0000-0000-000004050000}"/>
    <cellStyle name="hatched 3 2" xfId="2898" xr:uid="{00000000-0005-0000-0000-000005050000}"/>
    <cellStyle name="hatched 3 2 2" xfId="4471" xr:uid="{8C77D100-01AA-4908-A827-F35D68FD820B}"/>
    <cellStyle name="hatched 3 3" xfId="3323" xr:uid="{00000000-0005-0000-0000-000006050000}"/>
    <cellStyle name="hatched 3 3 2" xfId="4894" xr:uid="{F5969519-A40C-4085-9573-07BC94D581B6}"/>
    <cellStyle name="hatched 4" xfId="2551" xr:uid="{00000000-0005-0000-0000-000007050000}"/>
    <cellStyle name="hatched 4 2" xfId="4135" xr:uid="{329242C5-4BAF-4B9D-BB75-629B0ED0B5AE}"/>
    <cellStyle name="Header" xfId="1123" xr:uid="{00000000-0005-0000-0000-000008050000}"/>
    <cellStyle name="Header1" xfId="1124" xr:uid="{00000000-0005-0000-0000-000009050000}"/>
    <cellStyle name="Header1 2" xfId="1953" xr:uid="{00000000-0005-0000-0000-00000A050000}"/>
    <cellStyle name="Header2" xfId="1125" xr:uid="{00000000-0005-0000-0000-00000B050000}"/>
    <cellStyle name="Header2 2" xfId="1126" xr:uid="{00000000-0005-0000-0000-00000C050000}"/>
    <cellStyle name="Header2 3" xfId="1127" xr:uid="{00000000-0005-0000-0000-00000D050000}"/>
    <cellStyle name="Header2 4" xfId="1128" xr:uid="{00000000-0005-0000-0000-00000E050000}"/>
    <cellStyle name="headers" xfId="1129" xr:uid="{00000000-0005-0000-0000-00000F050000}"/>
    <cellStyle name="Heading" xfId="1130" xr:uid="{00000000-0005-0000-0000-000010050000}"/>
    <cellStyle name="Heading 1 2" xfId="1840" xr:uid="{00000000-0005-0000-0000-000011050000}"/>
    <cellStyle name="Heading 2 2" xfId="1841" xr:uid="{00000000-0005-0000-0000-000012050000}"/>
    <cellStyle name="Heading 3 2" xfId="1842" xr:uid="{00000000-0005-0000-0000-000013050000}"/>
    <cellStyle name="Heading 4" xfId="2" builtinId="19" customBuiltin="1"/>
    <cellStyle name="Heading I" xfId="1131" xr:uid="{00000000-0005-0000-0000-000015050000}"/>
    <cellStyle name="Heading1" xfId="1132" xr:uid="{00000000-0005-0000-0000-000016050000}"/>
    <cellStyle name="Heading2" xfId="1133" xr:uid="{00000000-0005-0000-0000-000017050000}"/>
    <cellStyle name="Heading2 2" xfId="1134" xr:uid="{00000000-0005-0000-0000-000018050000}"/>
    <cellStyle name="HeadingS" xfId="1135" xr:uid="{00000000-0005-0000-0000-000019050000}"/>
    <cellStyle name="HeadingS 2" xfId="1954" xr:uid="{00000000-0005-0000-0000-00001A050000}"/>
    <cellStyle name="HeadingS 2 2" xfId="2268" xr:uid="{00000000-0005-0000-0000-00001B050000}"/>
    <cellStyle name="HeadingS 2 2 2" xfId="3578" xr:uid="{00000000-0005-0000-0000-00001C050000}"/>
    <cellStyle name="HeadingS 2 3" xfId="2866" xr:uid="{00000000-0005-0000-0000-00001D050000}"/>
    <cellStyle name="HeadingS 3" xfId="2553" xr:uid="{00000000-0005-0000-0000-00001E050000}"/>
    <cellStyle name="Headline1" xfId="1136" xr:uid="{00000000-0005-0000-0000-00001F050000}"/>
    <cellStyle name="Headline2" xfId="1137" xr:uid="{00000000-0005-0000-0000-000020050000}"/>
    <cellStyle name="Headline3" xfId="1138" xr:uid="{00000000-0005-0000-0000-000021050000}"/>
    <cellStyle name="hellgrau" xfId="1139" xr:uid="{00000000-0005-0000-0000-000022050000}"/>
    <cellStyle name="hellgrauÜberschrift" xfId="1140" xr:uid="{00000000-0005-0000-0000-000023050000}"/>
    <cellStyle name="hellgrauÜberschrift 2" xfId="1141" xr:uid="{00000000-0005-0000-0000-000024050000}"/>
    <cellStyle name="Helv 10 Bold" xfId="1142" xr:uid="{00000000-0005-0000-0000-000025050000}"/>
    <cellStyle name="Helv 12 Bold" xfId="1143" xr:uid="{00000000-0005-0000-0000-000026050000}"/>
    <cellStyle name="Hidden Decimal 0,00" xfId="1144" xr:uid="{00000000-0005-0000-0000-000027050000}"/>
    <cellStyle name="HIGHLIGHT" xfId="1145" xr:uid="{00000000-0005-0000-0000-000028050000}"/>
    <cellStyle name="Historicals" xfId="1146" xr:uid="{00000000-0005-0000-0000-000029050000}"/>
    <cellStyle name="hours" xfId="1147" xr:uid="{00000000-0005-0000-0000-00002A050000}"/>
    <cellStyle name="hp0 -Hyperlink" xfId="1148" xr:uid="{00000000-0005-0000-0000-00002B050000}"/>
    <cellStyle name="hp1 -Hyperlink" xfId="1149" xr:uid="{00000000-0005-0000-0000-00002C050000}"/>
    <cellStyle name="hp2 -Hyperlink" xfId="1150" xr:uid="{00000000-0005-0000-0000-00002D050000}"/>
    <cellStyle name="hp3 -Hyperlink" xfId="1151" xr:uid="{00000000-0005-0000-0000-00002E050000}"/>
    <cellStyle name="Hyperlink" xfId="3633" builtinId="8"/>
    <cellStyle name="Hyperlink 2" xfId="1152" xr:uid="{00000000-0005-0000-0000-00002F050000}"/>
    <cellStyle name="ic0 -InpComma" xfId="1153" xr:uid="{00000000-0005-0000-0000-000030050000}"/>
    <cellStyle name="ic1 -InpComma" xfId="1154" xr:uid="{00000000-0005-0000-0000-000031050000}"/>
    <cellStyle name="ic2 -InpComma" xfId="1155" xr:uid="{00000000-0005-0000-0000-000032050000}"/>
    <cellStyle name="ic3 -InpComma" xfId="1156" xr:uid="{00000000-0005-0000-0000-000033050000}"/>
    <cellStyle name="ic4 -InpComma" xfId="1157" xr:uid="{00000000-0005-0000-0000-000034050000}"/>
    <cellStyle name="iComma0" xfId="1158" xr:uid="{00000000-0005-0000-0000-000035050000}"/>
    <cellStyle name="iComma0 2" xfId="1159" xr:uid="{00000000-0005-0000-0000-000036050000}"/>
    <cellStyle name="iComma0 2 2" xfId="2015" xr:uid="{00000000-0005-0000-0000-000037050000}"/>
    <cellStyle name="iComma0 2 2 2" xfId="2901" xr:uid="{00000000-0005-0000-0000-000038050000}"/>
    <cellStyle name="iComma0 2 2 2 2" xfId="4474" xr:uid="{535FA5BC-F346-4777-B379-A5204A9BA17B}"/>
    <cellStyle name="iComma0 2 2 3" xfId="3326" xr:uid="{00000000-0005-0000-0000-000039050000}"/>
    <cellStyle name="iComma0 2 2 3 2" xfId="4897" xr:uid="{F9F88ED7-231F-40F7-B1B8-4B598B006AA5}"/>
    <cellStyle name="iComma0 2 2 4" xfId="3665" xr:uid="{6C360154-4187-4F8B-AB4A-317B7AC5161F}"/>
    <cellStyle name="iComma0 2 3" xfId="2555" xr:uid="{00000000-0005-0000-0000-00003A050000}"/>
    <cellStyle name="iComma0 2 3 2" xfId="4138" xr:uid="{DEDE369E-CC33-4AED-BCF2-F45B998A59A2}"/>
    <cellStyle name="iComma0 2 4" xfId="2507" xr:uid="{00000000-0005-0000-0000-00003B050000}"/>
    <cellStyle name="iComma0 2 4 2" xfId="4096" xr:uid="{63044BA2-2CDA-4101-8EE9-9B88CFFEB003}"/>
    <cellStyle name="iComma0 3" xfId="1160" xr:uid="{00000000-0005-0000-0000-00003C050000}"/>
    <cellStyle name="iComma0 3 2" xfId="2016" xr:uid="{00000000-0005-0000-0000-00003D050000}"/>
    <cellStyle name="iComma0 3 2 2" xfId="2902" xr:uid="{00000000-0005-0000-0000-00003E050000}"/>
    <cellStyle name="iComma0 3 2 2 2" xfId="4475" xr:uid="{2FBD2115-980F-4055-B1F9-893EC1878DAF}"/>
    <cellStyle name="iComma0 3 2 3" xfId="3327" xr:uid="{00000000-0005-0000-0000-00003F050000}"/>
    <cellStyle name="iComma0 3 2 3 2" xfId="4898" xr:uid="{B46D0FC2-CC9B-47A6-B77A-DD7CA95BB0E9}"/>
    <cellStyle name="iComma0 3 2 4" xfId="3666" xr:uid="{915A509C-06A9-4E92-A531-E236780BBEA4}"/>
    <cellStyle name="iComma0 3 3" xfId="2556" xr:uid="{00000000-0005-0000-0000-000040050000}"/>
    <cellStyle name="iComma0 3 3 2" xfId="4139" xr:uid="{FED53E6D-043C-47F8-B31C-77D93A2FD7BC}"/>
    <cellStyle name="iComma0 3 4" xfId="2506" xr:uid="{00000000-0005-0000-0000-000041050000}"/>
    <cellStyle name="iComma0 3 4 2" xfId="4095" xr:uid="{922D67F2-AD0E-4C93-B001-6F98128A01E9}"/>
    <cellStyle name="iComma0 4" xfId="1161" xr:uid="{00000000-0005-0000-0000-000042050000}"/>
    <cellStyle name="iComma0 4 2" xfId="2017" xr:uid="{00000000-0005-0000-0000-000043050000}"/>
    <cellStyle name="iComma0 4 2 2" xfId="2903" xr:uid="{00000000-0005-0000-0000-000044050000}"/>
    <cellStyle name="iComma0 4 2 2 2" xfId="4476" xr:uid="{EAE2B1C3-E4DE-4B44-80DB-5DF0778E8B28}"/>
    <cellStyle name="iComma0 4 2 3" xfId="3328" xr:uid="{00000000-0005-0000-0000-000045050000}"/>
    <cellStyle name="iComma0 4 2 3 2" xfId="4899" xr:uid="{8FFAB9D9-BF44-4939-9D53-1AC20AC8CCDC}"/>
    <cellStyle name="iComma0 4 2 4" xfId="3667" xr:uid="{8A56300A-A473-4635-AE83-3B3C0678CCFA}"/>
    <cellStyle name="iComma0 4 3" xfId="2557" xr:uid="{00000000-0005-0000-0000-000046050000}"/>
    <cellStyle name="iComma0 4 3 2" xfId="4140" xr:uid="{0592F062-A897-44C9-AB5C-F21C7404EC9B}"/>
    <cellStyle name="iComma0 4 4" xfId="2505" xr:uid="{00000000-0005-0000-0000-000047050000}"/>
    <cellStyle name="iComma0 4 4 2" xfId="4094" xr:uid="{B664AAB3-2EF7-4275-BDE0-2A2FD84EDCC5}"/>
    <cellStyle name="iComma0 5" xfId="2014" xr:uid="{00000000-0005-0000-0000-000048050000}"/>
    <cellStyle name="iComma0 5 2" xfId="2900" xr:uid="{00000000-0005-0000-0000-000049050000}"/>
    <cellStyle name="iComma0 5 2 2" xfId="4473" xr:uid="{FFA9BF0E-BB47-47D7-BD75-2A5B6E268950}"/>
    <cellStyle name="iComma0 5 3" xfId="3325" xr:uid="{00000000-0005-0000-0000-00004A050000}"/>
    <cellStyle name="iComma0 5 3 2" xfId="4896" xr:uid="{2D5B88A9-1471-4ABA-8E0E-2BAA29904B21}"/>
    <cellStyle name="iComma0 5 4" xfId="3664" xr:uid="{A9605261-C0DB-42C3-A47E-9DD8E2AF39BC}"/>
    <cellStyle name="iComma0 6" xfId="2554" xr:uid="{00000000-0005-0000-0000-00004B050000}"/>
    <cellStyle name="iComma0 6 2" xfId="4137" xr:uid="{7700C7C4-6580-4BBE-8A90-9D06A8414F79}"/>
    <cellStyle name="iComma0 7" xfId="2508" xr:uid="{00000000-0005-0000-0000-00004C050000}"/>
    <cellStyle name="iComma0 7 2" xfId="4097" xr:uid="{3F2ACBBB-2B7F-4765-A67E-D9B286FAADCC}"/>
    <cellStyle name="iComma1" xfId="1162" xr:uid="{00000000-0005-0000-0000-00004D050000}"/>
    <cellStyle name="iComma1 2" xfId="1163" xr:uid="{00000000-0005-0000-0000-00004E050000}"/>
    <cellStyle name="iComma1 2 2" xfId="2019" xr:uid="{00000000-0005-0000-0000-00004F050000}"/>
    <cellStyle name="iComma1 2 2 2" xfId="2905" xr:uid="{00000000-0005-0000-0000-000050050000}"/>
    <cellStyle name="iComma1 2 2 2 2" xfId="4478" xr:uid="{17DEDA9E-78C7-407C-9645-02421C507092}"/>
    <cellStyle name="iComma1 2 2 3" xfId="3330" xr:uid="{00000000-0005-0000-0000-000051050000}"/>
    <cellStyle name="iComma1 2 2 3 2" xfId="4901" xr:uid="{7A822F62-8324-417E-9B2F-9301A4D0E9E5}"/>
    <cellStyle name="iComma1 2 2 4" xfId="3669" xr:uid="{5FDAB9B1-94F7-4734-BB7D-7F025F3C4E56}"/>
    <cellStyle name="iComma1 2 3" xfId="2559" xr:uid="{00000000-0005-0000-0000-000052050000}"/>
    <cellStyle name="iComma1 2 3 2" xfId="4142" xr:uid="{2F9A1590-74C2-4A24-9216-8E489D95506A}"/>
    <cellStyle name="iComma1 2 4" xfId="2503" xr:uid="{00000000-0005-0000-0000-000053050000}"/>
    <cellStyle name="iComma1 2 4 2" xfId="4092" xr:uid="{2828751C-5389-4BB6-855B-110549D1A634}"/>
    <cellStyle name="iComma1 3" xfId="1164" xr:uid="{00000000-0005-0000-0000-000054050000}"/>
    <cellStyle name="iComma1 3 2" xfId="2020" xr:uid="{00000000-0005-0000-0000-000055050000}"/>
    <cellStyle name="iComma1 3 2 2" xfId="2906" xr:uid="{00000000-0005-0000-0000-000056050000}"/>
    <cellStyle name="iComma1 3 2 2 2" xfId="4479" xr:uid="{9BB4C90D-57FE-408B-B857-A9354DF117A2}"/>
    <cellStyle name="iComma1 3 2 3" xfId="3331" xr:uid="{00000000-0005-0000-0000-000057050000}"/>
    <cellStyle name="iComma1 3 2 3 2" xfId="4902" xr:uid="{792347FB-BB80-458E-9A5E-A272E627FA98}"/>
    <cellStyle name="iComma1 3 2 4" xfId="3670" xr:uid="{153E6BD0-13FC-47E7-B655-DD9B99EAB8CC}"/>
    <cellStyle name="iComma1 3 3" xfId="2560" xr:uid="{00000000-0005-0000-0000-000058050000}"/>
    <cellStyle name="iComma1 3 3 2" xfId="4143" xr:uid="{557C73DC-8638-40A5-9266-B222B9C817D7}"/>
    <cellStyle name="iComma1 3 4" xfId="2502" xr:uid="{00000000-0005-0000-0000-000059050000}"/>
    <cellStyle name="iComma1 3 4 2" xfId="4091" xr:uid="{D7A18DF1-3900-4839-B6F2-D7A7EF6B65D4}"/>
    <cellStyle name="iComma1 4" xfId="1165" xr:uid="{00000000-0005-0000-0000-00005A050000}"/>
    <cellStyle name="iComma1 4 2" xfId="2021" xr:uid="{00000000-0005-0000-0000-00005B050000}"/>
    <cellStyle name="iComma1 4 2 2" xfId="2907" xr:uid="{00000000-0005-0000-0000-00005C050000}"/>
    <cellStyle name="iComma1 4 2 2 2" xfId="4480" xr:uid="{56381702-6B7E-4F08-A380-AA20E0715844}"/>
    <cellStyle name="iComma1 4 2 3" xfId="3332" xr:uid="{00000000-0005-0000-0000-00005D050000}"/>
    <cellStyle name="iComma1 4 2 3 2" xfId="4903" xr:uid="{B479E912-5A7F-4CF8-A161-0405DFAEC0A5}"/>
    <cellStyle name="iComma1 4 2 4" xfId="3671" xr:uid="{88EDDE63-F802-4DFC-AF29-B2524226CDF5}"/>
    <cellStyle name="iComma1 4 3" xfId="2561" xr:uid="{00000000-0005-0000-0000-00005E050000}"/>
    <cellStyle name="iComma1 4 3 2" xfId="4144" xr:uid="{90A7FB61-3292-4F34-BDDB-9E8A80F9AFCC}"/>
    <cellStyle name="iComma1 4 4" xfId="2501" xr:uid="{00000000-0005-0000-0000-00005F050000}"/>
    <cellStyle name="iComma1 4 4 2" xfId="4090" xr:uid="{97167BEA-1C38-4BE6-BA4C-E101AA13B117}"/>
    <cellStyle name="iComma1 5" xfId="2018" xr:uid="{00000000-0005-0000-0000-000060050000}"/>
    <cellStyle name="iComma1 5 2" xfId="2904" xr:uid="{00000000-0005-0000-0000-000061050000}"/>
    <cellStyle name="iComma1 5 2 2" xfId="4477" xr:uid="{637A3D01-07E4-4CB2-A79C-6DB0D828108E}"/>
    <cellStyle name="iComma1 5 3" xfId="3329" xr:uid="{00000000-0005-0000-0000-000062050000}"/>
    <cellStyle name="iComma1 5 3 2" xfId="4900" xr:uid="{493AF79E-C900-438F-B026-9B16918243F6}"/>
    <cellStyle name="iComma1 5 4" xfId="3668" xr:uid="{A9D8F5B5-2F2D-4F4D-A412-98F9A5F484BA}"/>
    <cellStyle name="iComma1 6" xfId="2558" xr:uid="{00000000-0005-0000-0000-000063050000}"/>
    <cellStyle name="iComma1 6 2" xfId="4141" xr:uid="{748DBF56-78A2-4031-AF21-C86B440632D2}"/>
    <cellStyle name="iComma1 7" xfId="2504" xr:uid="{00000000-0005-0000-0000-000064050000}"/>
    <cellStyle name="iComma1 7 2" xfId="4093" xr:uid="{8FE8F6EF-675A-4F6F-9FF9-99688620DCD8}"/>
    <cellStyle name="iComma2" xfId="1166" xr:uid="{00000000-0005-0000-0000-000065050000}"/>
    <cellStyle name="iComma2 2" xfId="1167" xr:uid="{00000000-0005-0000-0000-000066050000}"/>
    <cellStyle name="iComma2 2 2" xfId="2023" xr:uid="{00000000-0005-0000-0000-000067050000}"/>
    <cellStyle name="iComma2 2 2 2" xfId="2909" xr:uid="{00000000-0005-0000-0000-000068050000}"/>
    <cellStyle name="iComma2 2 2 2 2" xfId="4482" xr:uid="{B9EFEA15-AC72-4C7E-9251-13F4BEB18B25}"/>
    <cellStyle name="iComma2 2 2 3" xfId="3334" xr:uid="{00000000-0005-0000-0000-000069050000}"/>
    <cellStyle name="iComma2 2 2 3 2" xfId="4905" xr:uid="{597C1547-A5FE-4E6D-9A72-3D162C7115C1}"/>
    <cellStyle name="iComma2 2 2 4" xfId="3673" xr:uid="{4142C8AA-AE98-416D-AF96-012641EDD4FF}"/>
    <cellStyle name="iComma2 2 3" xfId="2563" xr:uid="{00000000-0005-0000-0000-00006A050000}"/>
    <cellStyle name="iComma2 2 3 2" xfId="4146" xr:uid="{A4A8A51C-E36B-4743-A845-64A9A4967A2A}"/>
    <cellStyle name="iComma2 2 4" xfId="2499" xr:uid="{00000000-0005-0000-0000-00006B050000}"/>
    <cellStyle name="iComma2 2 4 2" xfId="4088" xr:uid="{AD95C2A8-ED01-43F4-90BB-7A02443B3C66}"/>
    <cellStyle name="iComma2 3" xfId="1168" xr:uid="{00000000-0005-0000-0000-00006C050000}"/>
    <cellStyle name="iComma2 3 2" xfId="2024" xr:uid="{00000000-0005-0000-0000-00006D050000}"/>
    <cellStyle name="iComma2 3 2 2" xfId="2910" xr:uid="{00000000-0005-0000-0000-00006E050000}"/>
    <cellStyle name="iComma2 3 2 2 2" xfId="4483" xr:uid="{DDC1965F-7D76-4A44-9F3C-35FC5AD495C3}"/>
    <cellStyle name="iComma2 3 2 3" xfId="3335" xr:uid="{00000000-0005-0000-0000-00006F050000}"/>
    <cellStyle name="iComma2 3 2 3 2" xfId="4906" xr:uid="{92032F75-DDB8-4650-841F-367CF13C43F0}"/>
    <cellStyle name="iComma2 3 2 4" xfId="3674" xr:uid="{3C8CF578-231B-40ED-8365-E94FD1441BBD}"/>
    <cellStyle name="iComma2 3 3" xfId="2564" xr:uid="{00000000-0005-0000-0000-000070050000}"/>
    <cellStyle name="iComma2 3 3 2" xfId="4147" xr:uid="{1A97C8C8-1432-4384-89BA-308C1C884302}"/>
    <cellStyle name="iComma2 3 4" xfId="2498" xr:uid="{00000000-0005-0000-0000-000071050000}"/>
    <cellStyle name="iComma2 3 4 2" xfId="4087" xr:uid="{09422EAF-24F8-4421-BEF5-EFCFFA22FF84}"/>
    <cellStyle name="iComma2 4" xfId="1169" xr:uid="{00000000-0005-0000-0000-000072050000}"/>
    <cellStyle name="iComma2 4 2" xfId="2025" xr:uid="{00000000-0005-0000-0000-000073050000}"/>
    <cellStyle name="iComma2 4 2 2" xfId="2911" xr:uid="{00000000-0005-0000-0000-000074050000}"/>
    <cellStyle name="iComma2 4 2 2 2" xfId="4484" xr:uid="{5103DAE5-8F17-4B19-B987-F5AD8C428B41}"/>
    <cellStyle name="iComma2 4 2 3" xfId="3336" xr:uid="{00000000-0005-0000-0000-000075050000}"/>
    <cellStyle name="iComma2 4 2 3 2" xfId="4907" xr:uid="{705C05BA-AE14-4EF5-8D0F-26A5F1935EF3}"/>
    <cellStyle name="iComma2 4 2 4" xfId="3675" xr:uid="{2424EE6E-C08D-4B4D-AB85-23A6EB3A0FC1}"/>
    <cellStyle name="iComma2 4 3" xfId="2565" xr:uid="{00000000-0005-0000-0000-000076050000}"/>
    <cellStyle name="iComma2 4 3 2" xfId="4148" xr:uid="{5C91D192-4409-4029-BDBA-12D9C7931952}"/>
    <cellStyle name="iComma2 4 4" xfId="2497" xr:uid="{00000000-0005-0000-0000-000077050000}"/>
    <cellStyle name="iComma2 4 4 2" xfId="4086" xr:uid="{CFE86742-B393-460E-947C-513B11490D0D}"/>
    <cellStyle name="iComma2 5" xfId="2022" xr:uid="{00000000-0005-0000-0000-000078050000}"/>
    <cellStyle name="iComma2 5 2" xfId="2908" xr:uid="{00000000-0005-0000-0000-000079050000}"/>
    <cellStyle name="iComma2 5 2 2" xfId="4481" xr:uid="{6EA10106-87E2-4A33-BDDE-596A855A661B}"/>
    <cellStyle name="iComma2 5 3" xfId="3333" xr:uid="{00000000-0005-0000-0000-00007A050000}"/>
    <cellStyle name="iComma2 5 3 2" xfId="4904" xr:uid="{7C77C78C-143A-40AC-B710-67C6BD7FB809}"/>
    <cellStyle name="iComma2 5 4" xfId="3672" xr:uid="{B397BE33-41AD-450F-9B30-7476E1D1C522}"/>
    <cellStyle name="iComma2 6" xfId="2562" xr:uid="{00000000-0005-0000-0000-00007B050000}"/>
    <cellStyle name="iComma2 6 2" xfId="4145" xr:uid="{6F0B1445-00F1-4605-99F6-6CA6A1540F94}"/>
    <cellStyle name="iComma2 7" xfId="2500" xr:uid="{00000000-0005-0000-0000-00007C050000}"/>
    <cellStyle name="iComma2 7 2" xfId="4089" xr:uid="{79BB1154-4837-4657-8D0A-CCACDA68809E}"/>
    <cellStyle name="iComma3" xfId="1170" xr:uid="{00000000-0005-0000-0000-00007D050000}"/>
    <cellStyle name="iComma3 2" xfId="1171" xr:uid="{00000000-0005-0000-0000-00007E050000}"/>
    <cellStyle name="iComma3 2 2" xfId="2027" xr:uid="{00000000-0005-0000-0000-00007F050000}"/>
    <cellStyle name="iComma3 2 2 2" xfId="2913" xr:uid="{00000000-0005-0000-0000-000080050000}"/>
    <cellStyle name="iComma3 2 2 2 2" xfId="4486" xr:uid="{DA0AC4D7-C393-49EF-9C41-64A5C2A92F6D}"/>
    <cellStyle name="iComma3 2 2 3" xfId="3338" xr:uid="{00000000-0005-0000-0000-000081050000}"/>
    <cellStyle name="iComma3 2 2 3 2" xfId="4909" xr:uid="{78A19CCC-4006-42C5-A6BF-03D85BC5F299}"/>
    <cellStyle name="iComma3 2 2 4" xfId="3677" xr:uid="{B1FA8600-A7E8-4FBA-8321-3D46C29A8B54}"/>
    <cellStyle name="iComma3 2 3" xfId="2567" xr:uid="{00000000-0005-0000-0000-000082050000}"/>
    <cellStyle name="iComma3 2 3 2" xfId="4150" xr:uid="{C1CBC798-F66F-4DCC-912D-E2A586587316}"/>
    <cellStyle name="iComma3 2 4" xfId="2495" xr:uid="{00000000-0005-0000-0000-000083050000}"/>
    <cellStyle name="iComma3 2 4 2" xfId="4084" xr:uid="{EB25AAB8-C231-486A-AD83-C1960C72EBC3}"/>
    <cellStyle name="iComma3 3" xfId="1172" xr:uid="{00000000-0005-0000-0000-000084050000}"/>
    <cellStyle name="iComma3 3 2" xfId="2028" xr:uid="{00000000-0005-0000-0000-000085050000}"/>
    <cellStyle name="iComma3 3 2 2" xfId="2914" xr:uid="{00000000-0005-0000-0000-000086050000}"/>
    <cellStyle name="iComma3 3 2 2 2" xfId="4487" xr:uid="{C7AF9B3C-9662-4664-A54A-71C6BF90D1B5}"/>
    <cellStyle name="iComma3 3 2 3" xfId="3339" xr:uid="{00000000-0005-0000-0000-000087050000}"/>
    <cellStyle name="iComma3 3 2 3 2" xfId="4910" xr:uid="{4F6C2B3E-E2B6-4684-B613-650093C491E4}"/>
    <cellStyle name="iComma3 3 2 4" xfId="3678" xr:uid="{571440EA-0825-4B05-8583-65C7646716D9}"/>
    <cellStyle name="iComma3 3 3" xfId="2568" xr:uid="{00000000-0005-0000-0000-000088050000}"/>
    <cellStyle name="iComma3 3 3 2" xfId="4151" xr:uid="{35F09DCB-6D97-4778-A2C0-A8AFE55BD1B9}"/>
    <cellStyle name="iComma3 3 4" xfId="2494" xr:uid="{00000000-0005-0000-0000-000089050000}"/>
    <cellStyle name="iComma3 3 4 2" xfId="4083" xr:uid="{83EEFB7F-A448-487F-8619-565F5219E049}"/>
    <cellStyle name="iComma3 4" xfId="1173" xr:uid="{00000000-0005-0000-0000-00008A050000}"/>
    <cellStyle name="iComma3 4 2" xfId="2029" xr:uid="{00000000-0005-0000-0000-00008B050000}"/>
    <cellStyle name="iComma3 4 2 2" xfId="2915" xr:uid="{00000000-0005-0000-0000-00008C050000}"/>
    <cellStyle name="iComma3 4 2 2 2" xfId="4488" xr:uid="{3F6D36DE-E3A1-43E0-9253-F3DE33806405}"/>
    <cellStyle name="iComma3 4 2 3" xfId="3340" xr:uid="{00000000-0005-0000-0000-00008D050000}"/>
    <cellStyle name="iComma3 4 2 3 2" xfId="4911" xr:uid="{932DDDA0-F4E4-4750-AC54-886ABB891651}"/>
    <cellStyle name="iComma3 4 2 4" xfId="3679" xr:uid="{B3B596CC-A8CA-4B3B-9015-629D57071D1D}"/>
    <cellStyle name="iComma3 4 3" xfId="2569" xr:uid="{00000000-0005-0000-0000-00008E050000}"/>
    <cellStyle name="iComma3 4 3 2" xfId="4152" xr:uid="{25F457EE-445C-4E1D-8F85-B5DFD11C301F}"/>
    <cellStyle name="iComma3 4 4" xfId="2493" xr:uid="{00000000-0005-0000-0000-00008F050000}"/>
    <cellStyle name="iComma3 4 4 2" xfId="4082" xr:uid="{E3519625-BDDF-4540-AE89-5FEAF54106C9}"/>
    <cellStyle name="iComma3 5" xfId="2026" xr:uid="{00000000-0005-0000-0000-000090050000}"/>
    <cellStyle name="iComma3 5 2" xfId="2912" xr:uid="{00000000-0005-0000-0000-000091050000}"/>
    <cellStyle name="iComma3 5 2 2" xfId="4485" xr:uid="{E310BF9F-73A8-4B82-A7CE-00082B8242DE}"/>
    <cellStyle name="iComma3 5 3" xfId="3337" xr:uid="{00000000-0005-0000-0000-000092050000}"/>
    <cellStyle name="iComma3 5 3 2" xfId="4908" xr:uid="{02430D75-C581-4E07-957A-B3C8C271C158}"/>
    <cellStyle name="iComma3 5 4" xfId="3676" xr:uid="{EE7126D0-6F79-4F2E-9F1B-0DF8BD8A6311}"/>
    <cellStyle name="iComma3 6" xfId="2566" xr:uid="{00000000-0005-0000-0000-000093050000}"/>
    <cellStyle name="iComma3 6 2" xfId="4149" xr:uid="{CEA44D84-4558-4244-9E56-5FD690F27ACF}"/>
    <cellStyle name="iComma3 7" xfId="2496" xr:uid="{00000000-0005-0000-0000-000094050000}"/>
    <cellStyle name="iComma3 7 2" xfId="4085" xr:uid="{DC12522A-1E84-4176-B58B-BEB9BE4E6E3E}"/>
    <cellStyle name="iCurrency0" xfId="1174" xr:uid="{00000000-0005-0000-0000-000095050000}"/>
    <cellStyle name="iCurrency0 2" xfId="1175" xr:uid="{00000000-0005-0000-0000-000096050000}"/>
    <cellStyle name="iCurrency0 2 2" xfId="2031" xr:uid="{00000000-0005-0000-0000-000097050000}"/>
    <cellStyle name="iCurrency0 2 2 2" xfId="2917" xr:uid="{00000000-0005-0000-0000-000098050000}"/>
    <cellStyle name="iCurrency0 2 2 2 2" xfId="4490" xr:uid="{3A3069C6-0C24-4592-8616-327FAC387812}"/>
    <cellStyle name="iCurrency0 2 2 3" xfId="3342" xr:uid="{00000000-0005-0000-0000-000099050000}"/>
    <cellStyle name="iCurrency0 2 2 3 2" xfId="4913" xr:uid="{AADEEC67-205A-457C-9109-3BA1580ED8B7}"/>
    <cellStyle name="iCurrency0 2 2 4" xfId="3681" xr:uid="{3941DA65-31D4-497C-ACA0-7AC5AC9252B6}"/>
    <cellStyle name="iCurrency0 2 3" xfId="2571" xr:uid="{00000000-0005-0000-0000-00009A050000}"/>
    <cellStyle name="iCurrency0 2 3 2" xfId="4154" xr:uid="{80B5D02C-E109-4B9B-90FB-A0B666C44FEE}"/>
    <cellStyle name="iCurrency0 2 4" xfId="2491" xr:uid="{00000000-0005-0000-0000-00009B050000}"/>
    <cellStyle name="iCurrency0 2 4 2" xfId="4080" xr:uid="{6B1CC6A2-DD9C-4E1E-99D0-0ACF5E4412FE}"/>
    <cellStyle name="iCurrency0 3" xfId="1176" xr:uid="{00000000-0005-0000-0000-00009C050000}"/>
    <cellStyle name="iCurrency0 3 2" xfId="2032" xr:uid="{00000000-0005-0000-0000-00009D050000}"/>
    <cellStyle name="iCurrency0 3 2 2" xfId="2918" xr:uid="{00000000-0005-0000-0000-00009E050000}"/>
    <cellStyle name="iCurrency0 3 2 2 2" xfId="4491" xr:uid="{A5C160B0-822B-4968-A05A-3935462BCF9C}"/>
    <cellStyle name="iCurrency0 3 2 3" xfId="3343" xr:uid="{00000000-0005-0000-0000-00009F050000}"/>
    <cellStyle name="iCurrency0 3 2 3 2" xfId="4914" xr:uid="{4E20566D-493F-46D6-8393-74B66D21614C}"/>
    <cellStyle name="iCurrency0 3 2 4" xfId="3682" xr:uid="{C9333A95-D485-4E38-9C02-2EA7A5F8E19B}"/>
    <cellStyle name="iCurrency0 3 3" xfId="2572" xr:uid="{00000000-0005-0000-0000-0000A0050000}"/>
    <cellStyle name="iCurrency0 3 3 2" xfId="4155" xr:uid="{CCAE97B0-4C44-47F6-9021-34AF243D84A9}"/>
    <cellStyle name="iCurrency0 3 4" xfId="2490" xr:uid="{00000000-0005-0000-0000-0000A1050000}"/>
    <cellStyle name="iCurrency0 3 4 2" xfId="4079" xr:uid="{8C07CD9B-E3B8-4185-ACE7-D4E08AE8F49E}"/>
    <cellStyle name="iCurrency0 4" xfId="1177" xr:uid="{00000000-0005-0000-0000-0000A2050000}"/>
    <cellStyle name="iCurrency0 4 2" xfId="2033" xr:uid="{00000000-0005-0000-0000-0000A3050000}"/>
    <cellStyle name="iCurrency0 4 2 2" xfId="2919" xr:uid="{00000000-0005-0000-0000-0000A4050000}"/>
    <cellStyle name="iCurrency0 4 2 2 2" xfId="4492" xr:uid="{918FD17F-1188-4C5F-A42F-974D3E0621EF}"/>
    <cellStyle name="iCurrency0 4 2 3" xfId="3344" xr:uid="{00000000-0005-0000-0000-0000A5050000}"/>
    <cellStyle name="iCurrency0 4 2 3 2" xfId="4915" xr:uid="{4E2528F6-E6D8-4881-8210-4959FBEEA629}"/>
    <cellStyle name="iCurrency0 4 2 4" xfId="3683" xr:uid="{98023B23-5F65-4B6D-BAD6-989C5AFAF727}"/>
    <cellStyle name="iCurrency0 4 3" xfId="2573" xr:uid="{00000000-0005-0000-0000-0000A6050000}"/>
    <cellStyle name="iCurrency0 4 3 2" xfId="4156" xr:uid="{70CB3C3F-8695-40A6-BE0B-47B3A2099371}"/>
    <cellStyle name="iCurrency0 4 4" xfId="2489" xr:uid="{00000000-0005-0000-0000-0000A7050000}"/>
    <cellStyle name="iCurrency0 4 4 2" xfId="4078" xr:uid="{5E2C355C-108D-45C8-90DA-361B55C58D41}"/>
    <cellStyle name="iCurrency0 5" xfId="2030" xr:uid="{00000000-0005-0000-0000-0000A8050000}"/>
    <cellStyle name="iCurrency0 5 2" xfId="2916" xr:uid="{00000000-0005-0000-0000-0000A9050000}"/>
    <cellStyle name="iCurrency0 5 2 2" xfId="4489" xr:uid="{707576A3-A763-41B4-BC78-FDEEFE61F1F7}"/>
    <cellStyle name="iCurrency0 5 3" xfId="3341" xr:uid="{00000000-0005-0000-0000-0000AA050000}"/>
    <cellStyle name="iCurrency0 5 3 2" xfId="4912" xr:uid="{B7E4569D-B05A-4C1A-8C64-2E32368B6F58}"/>
    <cellStyle name="iCurrency0 5 4" xfId="3680" xr:uid="{A64F1E67-2C69-4955-A771-F0B2C1535EA1}"/>
    <cellStyle name="iCurrency0 6" xfId="2570" xr:uid="{00000000-0005-0000-0000-0000AB050000}"/>
    <cellStyle name="iCurrency0 6 2" xfId="4153" xr:uid="{D05D70D8-F4D1-4A54-B56F-54D960E54EC9}"/>
    <cellStyle name="iCurrency0 7" xfId="2492" xr:uid="{00000000-0005-0000-0000-0000AC050000}"/>
    <cellStyle name="iCurrency0 7 2" xfId="4081" xr:uid="{4240429F-886F-41EB-A848-3D53C8B84009}"/>
    <cellStyle name="iCurrency2" xfId="1178" xr:uid="{00000000-0005-0000-0000-0000AD050000}"/>
    <cellStyle name="iCurrency2 2" xfId="1179" xr:uid="{00000000-0005-0000-0000-0000AE050000}"/>
    <cellStyle name="iCurrency2 2 2" xfId="2035" xr:uid="{00000000-0005-0000-0000-0000AF050000}"/>
    <cellStyle name="iCurrency2 2 2 2" xfId="2921" xr:uid="{00000000-0005-0000-0000-0000B0050000}"/>
    <cellStyle name="iCurrency2 2 2 2 2" xfId="4494" xr:uid="{27C51327-B549-4BA3-91A2-49DB3C41F214}"/>
    <cellStyle name="iCurrency2 2 2 3" xfId="3346" xr:uid="{00000000-0005-0000-0000-0000B1050000}"/>
    <cellStyle name="iCurrency2 2 2 3 2" xfId="4917" xr:uid="{DC2630ED-FAF7-413A-BABE-484C37893CA7}"/>
    <cellStyle name="iCurrency2 2 2 4" xfId="3685" xr:uid="{6042291E-2D5E-4BAB-89C2-6EFE05C0CFDE}"/>
    <cellStyle name="iCurrency2 2 3" xfId="2575" xr:uid="{00000000-0005-0000-0000-0000B2050000}"/>
    <cellStyle name="iCurrency2 2 3 2" xfId="4158" xr:uid="{9E63CC4A-82F1-428B-A30A-DC0D7AB3A7E1}"/>
    <cellStyle name="iCurrency2 2 4" xfId="2487" xr:uid="{00000000-0005-0000-0000-0000B3050000}"/>
    <cellStyle name="iCurrency2 2 4 2" xfId="4076" xr:uid="{127B691A-E632-4CAC-9AFD-9930675B3B74}"/>
    <cellStyle name="iCurrency2 3" xfId="1180" xr:uid="{00000000-0005-0000-0000-0000B4050000}"/>
    <cellStyle name="iCurrency2 3 2" xfId="2036" xr:uid="{00000000-0005-0000-0000-0000B5050000}"/>
    <cellStyle name="iCurrency2 3 2 2" xfId="2922" xr:uid="{00000000-0005-0000-0000-0000B6050000}"/>
    <cellStyle name="iCurrency2 3 2 2 2" xfId="4495" xr:uid="{1CAD1C13-5906-45BA-A358-23EF819A6648}"/>
    <cellStyle name="iCurrency2 3 2 3" xfId="3347" xr:uid="{00000000-0005-0000-0000-0000B7050000}"/>
    <cellStyle name="iCurrency2 3 2 3 2" xfId="4918" xr:uid="{9EEADAAC-3D82-4CF7-90F8-5F2BA2CBE9A1}"/>
    <cellStyle name="iCurrency2 3 2 4" xfId="3686" xr:uid="{A876D90B-9649-400D-BC6E-94EC0AF9B193}"/>
    <cellStyle name="iCurrency2 3 3" xfId="2576" xr:uid="{00000000-0005-0000-0000-0000B8050000}"/>
    <cellStyle name="iCurrency2 3 3 2" xfId="4159" xr:uid="{94059F72-182E-4F46-8F9B-E2679C949B90}"/>
    <cellStyle name="iCurrency2 3 4" xfId="2486" xr:uid="{00000000-0005-0000-0000-0000B9050000}"/>
    <cellStyle name="iCurrency2 3 4 2" xfId="4075" xr:uid="{DF2E328D-6AE0-4DBD-AECD-F77B7A90FDD1}"/>
    <cellStyle name="iCurrency2 4" xfId="1181" xr:uid="{00000000-0005-0000-0000-0000BA050000}"/>
    <cellStyle name="iCurrency2 4 2" xfId="2037" xr:uid="{00000000-0005-0000-0000-0000BB050000}"/>
    <cellStyle name="iCurrency2 4 2 2" xfId="2923" xr:uid="{00000000-0005-0000-0000-0000BC050000}"/>
    <cellStyle name="iCurrency2 4 2 2 2" xfId="4496" xr:uid="{1810EB04-505E-404E-B59E-E6B122B8AB56}"/>
    <cellStyle name="iCurrency2 4 2 3" xfId="3348" xr:uid="{00000000-0005-0000-0000-0000BD050000}"/>
    <cellStyle name="iCurrency2 4 2 3 2" xfId="4919" xr:uid="{8ACB3486-2451-4EA3-82D2-C90AA64C9464}"/>
    <cellStyle name="iCurrency2 4 2 4" xfId="3687" xr:uid="{8F719250-9A88-4C7F-8C46-F981C8E235B5}"/>
    <cellStyle name="iCurrency2 4 3" xfId="2577" xr:uid="{00000000-0005-0000-0000-0000BE050000}"/>
    <cellStyle name="iCurrency2 4 3 2" xfId="4160" xr:uid="{E793CEEF-4B2F-4DC6-83E4-ECC1F2211058}"/>
    <cellStyle name="iCurrency2 4 4" xfId="2485" xr:uid="{00000000-0005-0000-0000-0000BF050000}"/>
    <cellStyle name="iCurrency2 4 4 2" xfId="4074" xr:uid="{F04A64E3-90CD-401A-B3C6-184DB1D420B9}"/>
    <cellStyle name="iCurrency2 5" xfId="2034" xr:uid="{00000000-0005-0000-0000-0000C0050000}"/>
    <cellStyle name="iCurrency2 5 2" xfId="2920" xr:uid="{00000000-0005-0000-0000-0000C1050000}"/>
    <cellStyle name="iCurrency2 5 2 2" xfId="4493" xr:uid="{B1B1D41C-1544-45CF-90EB-8B535053FB7B}"/>
    <cellStyle name="iCurrency2 5 3" xfId="3345" xr:uid="{00000000-0005-0000-0000-0000C2050000}"/>
    <cellStyle name="iCurrency2 5 3 2" xfId="4916" xr:uid="{B5866F70-A5D9-4539-8544-C3AA7F741DA5}"/>
    <cellStyle name="iCurrency2 5 4" xfId="3684" xr:uid="{455FEA0C-C2A5-4A0C-A224-F575C44D736C}"/>
    <cellStyle name="iCurrency2 6" xfId="2574" xr:uid="{00000000-0005-0000-0000-0000C3050000}"/>
    <cellStyle name="iCurrency2 6 2" xfId="4157" xr:uid="{F86DE9E3-4051-4D01-AAD6-821B420646BD}"/>
    <cellStyle name="iCurrency2 7" xfId="2488" xr:uid="{00000000-0005-0000-0000-0000C4050000}"/>
    <cellStyle name="iCurrency2 7 2" xfId="4077" xr:uid="{FC0CD5F5-AD72-427A-B3BB-F9A409CB7C45}"/>
    <cellStyle name="iDateDM" xfId="1182" xr:uid="{00000000-0005-0000-0000-0000C5050000}"/>
    <cellStyle name="iDateDM 2" xfId="1183" xr:uid="{00000000-0005-0000-0000-0000C6050000}"/>
    <cellStyle name="iDateDM 2 2" xfId="2039" xr:uid="{00000000-0005-0000-0000-0000C7050000}"/>
    <cellStyle name="iDateDM 2 2 2" xfId="2925" xr:uid="{00000000-0005-0000-0000-0000C8050000}"/>
    <cellStyle name="iDateDM 2 2 2 2" xfId="4498" xr:uid="{6671B7B3-EC94-447F-A176-502E3A19A7FB}"/>
    <cellStyle name="iDateDM 2 2 3" xfId="3350" xr:uid="{00000000-0005-0000-0000-0000C9050000}"/>
    <cellStyle name="iDateDM 2 2 3 2" xfId="4921" xr:uid="{8B7851B5-43CD-45CB-9C60-ECF4A54E678B}"/>
    <cellStyle name="iDateDM 2 2 4" xfId="3689" xr:uid="{B4CA26E1-FC69-4C0A-B135-27B57B8B303F}"/>
    <cellStyle name="iDateDM 2 3" xfId="2579" xr:uid="{00000000-0005-0000-0000-0000CA050000}"/>
    <cellStyle name="iDateDM 2 3 2" xfId="4162" xr:uid="{8C4F17B3-9CB4-4A3C-934F-C4E83D4ADFA5}"/>
    <cellStyle name="iDateDM 2 4" xfId="2483" xr:uid="{00000000-0005-0000-0000-0000CB050000}"/>
    <cellStyle name="iDateDM 2 4 2" xfId="4072" xr:uid="{4ACF6228-1E28-4998-8E51-4F5035AA3CE6}"/>
    <cellStyle name="iDateDM 3" xfId="1184" xr:uid="{00000000-0005-0000-0000-0000CC050000}"/>
    <cellStyle name="iDateDM 3 2" xfId="2040" xr:uid="{00000000-0005-0000-0000-0000CD050000}"/>
    <cellStyle name="iDateDM 3 2 2" xfId="2926" xr:uid="{00000000-0005-0000-0000-0000CE050000}"/>
    <cellStyle name="iDateDM 3 2 2 2" xfId="4499" xr:uid="{A169ACA4-A798-46A4-BC4A-8314E85F312C}"/>
    <cellStyle name="iDateDM 3 2 3" xfId="3351" xr:uid="{00000000-0005-0000-0000-0000CF050000}"/>
    <cellStyle name="iDateDM 3 2 3 2" xfId="4922" xr:uid="{E8251C49-5C8C-474C-BB79-AE73A1FCEA31}"/>
    <cellStyle name="iDateDM 3 2 4" xfId="3690" xr:uid="{ED2233ED-C765-42D7-A024-2F6148B966E6}"/>
    <cellStyle name="iDateDM 3 3" xfId="2580" xr:uid="{00000000-0005-0000-0000-0000D0050000}"/>
    <cellStyle name="iDateDM 3 3 2" xfId="4163" xr:uid="{EB644ABB-15BB-4FB0-8851-82488D198DE4}"/>
    <cellStyle name="iDateDM 3 4" xfId="2482" xr:uid="{00000000-0005-0000-0000-0000D1050000}"/>
    <cellStyle name="iDateDM 3 4 2" xfId="4071" xr:uid="{799A6A59-A9FC-48F9-A029-2A8D8CC8051A}"/>
    <cellStyle name="iDateDM 4" xfId="1185" xr:uid="{00000000-0005-0000-0000-0000D2050000}"/>
    <cellStyle name="iDateDM 4 2" xfId="2041" xr:uid="{00000000-0005-0000-0000-0000D3050000}"/>
    <cellStyle name="iDateDM 4 2 2" xfId="2927" xr:uid="{00000000-0005-0000-0000-0000D4050000}"/>
    <cellStyle name="iDateDM 4 2 2 2" xfId="4500" xr:uid="{98129156-5CD0-41EF-B958-78AFE4E6E4CB}"/>
    <cellStyle name="iDateDM 4 2 3" xfId="3352" xr:uid="{00000000-0005-0000-0000-0000D5050000}"/>
    <cellStyle name="iDateDM 4 2 3 2" xfId="4923" xr:uid="{45835354-EBEA-4772-96CE-6661F85B1CC1}"/>
    <cellStyle name="iDateDM 4 2 4" xfId="3691" xr:uid="{9C9551C6-8B44-4F4C-A7A4-8498447E7F0F}"/>
    <cellStyle name="iDateDM 4 3" xfId="2581" xr:uid="{00000000-0005-0000-0000-0000D6050000}"/>
    <cellStyle name="iDateDM 4 3 2" xfId="4164" xr:uid="{CF7C44F3-734C-4179-A4F1-16ACA59F2FB0}"/>
    <cellStyle name="iDateDM 4 4" xfId="2481" xr:uid="{00000000-0005-0000-0000-0000D7050000}"/>
    <cellStyle name="iDateDM 4 4 2" xfId="4070" xr:uid="{54C1733F-2A79-40AB-BF19-EC3608099EB1}"/>
    <cellStyle name="iDateDM 5" xfId="2038" xr:uid="{00000000-0005-0000-0000-0000D8050000}"/>
    <cellStyle name="iDateDM 5 2" xfId="2924" xr:uid="{00000000-0005-0000-0000-0000D9050000}"/>
    <cellStyle name="iDateDM 5 2 2" xfId="4497" xr:uid="{0D8D9F49-E352-438B-A536-1978EB20C575}"/>
    <cellStyle name="iDateDM 5 3" xfId="3349" xr:uid="{00000000-0005-0000-0000-0000DA050000}"/>
    <cellStyle name="iDateDM 5 3 2" xfId="4920" xr:uid="{B6A09555-23CD-4381-9666-26BAEAD42791}"/>
    <cellStyle name="iDateDM 5 4" xfId="3688" xr:uid="{38723F07-3634-4C49-81E5-E1DA7EE4FBE8}"/>
    <cellStyle name="iDateDM 6" xfId="2578" xr:uid="{00000000-0005-0000-0000-0000DB050000}"/>
    <cellStyle name="iDateDM 6 2" xfId="4161" xr:uid="{84D5BC3D-25A4-418A-BC3E-B0DCDB0C36DA}"/>
    <cellStyle name="iDateDM 7" xfId="2484" xr:uid="{00000000-0005-0000-0000-0000DC050000}"/>
    <cellStyle name="iDateDM 7 2" xfId="4073" xr:uid="{37366CE1-F038-454B-B380-4DF66962E8B0}"/>
    <cellStyle name="iDateDMY" xfId="1186" xr:uid="{00000000-0005-0000-0000-0000DD050000}"/>
    <cellStyle name="iDateDMY 2" xfId="1187" xr:uid="{00000000-0005-0000-0000-0000DE050000}"/>
    <cellStyle name="iDateDMY 2 2" xfId="2043" xr:uid="{00000000-0005-0000-0000-0000DF050000}"/>
    <cellStyle name="iDateDMY 2 2 2" xfId="2929" xr:uid="{00000000-0005-0000-0000-0000E0050000}"/>
    <cellStyle name="iDateDMY 2 2 2 2" xfId="4502" xr:uid="{73F9F343-8C61-4A22-B1C0-BDE70C45F661}"/>
    <cellStyle name="iDateDMY 2 2 3" xfId="3354" xr:uid="{00000000-0005-0000-0000-0000E1050000}"/>
    <cellStyle name="iDateDMY 2 2 3 2" xfId="4925" xr:uid="{18D3E791-4B96-40C1-B7F9-80DB89350A6F}"/>
    <cellStyle name="iDateDMY 2 2 4" xfId="3693" xr:uid="{ACFEFA49-C291-4928-BCAD-0AD0CDDB1355}"/>
    <cellStyle name="iDateDMY 2 3" xfId="2583" xr:uid="{00000000-0005-0000-0000-0000E2050000}"/>
    <cellStyle name="iDateDMY 2 3 2" xfId="4166" xr:uid="{381CD92E-F272-407F-A28F-2521CE22C6EB}"/>
    <cellStyle name="iDateDMY 2 4" xfId="2479" xr:uid="{00000000-0005-0000-0000-0000E3050000}"/>
    <cellStyle name="iDateDMY 2 4 2" xfId="4068" xr:uid="{C0770D23-B0F2-4C15-BE6B-C61530B373DD}"/>
    <cellStyle name="iDateDMY 3" xfId="1188" xr:uid="{00000000-0005-0000-0000-0000E4050000}"/>
    <cellStyle name="iDateDMY 3 2" xfId="2044" xr:uid="{00000000-0005-0000-0000-0000E5050000}"/>
    <cellStyle name="iDateDMY 3 2 2" xfId="2930" xr:uid="{00000000-0005-0000-0000-0000E6050000}"/>
    <cellStyle name="iDateDMY 3 2 2 2" xfId="4503" xr:uid="{4A914438-9F17-4E20-8917-0A9071948617}"/>
    <cellStyle name="iDateDMY 3 2 3" xfId="3355" xr:uid="{00000000-0005-0000-0000-0000E7050000}"/>
    <cellStyle name="iDateDMY 3 2 3 2" xfId="4926" xr:uid="{2A4A72EB-1E20-4957-BE2E-8C58B32E238E}"/>
    <cellStyle name="iDateDMY 3 2 4" xfId="3694" xr:uid="{E60EDC7D-4350-486F-B79A-442B8C22202A}"/>
    <cellStyle name="iDateDMY 3 3" xfId="2584" xr:uid="{00000000-0005-0000-0000-0000E8050000}"/>
    <cellStyle name="iDateDMY 3 3 2" xfId="4167" xr:uid="{E1E1B1C8-C011-4BA2-B08D-654EB272A920}"/>
    <cellStyle name="iDateDMY 3 4" xfId="2478" xr:uid="{00000000-0005-0000-0000-0000E9050000}"/>
    <cellStyle name="iDateDMY 3 4 2" xfId="4067" xr:uid="{675889C4-C3E4-4A99-AB1C-F9F86389BE8A}"/>
    <cellStyle name="iDateDMY 4" xfId="1189" xr:uid="{00000000-0005-0000-0000-0000EA050000}"/>
    <cellStyle name="iDateDMY 4 2" xfId="2045" xr:uid="{00000000-0005-0000-0000-0000EB050000}"/>
    <cellStyle name="iDateDMY 4 2 2" xfId="2931" xr:uid="{00000000-0005-0000-0000-0000EC050000}"/>
    <cellStyle name="iDateDMY 4 2 2 2" xfId="4504" xr:uid="{848836BA-D3D9-4138-9C06-E2FA8EEF0A5D}"/>
    <cellStyle name="iDateDMY 4 2 3" xfId="3356" xr:uid="{00000000-0005-0000-0000-0000ED050000}"/>
    <cellStyle name="iDateDMY 4 2 3 2" xfId="4927" xr:uid="{CBD01C19-736B-431F-AF14-2F31D6A8693B}"/>
    <cellStyle name="iDateDMY 4 2 4" xfId="3695" xr:uid="{D046BAE5-21D6-40E8-B5C8-4D7582080F87}"/>
    <cellStyle name="iDateDMY 4 3" xfId="2585" xr:uid="{00000000-0005-0000-0000-0000EE050000}"/>
    <cellStyle name="iDateDMY 4 3 2" xfId="4168" xr:uid="{78F9A05D-5CD0-442D-B833-36C637A4012D}"/>
    <cellStyle name="iDateDMY 4 4" xfId="2477" xr:uid="{00000000-0005-0000-0000-0000EF050000}"/>
    <cellStyle name="iDateDMY 4 4 2" xfId="4066" xr:uid="{7B256C0D-09B6-4435-A728-2B4E45B98EB3}"/>
    <cellStyle name="iDateDMY 5" xfId="2042" xr:uid="{00000000-0005-0000-0000-0000F0050000}"/>
    <cellStyle name="iDateDMY 5 2" xfId="2928" xr:uid="{00000000-0005-0000-0000-0000F1050000}"/>
    <cellStyle name="iDateDMY 5 2 2" xfId="4501" xr:uid="{464C43DD-B0C7-4A01-B27E-C1F2D4AA7083}"/>
    <cellStyle name="iDateDMY 5 3" xfId="3353" xr:uid="{00000000-0005-0000-0000-0000F2050000}"/>
    <cellStyle name="iDateDMY 5 3 2" xfId="4924" xr:uid="{C89602E6-BE16-4A20-96EF-D85D79205073}"/>
    <cellStyle name="iDateDMY 5 4" xfId="3692" xr:uid="{310BD62B-5C82-47A4-8DC2-1BBA78DA17E1}"/>
    <cellStyle name="iDateDMY 6" xfId="2582" xr:uid="{00000000-0005-0000-0000-0000F3050000}"/>
    <cellStyle name="iDateDMY 6 2" xfId="4165" xr:uid="{F8934B8D-BF2D-4C7D-BC8B-4FC9EBE9CE7D}"/>
    <cellStyle name="iDateDMY 7" xfId="2480" xr:uid="{00000000-0005-0000-0000-0000F4050000}"/>
    <cellStyle name="iDateDMY 7 2" xfId="4069" xr:uid="{1E34258A-89E1-41B3-84F5-297489946ADC}"/>
    <cellStyle name="iDateHM" xfId="1190" xr:uid="{00000000-0005-0000-0000-0000F5050000}"/>
    <cellStyle name="iDateHM 2" xfId="1191" xr:uid="{00000000-0005-0000-0000-0000F6050000}"/>
    <cellStyle name="iDateHM 2 2" xfId="2046" xr:uid="{00000000-0005-0000-0000-0000F7050000}"/>
    <cellStyle name="iDateHM 2 2 2" xfId="2932" xr:uid="{00000000-0005-0000-0000-0000F8050000}"/>
    <cellStyle name="iDateHM 2 2 2 2" xfId="4505" xr:uid="{62B17D3D-F67B-4189-9C3E-E570CB5DAEDF}"/>
    <cellStyle name="iDateHM 2 2 3" xfId="3357" xr:uid="{00000000-0005-0000-0000-0000F9050000}"/>
    <cellStyle name="iDateHM 2 2 3 2" xfId="4928" xr:uid="{245F0567-DFA8-47F8-8357-DAAB31D44378}"/>
    <cellStyle name="iDateHM 2 2 4" xfId="3696" xr:uid="{E56C6F6F-5688-42F5-A290-6D6FB82A2A57}"/>
    <cellStyle name="iDateHM 2 3" xfId="2587" xr:uid="{00000000-0005-0000-0000-0000FA050000}"/>
    <cellStyle name="iDateHM 2 3 2" xfId="4170" xr:uid="{89E7E692-1175-4075-97AF-904B84F9CC6C}"/>
    <cellStyle name="iDateHM 2 4" xfId="2475" xr:uid="{00000000-0005-0000-0000-0000FB050000}"/>
    <cellStyle name="iDateHM 2 4 2" xfId="4064" xr:uid="{5C11FE17-F8BA-4A33-B6CE-37E5E6E38679}"/>
    <cellStyle name="iDateHM 3" xfId="1192" xr:uid="{00000000-0005-0000-0000-0000FC050000}"/>
    <cellStyle name="iDateHM 3 2" xfId="2047" xr:uid="{00000000-0005-0000-0000-0000FD050000}"/>
    <cellStyle name="iDateHM 3 2 2" xfId="2933" xr:uid="{00000000-0005-0000-0000-0000FE050000}"/>
    <cellStyle name="iDateHM 3 2 2 2" xfId="4506" xr:uid="{FCBCE3AE-0ABE-4341-BEAE-FF6711DED9F3}"/>
    <cellStyle name="iDateHM 3 2 3" xfId="3358" xr:uid="{00000000-0005-0000-0000-0000FF050000}"/>
    <cellStyle name="iDateHM 3 2 3 2" xfId="4929" xr:uid="{58E0B151-B7A9-4A71-9015-6686498E8C7D}"/>
    <cellStyle name="iDateHM 3 2 4" xfId="3697" xr:uid="{BD00A265-864B-4A6E-AF72-AE1FAD4EFE10}"/>
    <cellStyle name="iDateHM 3 3" xfId="2588" xr:uid="{00000000-0005-0000-0000-000000060000}"/>
    <cellStyle name="iDateHM 3 3 2" xfId="4171" xr:uid="{CFAE14A4-1B14-4C0D-8328-4EC92B5BC7D5}"/>
    <cellStyle name="iDateHM 3 4" xfId="2474" xr:uid="{00000000-0005-0000-0000-000001060000}"/>
    <cellStyle name="iDateHM 3 4 2" xfId="4063" xr:uid="{8CAB6E54-C874-44B8-AD9A-7356812E39B8}"/>
    <cellStyle name="iDateHM 4" xfId="1193" xr:uid="{00000000-0005-0000-0000-000002060000}"/>
    <cellStyle name="iDateHM 4 2" xfId="2048" xr:uid="{00000000-0005-0000-0000-000003060000}"/>
    <cellStyle name="iDateHM 4 2 2" xfId="2934" xr:uid="{00000000-0005-0000-0000-000004060000}"/>
    <cellStyle name="iDateHM 4 2 2 2" xfId="4507" xr:uid="{49098F89-58A6-4C8A-B1BF-BE50E828E946}"/>
    <cellStyle name="iDateHM 4 2 3" xfId="3359" xr:uid="{00000000-0005-0000-0000-000005060000}"/>
    <cellStyle name="iDateHM 4 2 3 2" xfId="4930" xr:uid="{908B5576-DB68-4907-90B4-6A2A72B3F7A3}"/>
    <cellStyle name="iDateHM 4 2 4" xfId="3698" xr:uid="{A22F9EC5-85A2-411B-9148-DB84C6E9C063}"/>
    <cellStyle name="iDateHM 4 3" xfId="2589" xr:uid="{00000000-0005-0000-0000-000006060000}"/>
    <cellStyle name="iDateHM 4 3 2" xfId="4172" xr:uid="{D23F601E-8041-401D-B65B-41BBAEFFB4C2}"/>
    <cellStyle name="iDateHM 4 4" xfId="2473" xr:uid="{00000000-0005-0000-0000-000007060000}"/>
    <cellStyle name="iDateHM 4 4 2" xfId="4062" xr:uid="{8A36830B-14DF-4260-B5A7-EE9295BC8239}"/>
    <cellStyle name="iDateHM 5" xfId="2269" xr:uid="{00000000-0005-0000-0000-000008060000}"/>
    <cellStyle name="iDateHM 5 2" xfId="3153" xr:uid="{00000000-0005-0000-0000-000009060000}"/>
    <cellStyle name="iDateHM 5 2 2" xfId="4726" xr:uid="{9975E85D-7F56-4BB6-9766-FF936118C880}"/>
    <cellStyle name="iDateHM 5 3" xfId="3579" xr:uid="{00000000-0005-0000-0000-00000A060000}"/>
    <cellStyle name="iDateHM 5 3 2" xfId="5149" xr:uid="{8466C324-DFD5-4DEB-B939-E0561322BD32}"/>
    <cellStyle name="iDateHM 5 4" xfId="3877" xr:uid="{44504876-7C05-4A61-AE4F-9D170DEAC217}"/>
    <cellStyle name="iDateHM 6" xfId="2586" xr:uid="{00000000-0005-0000-0000-00000B060000}"/>
    <cellStyle name="iDateHM 6 2" xfId="4169" xr:uid="{E71EDCAE-FCDF-465F-A8B8-0C0880E61261}"/>
    <cellStyle name="iDateHM 7" xfId="2476" xr:uid="{00000000-0005-0000-0000-00000C060000}"/>
    <cellStyle name="iDateHM 7 2" xfId="4065" xr:uid="{E3941F2C-FF90-4D1C-BB7D-CCEFFD8690E3}"/>
    <cellStyle name="iDateMY" xfId="1194" xr:uid="{00000000-0005-0000-0000-00000D060000}"/>
    <cellStyle name="iDateMY 2" xfId="1195" xr:uid="{00000000-0005-0000-0000-00000E060000}"/>
    <cellStyle name="iDateMY 2 2" xfId="2050" xr:uid="{00000000-0005-0000-0000-00000F060000}"/>
    <cellStyle name="iDateMY 2 2 2" xfId="2936" xr:uid="{00000000-0005-0000-0000-000010060000}"/>
    <cellStyle name="iDateMY 2 2 2 2" xfId="4509" xr:uid="{7B4455A0-8495-4B06-9C38-F802C3721906}"/>
    <cellStyle name="iDateMY 2 2 3" xfId="3361" xr:uid="{00000000-0005-0000-0000-000011060000}"/>
    <cellStyle name="iDateMY 2 2 3 2" xfId="4932" xr:uid="{B3663DA1-A650-4A61-8C1E-C0DD69CFF5D3}"/>
    <cellStyle name="iDateMY 2 2 4" xfId="3700" xr:uid="{4F30A5E6-B5B4-48B3-9CEB-E4BB2BCB850B}"/>
    <cellStyle name="iDateMY 2 3" xfId="2591" xr:uid="{00000000-0005-0000-0000-000012060000}"/>
    <cellStyle name="iDateMY 2 3 2" xfId="4174" xr:uid="{4DAE5BCD-9455-4F42-8471-22FC6499E95D}"/>
    <cellStyle name="iDateMY 2 4" xfId="2471" xr:uid="{00000000-0005-0000-0000-000013060000}"/>
    <cellStyle name="iDateMY 2 4 2" xfId="4060" xr:uid="{D3FA73E0-B841-4356-8D40-F129607052BE}"/>
    <cellStyle name="iDateMY 3" xfId="1196" xr:uid="{00000000-0005-0000-0000-000014060000}"/>
    <cellStyle name="iDateMY 3 2" xfId="2051" xr:uid="{00000000-0005-0000-0000-000015060000}"/>
    <cellStyle name="iDateMY 3 2 2" xfId="2937" xr:uid="{00000000-0005-0000-0000-000016060000}"/>
    <cellStyle name="iDateMY 3 2 2 2" xfId="4510" xr:uid="{66D40B21-8253-4C3E-BCDD-15301FD37A1F}"/>
    <cellStyle name="iDateMY 3 2 3" xfId="3362" xr:uid="{00000000-0005-0000-0000-000017060000}"/>
    <cellStyle name="iDateMY 3 2 3 2" xfId="4933" xr:uid="{F78B4B9A-73D5-4701-B3DC-B520495E5581}"/>
    <cellStyle name="iDateMY 3 2 4" xfId="3701" xr:uid="{9F22F4EC-EA57-4CB6-955A-0B2AA41C69BF}"/>
    <cellStyle name="iDateMY 3 3" xfId="2592" xr:uid="{00000000-0005-0000-0000-000018060000}"/>
    <cellStyle name="iDateMY 3 3 2" xfId="4175" xr:uid="{4D3962DF-4458-4B92-9817-8D592B32CB44}"/>
    <cellStyle name="iDateMY 3 4" xfId="2470" xr:uid="{00000000-0005-0000-0000-000019060000}"/>
    <cellStyle name="iDateMY 3 4 2" xfId="4059" xr:uid="{D92EA1C8-841D-40AC-93AF-A0316244B3B1}"/>
    <cellStyle name="iDateMY 4" xfId="1197" xr:uid="{00000000-0005-0000-0000-00001A060000}"/>
    <cellStyle name="iDateMY 4 2" xfId="2052" xr:uid="{00000000-0005-0000-0000-00001B060000}"/>
    <cellStyle name="iDateMY 4 2 2" xfId="2938" xr:uid="{00000000-0005-0000-0000-00001C060000}"/>
    <cellStyle name="iDateMY 4 2 2 2" xfId="4511" xr:uid="{7E452ED3-FBC3-44C7-939B-1B48203147D1}"/>
    <cellStyle name="iDateMY 4 2 3" xfId="3363" xr:uid="{00000000-0005-0000-0000-00001D060000}"/>
    <cellStyle name="iDateMY 4 2 3 2" xfId="4934" xr:uid="{79D0C5E0-8EB4-42B8-B6D8-FF38D3B4A95E}"/>
    <cellStyle name="iDateMY 4 2 4" xfId="3702" xr:uid="{28916AA8-A62D-40AD-ABCD-EA37FC0657AC}"/>
    <cellStyle name="iDateMY 4 3" xfId="2593" xr:uid="{00000000-0005-0000-0000-00001E060000}"/>
    <cellStyle name="iDateMY 4 3 2" xfId="4176" xr:uid="{1CF131DD-852E-4B9F-AE6C-3F431A239F05}"/>
    <cellStyle name="iDateMY 4 4" xfId="2469" xr:uid="{00000000-0005-0000-0000-00001F060000}"/>
    <cellStyle name="iDateMY 4 4 2" xfId="4058" xr:uid="{A68476C9-0288-40E7-BB27-0CA7E48C69A2}"/>
    <cellStyle name="iDateMY 5" xfId="2049" xr:uid="{00000000-0005-0000-0000-000020060000}"/>
    <cellStyle name="iDateMY 5 2" xfId="2935" xr:uid="{00000000-0005-0000-0000-000021060000}"/>
    <cellStyle name="iDateMY 5 2 2" xfId="4508" xr:uid="{9FB4A175-1361-4AD3-AAA4-E170AE08B6A2}"/>
    <cellStyle name="iDateMY 5 3" xfId="3360" xr:uid="{00000000-0005-0000-0000-000022060000}"/>
    <cellStyle name="iDateMY 5 3 2" xfId="4931" xr:uid="{08556D8E-6E10-4130-B9A3-26D1CAA3A24E}"/>
    <cellStyle name="iDateMY 5 4" xfId="3699" xr:uid="{F90BAD93-21F4-4715-8060-AFB1007B0C8D}"/>
    <cellStyle name="iDateMY 6" xfId="2590" xr:uid="{00000000-0005-0000-0000-000023060000}"/>
    <cellStyle name="iDateMY 6 2" xfId="4173" xr:uid="{BF5473FD-E6E5-41E8-87AA-EAA47B3348B3}"/>
    <cellStyle name="iDateMY 7" xfId="2472" xr:uid="{00000000-0005-0000-0000-000024060000}"/>
    <cellStyle name="iDateMY 7 2" xfId="4061" xr:uid="{236FA043-819E-49DB-B237-60AACAC8DF3E}"/>
    <cellStyle name="iDateT24" xfId="1198" xr:uid="{00000000-0005-0000-0000-000025060000}"/>
    <cellStyle name="iDateT24 2" xfId="1199" xr:uid="{00000000-0005-0000-0000-000026060000}"/>
    <cellStyle name="iDateT24 2 2" xfId="2054" xr:uid="{00000000-0005-0000-0000-000027060000}"/>
    <cellStyle name="iDateT24 2 2 2" xfId="2940" xr:uid="{00000000-0005-0000-0000-000028060000}"/>
    <cellStyle name="iDateT24 2 2 2 2" xfId="4513" xr:uid="{CAEA91CB-DCEF-4C55-BC0B-184D33BC676F}"/>
    <cellStyle name="iDateT24 2 2 3" xfId="3365" xr:uid="{00000000-0005-0000-0000-000029060000}"/>
    <cellStyle name="iDateT24 2 2 3 2" xfId="4936" xr:uid="{88A29F9B-2C95-4EAE-8BD0-9BFB531216B7}"/>
    <cellStyle name="iDateT24 2 2 4" xfId="3704" xr:uid="{7CAB2A39-86C1-4DB8-91E6-27B4AFEC0442}"/>
    <cellStyle name="iDateT24 2 3" xfId="2595" xr:uid="{00000000-0005-0000-0000-00002A060000}"/>
    <cellStyle name="iDateT24 2 3 2" xfId="4178" xr:uid="{A96C660F-D9F2-410F-8AAD-A09F9C648A56}"/>
    <cellStyle name="iDateT24 2 4" xfId="2467" xr:uid="{00000000-0005-0000-0000-00002B060000}"/>
    <cellStyle name="iDateT24 2 4 2" xfId="4056" xr:uid="{83E207CE-4E61-4A89-AE89-9F555E16E04E}"/>
    <cellStyle name="iDateT24 3" xfId="1200" xr:uid="{00000000-0005-0000-0000-00002C060000}"/>
    <cellStyle name="iDateT24 3 2" xfId="2055" xr:uid="{00000000-0005-0000-0000-00002D060000}"/>
    <cellStyle name="iDateT24 3 2 2" xfId="2941" xr:uid="{00000000-0005-0000-0000-00002E060000}"/>
    <cellStyle name="iDateT24 3 2 2 2" xfId="4514" xr:uid="{A3302473-D552-4B2C-B581-DAE87D393F7A}"/>
    <cellStyle name="iDateT24 3 2 3" xfId="3366" xr:uid="{00000000-0005-0000-0000-00002F060000}"/>
    <cellStyle name="iDateT24 3 2 3 2" xfId="4937" xr:uid="{459D796C-30B2-44A9-94D0-080B1B8F72C4}"/>
    <cellStyle name="iDateT24 3 2 4" xfId="3705" xr:uid="{6BE0EEF2-254F-45EB-8BBC-26EC8C4E63E4}"/>
    <cellStyle name="iDateT24 3 3" xfId="2596" xr:uid="{00000000-0005-0000-0000-000030060000}"/>
    <cellStyle name="iDateT24 3 3 2" xfId="4179" xr:uid="{ACB6F0CD-F16F-4F97-BE99-DAA80304074B}"/>
    <cellStyle name="iDateT24 3 4" xfId="2466" xr:uid="{00000000-0005-0000-0000-000031060000}"/>
    <cellStyle name="iDateT24 3 4 2" xfId="4055" xr:uid="{B23C16AF-8D91-442B-8FF2-78C5095C4824}"/>
    <cellStyle name="iDateT24 4" xfId="1201" xr:uid="{00000000-0005-0000-0000-000032060000}"/>
    <cellStyle name="iDateT24 4 2" xfId="2056" xr:uid="{00000000-0005-0000-0000-000033060000}"/>
    <cellStyle name="iDateT24 4 2 2" xfId="2942" xr:uid="{00000000-0005-0000-0000-000034060000}"/>
    <cellStyle name="iDateT24 4 2 2 2" xfId="4515" xr:uid="{8C35070F-7286-4677-A6D2-58950F5AD4FE}"/>
    <cellStyle name="iDateT24 4 2 3" xfId="3367" xr:uid="{00000000-0005-0000-0000-000035060000}"/>
    <cellStyle name="iDateT24 4 2 3 2" xfId="4938" xr:uid="{6CA53F8C-8B70-469C-8D1C-E1D56D06E11C}"/>
    <cellStyle name="iDateT24 4 2 4" xfId="3706" xr:uid="{911DBD43-5D2C-43F3-A8C5-10C13B71E0E4}"/>
    <cellStyle name="iDateT24 4 3" xfId="2597" xr:uid="{00000000-0005-0000-0000-000036060000}"/>
    <cellStyle name="iDateT24 4 3 2" xfId="4180" xr:uid="{2975DA0E-326C-4E43-ACC7-D3799E74C19F}"/>
    <cellStyle name="iDateT24 4 4" xfId="2465" xr:uid="{00000000-0005-0000-0000-000037060000}"/>
    <cellStyle name="iDateT24 4 4 2" xfId="4054" xr:uid="{9F9352C7-C2F2-459B-9407-3E423FF5C4C6}"/>
    <cellStyle name="iDateT24 5" xfId="2053" xr:uid="{00000000-0005-0000-0000-000038060000}"/>
    <cellStyle name="iDateT24 5 2" xfId="2939" xr:uid="{00000000-0005-0000-0000-000039060000}"/>
    <cellStyle name="iDateT24 5 2 2" xfId="4512" xr:uid="{D2D450A1-44D1-4DEE-BC1A-CE1BB290BAE5}"/>
    <cellStyle name="iDateT24 5 3" xfId="3364" xr:uid="{00000000-0005-0000-0000-00003A060000}"/>
    <cellStyle name="iDateT24 5 3 2" xfId="4935" xr:uid="{2DC04235-DEF8-4BF1-BBA9-3C844C931196}"/>
    <cellStyle name="iDateT24 5 4" xfId="3703" xr:uid="{AD757BC6-0070-4F06-B619-6C66490386CB}"/>
    <cellStyle name="iDateT24 6" xfId="2594" xr:uid="{00000000-0005-0000-0000-00003B060000}"/>
    <cellStyle name="iDateT24 6 2" xfId="4177" xr:uid="{E0C994DD-4065-44AF-86ED-B0FFB70E4ADD}"/>
    <cellStyle name="iDateT24 7" xfId="2468" xr:uid="{00000000-0005-0000-0000-00003C060000}"/>
    <cellStyle name="iDateT24 7 2" xfId="4057" xr:uid="{4307E9DE-428B-439A-AD0D-D435CFD0E3F1}"/>
    <cellStyle name="idDMMY -InpDate" xfId="1202" xr:uid="{00000000-0005-0000-0000-00003D060000}"/>
    <cellStyle name="idDMMYHM -InpDateTime" xfId="1203" xr:uid="{00000000-0005-0000-0000-00003E060000}"/>
    <cellStyle name="idDMY -InpDate" xfId="1204" xr:uid="{00000000-0005-0000-0000-00003F060000}"/>
    <cellStyle name="idMDY -InpDate" xfId="1205" xr:uid="{00000000-0005-0000-0000-000040060000}"/>
    <cellStyle name="idMMY -InpDate" xfId="1206" xr:uid="{00000000-0005-0000-0000-000041060000}"/>
    <cellStyle name="if0 -InpFixed" xfId="1207" xr:uid="{00000000-0005-0000-0000-000042060000}"/>
    <cellStyle name="if0b-InpFixedB" xfId="1208" xr:uid="{00000000-0005-0000-0000-000043060000}"/>
    <cellStyle name="iln -InpTableTextNoWrap" xfId="1209" xr:uid="{00000000-0005-0000-0000-000044060000}"/>
    <cellStyle name="ilnb-InpTableTextNoWrapB" xfId="1210" xr:uid="{00000000-0005-0000-0000-000045060000}"/>
    <cellStyle name="ilw -InpTableTextWrap" xfId="1211" xr:uid="{00000000-0005-0000-0000-000046060000}"/>
    <cellStyle name="imHM  -InpTime" xfId="1212" xr:uid="{00000000-0005-0000-0000-000047060000}"/>
    <cellStyle name="imHM24+ -InpTime" xfId="1213" xr:uid="{00000000-0005-0000-0000-000048060000}"/>
    <cellStyle name="Imput" xfId="1214" xr:uid="{00000000-0005-0000-0000-000049060000}"/>
    <cellStyle name="InLink" xfId="1215" xr:uid="{00000000-0005-0000-0000-00004A060000}"/>
    <cellStyle name="input - no decimal" xfId="1216" xr:uid="{00000000-0005-0000-0000-00004B060000}"/>
    <cellStyle name="Input %" xfId="1217" xr:uid="{00000000-0005-0000-0000-00004C060000}"/>
    <cellStyle name="Input (0dp#)" xfId="1218" xr:uid="{00000000-0005-0000-0000-00004D060000}"/>
    <cellStyle name="Input (0dp#) 2" xfId="1219" xr:uid="{00000000-0005-0000-0000-00004E060000}"/>
    <cellStyle name="Input (0dp#) 2 2" xfId="2058" xr:uid="{00000000-0005-0000-0000-00004F060000}"/>
    <cellStyle name="Input (0dp#) 2 2 2" xfId="2944" xr:uid="{00000000-0005-0000-0000-000050060000}"/>
    <cellStyle name="Input (0dp#) 2 2 2 2" xfId="4517" xr:uid="{D1AA5D97-7875-47F3-9A1E-A2AB888C4DFE}"/>
    <cellStyle name="Input (0dp#) 2 2 3" xfId="3369" xr:uid="{00000000-0005-0000-0000-000051060000}"/>
    <cellStyle name="Input (0dp#) 2 2 3 2" xfId="4940" xr:uid="{E5F68AD8-D37C-4579-B199-56C10F60D4B4}"/>
    <cellStyle name="Input (0dp#) 2 3" xfId="2599" xr:uid="{00000000-0005-0000-0000-000052060000}"/>
    <cellStyle name="Input (0dp#) 2 3 2" xfId="4182" xr:uid="{44A696EE-1C74-4445-80CF-640D5C6C9E34}"/>
    <cellStyle name="Input (0dp#) 3" xfId="2057" xr:uid="{00000000-0005-0000-0000-000053060000}"/>
    <cellStyle name="Input (0dp#) 3 2" xfId="2943" xr:uid="{00000000-0005-0000-0000-000054060000}"/>
    <cellStyle name="Input (0dp#) 3 2 2" xfId="4516" xr:uid="{AF330309-641B-48A1-AF75-8E84E735B783}"/>
    <cellStyle name="Input (0dp#) 3 3" xfId="3368" xr:uid="{00000000-0005-0000-0000-000055060000}"/>
    <cellStyle name="Input (0dp#) 3 3 2" xfId="4939" xr:uid="{295C65FA-DD5C-4113-854A-BA5F0B1C7EC7}"/>
    <cellStyle name="Input (0dp#) 4" xfId="2598" xr:uid="{00000000-0005-0000-0000-000056060000}"/>
    <cellStyle name="Input (0dp#) 4 2" xfId="4181" xr:uid="{F4FBD4F1-CC77-40A2-8A5B-88AC80B4BD01}"/>
    <cellStyle name="Input (0dp%)" xfId="1220" xr:uid="{00000000-0005-0000-0000-000057060000}"/>
    <cellStyle name="Input (0dp%) 2" xfId="1221" xr:uid="{00000000-0005-0000-0000-000058060000}"/>
    <cellStyle name="Input (0dp%) 2 2" xfId="2060" xr:uid="{00000000-0005-0000-0000-000059060000}"/>
    <cellStyle name="Input (0dp%) 2 2 2" xfId="2946" xr:uid="{00000000-0005-0000-0000-00005A060000}"/>
    <cellStyle name="Input (0dp%) 2 2 2 2" xfId="4519" xr:uid="{DFB5EA4C-EB9B-4A7F-818B-BCE0E7D0DD81}"/>
    <cellStyle name="Input (0dp%) 2 2 3" xfId="3371" xr:uid="{00000000-0005-0000-0000-00005B060000}"/>
    <cellStyle name="Input (0dp%) 2 2 3 2" xfId="4942" xr:uid="{0111C2A4-1D16-40B8-AC89-CD110535934D}"/>
    <cellStyle name="Input (0dp%) 2 3" xfId="2601" xr:uid="{00000000-0005-0000-0000-00005C060000}"/>
    <cellStyle name="Input (0dp%) 2 3 2" xfId="4184" xr:uid="{38388F91-A1BB-4AF3-A33B-D1841846D67B}"/>
    <cellStyle name="Input (0dp%) 3" xfId="2059" xr:uid="{00000000-0005-0000-0000-00005D060000}"/>
    <cellStyle name="Input (0dp%) 3 2" xfId="2945" xr:uid="{00000000-0005-0000-0000-00005E060000}"/>
    <cellStyle name="Input (0dp%) 3 2 2" xfId="4518" xr:uid="{F9EA5E78-E2AD-4A75-BF35-9CFEF10E1DA6}"/>
    <cellStyle name="Input (0dp%) 3 3" xfId="3370" xr:uid="{00000000-0005-0000-0000-00005F060000}"/>
    <cellStyle name="Input (0dp%) 3 3 2" xfId="4941" xr:uid="{A40FC122-9D14-43BF-9805-4A850294CB11}"/>
    <cellStyle name="Input (0dp%) 4" xfId="2600" xr:uid="{00000000-0005-0000-0000-000060060000}"/>
    <cellStyle name="Input (0dp%) 4 2" xfId="4183" xr:uid="{DFE969D3-8747-4163-9EE7-3591B900B307}"/>
    <cellStyle name="Input (1dp#)" xfId="1222" xr:uid="{00000000-0005-0000-0000-000061060000}"/>
    <cellStyle name="Input (1dp#) 2" xfId="1223" xr:uid="{00000000-0005-0000-0000-000062060000}"/>
    <cellStyle name="Input (1dp#) 2 2" xfId="2062" xr:uid="{00000000-0005-0000-0000-000063060000}"/>
    <cellStyle name="Input (1dp#) 2 2 2" xfId="2948" xr:uid="{00000000-0005-0000-0000-000064060000}"/>
    <cellStyle name="Input (1dp#) 2 2 2 2" xfId="4521" xr:uid="{5236EDC5-E6B5-4624-847C-5F298EB5FA6D}"/>
    <cellStyle name="Input (1dp#) 2 2 3" xfId="3373" xr:uid="{00000000-0005-0000-0000-000065060000}"/>
    <cellStyle name="Input (1dp#) 2 2 3 2" xfId="4944" xr:uid="{B0A28106-16E0-403D-A85A-9CC4F1461677}"/>
    <cellStyle name="Input (1dp#) 2 3" xfId="2603" xr:uid="{00000000-0005-0000-0000-000066060000}"/>
    <cellStyle name="Input (1dp#) 2 3 2" xfId="4186" xr:uid="{AFA44126-C207-43E3-838C-EACBFD94D0C5}"/>
    <cellStyle name="Input (1dp#) 3" xfId="2061" xr:uid="{00000000-0005-0000-0000-000067060000}"/>
    <cellStyle name="Input (1dp#) 3 2" xfId="2947" xr:uid="{00000000-0005-0000-0000-000068060000}"/>
    <cellStyle name="Input (1dp#) 3 2 2" xfId="4520" xr:uid="{87B4426E-1F85-4F64-8E02-4303AA10C503}"/>
    <cellStyle name="Input (1dp#) 3 3" xfId="3372" xr:uid="{00000000-0005-0000-0000-000069060000}"/>
    <cellStyle name="Input (1dp#) 3 3 2" xfId="4943" xr:uid="{98B3C15D-C0B9-4CA4-8A0D-A44148741A9F}"/>
    <cellStyle name="Input (1dp#) 4" xfId="2602" xr:uid="{00000000-0005-0000-0000-00006A060000}"/>
    <cellStyle name="Input (1dp#) 4 2" xfId="4185" xr:uid="{C499B931-D8C9-4D6D-8591-A68EEB89454A}"/>
    <cellStyle name="Input (1dp%)" xfId="1224" xr:uid="{00000000-0005-0000-0000-00006B060000}"/>
    <cellStyle name="Input (1dp%) 2" xfId="1225" xr:uid="{00000000-0005-0000-0000-00006C060000}"/>
    <cellStyle name="Input (1dp%) 2 2" xfId="2064" xr:uid="{00000000-0005-0000-0000-00006D060000}"/>
    <cellStyle name="Input (1dp%) 2 2 2" xfId="2950" xr:uid="{00000000-0005-0000-0000-00006E060000}"/>
    <cellStyle name="Input (1dp%) 2 2 2 2" xfId="4523" xr:uid="{E4586E65-FDFA-47F2-93A6-B95F0B15F15C}"/>
    <cellStyle name="Input (1dp%) 2 2 3" xfId="3375" xr:uid="{00000000-0005-0000-0000-00006F060000}"/>
    <cellStyle name="Input (1dp%) 2 2 3 2" xfId="4946" xr:uid="{EEEFC721-CC28-433F-BADA-ADC4C439BE99}"/>
    <cellStyle name="Input (1dp%) 2 3" xfId="2605" xr:uid="{00000000-0005-0000-0000-000070060000}"/>
    <cellStyle name="Input (1dp%) 2 3 2" xfId="4188" xr:uid="{006092F1-BEB8-4D2C-A76C-EFBCB69A49DC}"/>
    <cellStyle name="Input (1dp%) 3" xfId="2063" xr:uid="{00000000-0005-0000-0000-000071060000}"/>
    <cellStyle name="Input (1dp%) 3 2" xfId="2949" xr:uid="{00000000-0005-0000-0000-000072060000}"/>
    <cellStyle name="Input (1dp%) 3 2 2" xfId="4522" xr:uid="{F0952091-28C4-4BE2-BAB0-03723C27319C}"/>
    <cellStyle name="Input (1dp%) 3 3" xfId="3374" xr:uid="{00000000-0005-0000-0000-000073060000}"/>
    <cellStyle name="Input (1dp%) 3 3 2" xfId="4945" xr:uid="{196917EC-D226-42DA-8CD6-1FF134893619}"/>
    <cellStyle name="Input (1dp%) 4" xfId="2604" xr:uid="{00000000-0005-0000-0000-000074060000}"/>
    <cellStyle name="Input (1dp%) 4 2" xfId="4187" xr:uid="{404A8B60-29AA-4BAF-96D6-B5F68B0D12CC}"/>
    <cellStyle name="Input (1dpx)" xfId="1226" xr:uid="{00000000-0005-0000-0000-000075060000}"/>
    <cellStyle name="Input (1dpx) 2" xfId="1227" xr:uid="{00000000-0005-0000-0000-000076060000}"/>
    <cellStyle name="Input (1dpx) 2 2" xfId="2066" xr:uid="{00000000-0005-0000-0000-000077060000}"/>
    <cellStyle name="Input (1dpx) 2 2 2" xfId="2952" xr:uid="{00000000-0005-0000-0000-000078060000}"/>
    <cellStyle name="Input (1dpx) 2 2 2 2" xfId="4525" xr:uid="{F0E8032B-DEE1-4860-A633-4B7597DB85E8}"/>
    <cellStyle name="Input (1dpx) 2 2 3" xfId="3377" xr:uid="{00000000-0005-0000-0000-000079060000}"/>
    <cellStyle name="Input (1dpx) 2 2 3 2" xfId="4948" xr:uid="{9CDE23C6-0AB9-43C0-9AF9-75634FD23499}"/>
    <cellStyle name="Input (1dpx) 2 3" xfId="2607" xr:uid="{00000000-0005-0000-0000-00007A060000}"/>
    <cellStyle name="Input (1dpx) 2 3 2" xfId="4190" xr:uid="{5367C717-2E88-4BDC-B07F-B215AA77460A}"/>
    <cellStyle name="Input (1dpx) 3" xfId="2065" xr:uid="{00000000-0005-0000-0000-00007B060000}"/>
    <cellStyle name="Input (1dpx) 3 2" xfId="2951" xr:uid="{00000000-0005-0000-0000-00007C060000}"/>
    <cellStyle name="Input (1dpx) 3 2 2" xfId="4524" xr:uid="{0E56DE7E-B8B2-4CCF-A1C7-37BCCA07E4D6}"/>
    <cellStyle name="Input (1dpx) 3 3" xfId="3376" xr:uid="{00000000-0005-0000-0000-00007D060000}"/>
    <cellStyle name="Input (1dpx) 3 3 2" xfId="4947" xr:uid="{00AF9712-698C-4FDE-A0FC-450521FF98D8}"/>
    <cellStyle name="Input (1dpx) 4" xfId="2606" xr:uid="{00000000-0005-0000-0000-00007E060000}"/>
    <cellStyle name="Input (1dpx) 4 2" xfId="4189" xr:uid="{4496DB93-EF5B-4151-AC07-A96C6F6A2AE1}"/>
    <cellStyle name="Input (2dp#)" xfId="1228" xr:uid="{00000000-0005-0000-0000-00007F060000}"/>
    <cellStyle name="Input (2dp#) 2" xfId="1229" xr:uid="{00000000-0005-0000-0000-000080060000}"/>
    <cellStyle name="Input (2dp#) 2 2" xfId="2068" xr:uid="{00000000-0005-0000-0000-000081060000}"/>
    <cellStyle name="Input (2dp#) 2 2 2" xfId="2954" xr:uid="{00000000-0005-0000-0000-000082060000}"/>
    <cellStyle name="Input (2dp#) 2 2 2 2" xfId="4527" xr:uid="{89FE4322-AC7F-40F3-9C8B-7848C76C132B}"/>
    <cellStyle name="Input (2dp#) 2 2 3" xfId="3379" xr:uid="{00000000-0005-0000-0000-000083060000}"/>
    <cellStyle name="Input (2dp#) 2 2 3 2" xfId="4950" xr:uid="{BDD39EAE-4348-4390-B471-1924864B5099}"/>
    <cellStyle name="Input (2dp#) 2 3" xfId="2609" xr:uid="{00000000-0005-0000-0000-000084060000}"/>
    <cellStyle name="Input (2dp#) 2 3 2" xfId="4192" xr:uid="{439A27DA-9665-4E70-A59B-EA96D9AA8299}"/>
    <cellStyle name="Input (2dp#) 3" xfId="2067" xr:uid="{00000000-0005-0000-0000-000085060000}"/>
    <cellStyle name="Input (2dp#) 3 2" xfId="2953" xr:uid="{00000000-0005-0000-0000-000086060000}"/>
    <cellStyle name="Input (2dp#) 3 2 2" xfId="4526" xr:uid="{2B214805-507D-43D1-905B-7DC22AF2F5E5}"/>
    <cellStyle name="Input (2dp#) 3 3" xfId="3378" xr:uid="{00000000-0005-0000-0000-000087060000}"/>
    <cellStyle name="Input (2dp#) 3 3 2" xfId="4949" xr:uid="{C8FB6BD8-02EE-4242-95EF-1C9FB50B9FB2}"/>
    <cellStyle name="Input (2dp#) 4" xfId="2608" xr:uid="{00000000-0005-0000-0000-000088060000}"/>
    <cellStyle name="Input (2dp#) 4 2" xfId="4191" xr:uid="{F0EDC5FD-8783-49E2-943D-3B3F5BE2DBEC}"/>
    <cellStyle name="Input (2dp%)" xfId="1230" xr:uid="{00000000-0005-0000-0000-000089060000}"/>
    <cellStyle name="Input (2dp%) 2" xfId="1231" xr:uid="{00000000-0005-0000-0000-00008A060000}"/>
    <cellStyle name="Input (2dp%) 2 2" xfId="2069" xr:uid="{00000000-0005-0000-0000-00008B060000}"/>
    <cellStyle name="Input (2dp%) 2 2 2" xfId="2955" xr:uid="{00000000-0005-0000-0000-00008C060000}"/>
    <cellStyle name="Input (2dp%) 2 2 2 2" xfId="4528" xr:uid="{90EC7D5F-6237-46BE-B3C0-E6166DF553DF}"/>
    <cellStyle name="Input (2dp%) 2 2 3" xfId="3380" xr:uid="{00000000-0005-0000-0000-00008D060000}"/>
    <cellStyle name="Input (2dp%) 2 2 3 2" xfId="4951" xr:uid="{B3AA0660-E906-496C-88FF-246A79B73A61}"/>
    <cellStyle name="Input (2dp%) 2 3" xfId="2611" xr:uid="{00000000-0005-0000-0000-00008E060000}"/>
    <cellStyle name="Input (2dp%) 2 3 2" xfId="4194" xr:uid="{E0964F9A-22A3-4B6F-8A13-595DBFA08B63}"/>
    <cellStyle name="Input (2dp%) 3" xfId="2270" xr:uid="{00000000-0005-0000-0000-00008F060000}"/>
    <cellStyle name="Input (2dp%) 3 2" xfId="3154" xr:uid="{00000000-0005-0000-0000-000090060000}"/>
    <cellStyle name="Input (2dp%) 3 2 2" xfId="4727" xr:uid="{4077D9AA-EE5B-4AEC-A967-74EA7636F640}"/>
    <cellStyle name="Input (2dp%) 3 3" xfId="3580" xr:uid="{00000000-0005-0000-0000-000091060000}"/>
    <cellStyle name="Input (2dp%) 3 3 2" xfId="5150" xr:uid="{AF96A9EB-E1DC-4B9E-8BE7-8F182BFEC856}"/>
    <cellStyle name="Input (2dp%) 4" xfId="2610" xr:uid="{00000000-0005-0000-0000-000092060000}"/>
    <cellStyle name="Input (2dp%) 4 2" xfId="4193" xr:uid="{EFCAE723-7998-4272-9D3D-9BCCEC98A561}"/>
    <cellStyle name="Input [%]" xfId="1232" xr:uid="{00000000-0005-0000-0000-000093060000}"/>
    <cellStyle name="Input [%] 2" xfId="1233" xr:uid="{00000000-0005-0000-0000-000094060000}"/>
    <cellStyle name="Input [%] 2 2" xfId="2071" xr:uid="{00000000-0005-0000-0000-000095060000}"/>
    <cellStyle name="Input [%] 2 2 2" xfId="2957" xr:uid="{00000000-0005-0000-0000-000096060000}"/>
    <cellStyle name="Input [%] 2 2 2 2" xfId="4530" xr:uid="{2A9C258E-DF36-43FE-AC43-A3F6E3EC82EC}"/>
    <cellStyle name="Input [%] 2 2 3" xfId="3382" xr:uid="{00000000-0005-0000-0000-000097060000}"/>
    <cellStyle name="Input [%] 2 2 3 2" xfId="4953" xr:uid="{8E59A73D-EE5D-45C5-891D-E0B685AB6A03}"/>
    <cellStyle name="Input [%] 2 3" xfId="2613" xr:uid="{00000000-0005-0000-0000-000098060000}"/>
    <cellStyle name="Input [%] 2 3 2" xfId="4196" xr:uid="{2DBA9E2F-0599-4CA4-A621-4BDCC5650C66}"/>
    <cellStyle name="Input [%] 3" xfId="2070" xr:uid="{00000000-0005-0000-0000-000099060000}"/>
    <cellStyle name="Input [%] 3 2" xfId="2956" xr:uid="{00000000-0005-0000-0000-00009A060000}"/>
    <cellStyle name="Input [%] 3 2 2" xfId="4529" xr:uid="{2B1DC231-AE87-438C-A3A8-256AE4F886D8}"/>
    <cellStyle name="Input [%] 3 3" xfId="3381" xr:uid="{00000000-0005-0000-0000-00009B060000}"/>
    <cellStyle name="Input [%] 3 3 2" xfId="4952" xr:uid="{39418738-8513-4779-9635-E144067F9166}"/>
    <cellStyle name="Input [%] 4" xfId="2612" xr:uid="{00000000-0005-0000-0000-00009C060000}"/>
    <cellStyle name="Input [%] 4 2" xfId="4195" xr:uid="{325AA218-2C86-4544-AE6F-F0ED5063304E}"/>
    <cellStyle name="Input [%0]" xfId="1234" xr:uid="{00000000-0005-0000-0000-00009D060000}"/>
    <cellStyle name="Input [%0] 2" xfId="1235" xr:uid="{00000000-0005-0000-0000-00009E060000}"/>
    <cellStyle name="Input [%0] 2 2" xfId="2073" xr:uid="{00000000-0005-0000-0000-00009F060000}"/>
    <cellStyle name="Input [%0] 2 2 2" xfId="2959" xr:uid="{00000000-0005-0000-0000-0000A0060000}"/>
    <cellStyle name="Input [%0] 2 2 2 2" xfId="4532" xr:uid="{CFB8F4F7-F5FD-4D00-9055-D305E48F5095}"/>
    <cellStyle name="Input [%0] 2 2 3" xfId="3384" xr:uid="{00000000-0005-0000-0000-0000A1060000}"/>
    <cellStyle name="Input [%0] 2 2 3 2" xfId="4955" xr:uid="{EC3CF7FA-A10D-427A-9E6A-C3ACEE80BF9F}"/>
    <cellStyle name="Input [%0] 2 3" xfId="2615" xr:uid="{00000000-0005-0000-0000-0000A2060000}"/>
    <cellStyle name="Input [%0] 2 3 2" xfId="4198" xr:uid="{EA3FFC25-263F-406E-89E0-E8449C1E9C47}"/>
    <cellStyle name="Input [%0] 3" xfId="2072" xr:uid="{00000000-0005-0000-0000-0000A3060000}"/>
    <cellStyle name="Input [%0] 3 2" xfId="2958" xr:uid="{00000000-0005-0000-0000-0000A4060000}"/>
    <cellStyle name="Input [%0] 3 2 2" xfId="4531" xr:uid="{9589EF21-0560-435F-97E6-A43C3F7CF484}"/>
    <cellStyle name="Input [%0] 3 3" xfId="3383" xr:uid="{00000000-0005-0000-0000-0000A5060000}"/>
    <cellStyle name="Input [%0] 3 3 2" xfId="4954" xr:uid="{129B450F-9FB2-428E-8485-B4DB603B7D56}"/>
    <cellStyle name="Input [%0] 4" xfId="2614" xr:uid="{00000000-0005-0000-0000-0000A6060000}"/>
    <cellStyle name="Input [%0] 4 2" xfId="4197" xr:uid="{5416F83F-50C2-424D-B3FE-1A3A66553E58}"/>
    <cellStyle name="Input [%00]" xfId="1236" xr:uid="{00000000-0005-0000-0000-0000A7060000}"/>
    <cellStyle name="Input [%00] 2" xfId="1237" xr:uid="{00000000-0005-0000-0000-0000A8060000}"/>
    <cellStyle name="Input [%00] 2 2" xfId="2075" xr:uid="{00000000-0005-0000-0000-0000A9060000}"/>
    <cellStyle name="Input [%00] 2 2 2" xfId="2961" xr:uid="{00000000-0005-0000-0000-0000AA060000}"/>
    <cellStyle name="Input [%00] 2 2 2 2" xfId="4534" xr:uid="{CE0DA706-4950-440A-BE81-C52509BC96BB}"/>
    <cellStyle name="Input [%00] 2 2 3" xfId="3386" xr:uid="{00000000-0005-0000-0000-0000AB060000}"/>
    <cellStyle name="Input [%00] 2 2 3 2" xfId="4957" xr:uid="{6183E08A-4445-4135-8831-3925587540EB}"/>
    <cellStyle name="Input [%00] 2 3" xfId="2617" xr:uid="{00000000-0005-0000-0000-0000AC060000}"/>
    <cellStyle name="Input [%00] 2 3 2" xfId="4200" xr:uid="{CA87F0F0-2BFD-4FE0-84F2-F0486590FDE2}"/>
    <cellStyle name="Input [%00] 3" xfId="2074" xr:uid="{00000000-0005-0000-0000-0000AD060000}"/>
    <cellStyle name="Input [%00] 3 2" xfId="2960" xr:uid="{00000000-0005-0000-0000-0000AE060000}"/>
    <cellStyle name="Input [%00] 3 2 2" xfId="4533" xr:uid="{E69D2F23-AED5-4BB2-8380-D7F6CB8F8406}"/>
    <cellStyle name="Input [%00] 3 3" xfId="3385" xr:uid="{00000000-0005-0000-0000-0000AF060000}"/>
    <cellStyle name="Input [%00] 3 3 2" xfId="4956" xr:uid="{8682C14A-1DCB-4C50-8AEA-AB2C83BFB9FB}"/>
    <cellStyle name="Input [%00] 4" xfId="2616" xr:uid="{00000000-0005-0000-0000-0000B0060000}"/>
    <cellStyle name="Input [%00] 4 2" xfId="4199" xr:uid="{0AC12C0F-6C0C-462E-8195-FABF308B8154}"/>
    <cellStyle name="Input [0]" xfId="1238" xr:uid="{00000000-0005-0000-0000-0000B1060000}"/>
    <cellStyle name="Input [0] 2" xfId="1239" xr:uid="{00000000-0005-0000-0000-0000B2060000}"/>
    <cellStyle name="Input [0] 2 2" xfId="2077" xr:uid="{00000000-0005-0000-0000-0000B3060000}"/>
    <cellStyle name="Input [0] 2 2 2" xfId="2963" xr:uid="{00000000-0005-0000-0000-0000B4060000}"/>
    <cellStyle name="Input [0] 2 2 2 2" xfId="4536" xr:uid="{58254CB6-3377-4AB9-B38B-BABBB930484C}"/>
    <cellStyle name="Input [0] 2 2 3" xfId="3388" xr:uid="{00000000-0005-0000-0000-0000B5060000}"/>
    <cellStyle name="Input [0] 2 2 3 2" xfId="4959" xr:uid="{829D0B91-A8F3-4970-A790-BE3ECE65DF28}"/>
    <cellStyle name="Input [0] 2 3" xfId="2619" xr:uid="{00000000-0005-0000-0000-0000B6060000}"/>
    <cellStyle name="Input [0] 2 3 2" xfId="4202" xr:uid="{EACCF7B8-91C8-4253-BCFD-FC636BF215F3}"/>
    <cellStyle name="Input [0] 3" xfId="2076" xr:uid="{00000000-0005-0000-0000-0000B7060000}"/>
    <cellStyle name="Input [0] 3 2" xfId="2962" xr:uid="{00000000-0005-0000-0000-0000B8060000}"/>
    <cellStyle name="Input [0] 3 2 2" xfId="4535" xr:uid="{CAA5431C-FA00-4672-9A87-6C5202F8D262}"/>
    <cellStyle name="Input [0] 3 3" xfId="3387" xr:uid="{00000000-0005-0000-0000-0000B9060000}"/>
    <cellStyle name="Input [0] 3 3 2" xfId="4958" xr:uid="{94657B5F-F33C-4D13-967A-7A62AE6D803F}"/>
    <cellStyle name="Input [0] 4" xfId="2618" xr:uid="{00000000-0005-0000-0000-0000BA060000}"/>
    <cellStyle name="Input [0] 4 2" xfId="4201" xr:uid="{26C0C46F-C183-44C1-A214-3B68462A9B56}"/>
    <cellStyle name="Input [00]" xfId="1240" xr:uid="{00000000-0005-0000-0000-0000BB060000}"/>
    <cellStyle name="Input [00] 2" xfId="1241" xr:uid="{00000000-0005-0000-0000-0000BC060000}"/>
    <cellStyle name="Input [00] 2 2" xfId="2079" xr:uid="{00000000-0005-0000-0000-0000BD060000}"/>
    <cellStyle name="Input [00] 2 2 2" xfId="2965" xr:uid="{00000000-0005-0000-0000-0000BE060000}"/>
    <cellStyle name="Input [00] 2 2 2 2" xfId="4538" xr:uid="{2A043280-1969-4A0E-A6BE-B868A625C9BB}"/>
    <cellStyle name="Input [00] 2 2 3" xfId="3390" xr:uid="{00000000-0005-0000-0000-0000BF060000}"/>
    <cellStyle name="Input [00] 2 2 3 2" xfId="4961" xr:uid="{9ACEEBA5-08DE-4E86-997A-198088977C6B}"/>
    <cellStyle name="Input [00] 2 3" xfId="2621" xr:uid="{00000000-0005-0000-0000-0000C0060000}"/>
    <cellStyle name="Input [00] 2 3 2" xfId="4204" xr:uid="{F42C4D17-CDFF-4144-9898-793DBA33C281}"/>
    <cellStyle name="Input [00] 3" xfId="2078" xr:uid="{00000000-0005-0000-0000-0000C1060000}"/>
    <cellStyle name="Input [00] 3 2" xfId="2964" xr:uid="{00000000-0005-0000-0000-0000C2060000}"/>
    <cellStyle name="Input [00] 3 2 2" xfId="4537" xr:uid="{D001B510-2F24-4957-BEEA-D8DAC834A68F}"/>
    <cellStyle name="Input [00] 3 3" xfId="3389" xr:uid="{00000000-0005-0000-0000-0000C3060000}"/>
    <cellStyle name="Input [00] 3 3 2" xfId="4960" xr:uid="{5AAE2F66-1863-4EE9-B9C5-C5BD1CB4B8CE}"/>
    <cellStyle name="Input [00] 4" xfId="2620" xr:uid="{00000000-0005-0000-0000-0000C4060000}"/>
    <cellStyle name="Input [00] 4 2" xfId="4203" xr:uid="{51B2A026-FFC8-43FF-A446-F7622A1EDD43}"/>
    <cellStyle name="Input [yellow]" xfId="1242" xr:uid="{00000000-0005-0000-0000-0000C5060000}"/>
    <cellStyle name="Input [yellow] 2" xfId="1243" xr:uid="{00000000-0005-0000-0000-0000C6060000}"/>
    <cellStyle name="Input [yellow] 2 2" xfId="2081" xr:uid="{00000000-0005-0000-0000-0000C7060000}"/>
    <cellStyle name="Input [yellow] 2 2 2" xfId="2967" xr:uid="{00000000-0005-0000-0000-0000C8060000}"/>
    <cellStyle name="Input [yellow] 2 2 2 2" xfId="4540" xr:uid="{33F35510-DB43-46FA-9140-130CA2E4F1A0}"/>
    <cellStyle name="Input [yellow] 2 2 3" xfId="3392" xr:uid="{00000000-0005-0000-0000-0000C9060000}"/>
    <cellStyle name="Input [yellow] 2 2 3 2" xfId="4963" xr:uid="{A3CF6DC5-10FB-4667-886E-A578D429C863}"/>
    <cellStyle name="Input [yellow] 2 3" xfId="2623" xr:uid="{00000000-0005-0000-0000-0000CA060000}"/>
    <cellStyle name="Input [yellow] 2 3 2" xfId="4206" xr:uid="{C913A97B-D5C4-4C9B-A18F-D1046FA4E272}"/>
    <cellStyle name="Input [yellow] 3" xfId="2080" xr:uid="{00000000-0005-0000-0000-0000CB060000}"/>
    <cellStyle name="Input [yellow] 3 2" xfId="2966" xr:uid="{00000000-0005-0000-0000-0000CC060000}"/>
    <cellStyle name="Input [yellow] 3 2 2" xfId="4539" xr:uid="{EF26A419-7914-433E-B2E8-D78555C1B548}"/>
    <cellStyle name="Input [yellow] 3 3" xfId="3391" xr:uid="{00000000-0005-0000-0000-0000CD060000}"/>
    <cellStyle name="Input [yellow] 3 3 2" xfId="4962" xr:uid="{2A60569D-6948-4B15-93A3-4B4D090D69B2}"/>
    <cellStyle name="Input [yellow] 4" xfId="2622" xr:uid="{00000000-0005-0000-0000-0000CE060000}"/>
    <cellStyle name="Input [yellow] 4 2" xfId="4205" xr:uid="{586728E3-8FD4-4746-9EC5-2A047FFF2602}"/>
    <cellStyle name="Input 0" xfId="1244" xr:uid="{00000000-0005-0000-0000-0000CF060000}"/>
    <cellStyle name="Input 0,0" xfId="1245" xr:uid="{00000000-0005-0000-0000-0000D0060000}"/>
    <cellStyle name="Input calculation" xfId="1246" xr:uid="{00000000-0005-0000-0000-0000D1060000}"/>
    <cellStyle name="Input data" xfId="1247" xr:uid="{00000000-0005-0000-0000-0000D2060000}"/>
    <cellStyle name="Input data 2" xfId="1248" xr:uid="{00000000-0005-0000-0000-0000D3060000}"/>
    <cellStyle name="Input data 2 2" xfId="2083" xr:uid="{00000000-0005-0000-0000-0000D4060000}"/>
    <cellStyle name="Input data 2 2 2" xfId="2969" xr:uid="{00000000-0005-0000-0000-0000D5060000}"/>
    <cellStyle name="Input data 2 2 2 2" xfId="4542" xr:uid="{81973703-E232-4991-8F8C-6E750AA7488B}"/>
    <cellStyle name="Input data 2 2 3" xfId="3394" xr:uid="{00000000-0005-0000-0000-0000D6060000}"/>
    <cellStyle name="Input data 2 2 3 2" xfId="4965" xr:uid="{8A71B714-667D-4E03-A6DF-7628856F375A}"/>
    <cellStyle name="Input data 2 2 4" xfId="3708" xr:uid="{8D6060E3-D430-4E3C-8E56-2BC73840B486}"/>
    <cellStyle name="Input data 2 3" xfId="2625" xr:uid="{00000000-0005-0000-0000-0000D7060000}"/>
    <cellStyle name="Input data 2 3 2" xfId="4208" xr:uid="{B326C5FF-7625-4899-B196-CD8591297572}"/>
    <cellStyle name="Input data 2 4" xfId="2463" xr:uid="{00000000-0005-0000-0000-0000D8060000}"/>
    <cellStyle name="Input data 2 4 2" xfId="4052" xr:uid="{28FB92A1-83AA-4161-8DD4-19DCE2DF70C0}"/>
    <cellStyle name="Input data 3" xfId="1249" xr:uid="{00000000-0005-0000-0000-0000D9060000}"/>
    <cellStyle name="Input data 3 2" xfId="2084" xr:uid="{00000000-0005-0000-0000-0000DA060000}"/>
    <cellStyle name="Input data 3 2 2" xfId="2970" xr:uid="{00000000-0005-0000-0000-0000DB060000}"/>
    <cellStyle name="Input data 3 2 2 2" xfId="4543" xr:uid="{194B5B98-EDC9-4A77-A643-7591E8C928BC}"/>
    <cellStyle name="Input data 3 2 3" xfId="3395" xr:uid="{00000000-0005-0000-0000-0000DC060000}"/>
    <cellStyle name="Input data 3 2 3 2" xfId="4966" xr:uid="{1611B5E0-6C46-4A29-9418-78E24B9ED8AB}"/>
    <cellStyle name="Input data 3 2 4" xfId="3709" xr:uid="{AF123F08-6902-43E5-88C2-F1B7EC1AA9EF}"/>
    <cellStyle name="Input data 3 3" xfId="2626" xr:uid="{00000000-0005-0000-0000-0000DD060000}"/>
    <cellStyle name="Input data 3 3 2" xfId="4209" xr:uid="{6B71B1CF-FD74-4B2C-B38A-822A768DB785}"/>
    <cellStyle name="Input data 3 4" xfId="2462" xr:uid="{00000000-0005-0000-0000-0000DE060000}"/>
    <cellStyle name="Input data 3 4 2" xfId="4051" xr:uid="{8725A6D5-404F-4886-9A97-61FD33DC0C44}"/>
    <cellStyle name="Input data 4" xfId="1250" xr:uid="{00000000-0005-0000-0000-0000DF060000}"/>
    <cellStyle name="Input data 4 2" xfId="2085" xr:uid="{00000000-0005-0000-0000-0000E0060000}"/>
    <cellStyle name="Input data 4 2 2" xfId="2971" xr:uid="{00000000-0005-0000-0000-0000E1060000}"/>
    <cellStyle name="Input data 4 2 2 2" xfId="4544" xr:uid="{9EE3711E-756F-4F6C-BD13-7C0E57B44D95}"/>
    <cellStyle name="Input data 4 2 3" xfId="3396" xr:uid="{00000000-0005-0000-0000-0000E2060000}"/>
    <cellStyle name="Input data 4 2 3 2" xfId="4967" xr:uid="{82DA6A48-637D-4F27-A47C-78B307A5EC11}"/>
    <cellStyle name="Input data 4 2 4" xfId="3710" xr:uid="{D62CA17E-DC92-4F8F-BD6D-9681C8C408EF}"/>
    <cellStyle name="Input data 4 3" xfId="2627" xr:uid="{00000000-0005-0000-0000-0000E3060000}"/>
    <cellStyle name="Input data 4 3 2" xfId="4210" xr:uid="{8305AE6D-3F0E-415A-AD5B-6A5449CF5043}"/>
    <cellStyle name="Input data 4 4" xfId="2461" xr:uid="{00000000-0005-0000-0000-0000E4060000}"/>
    <cellStyle name="Input data 4 4 2" xfId="4050" xr:uid="{41691741-174D-4146-9424-48B43DF98A01}"/>
    <cellStyle name="Input data 5" xfId="2082" xr:uid="{00000000-0005-0000-0000-0000E5060000}"/>
    <cellStyle name="Input data 5 2" xfId="2968" xr:uid="{00000000-0005-0000-0000-0000E6060000}"/>
    <cellStyle name="Input data 5 2 2" xfId="4541" xr:uid="{10E0E0C2-D4C0-42A9-B649-97AC0EC5A543}"/>
    <cellStyle name="Input data 5 3" xfId="3393" xr:uid="{00000000-0005-0000-0000-0000E7060000}"/>
    <cellStyle name="Input data 5 3 2" xfId="4964" xr:uid="{691D2D12-17EE-4CB9-8BA4-788EB9DF27F2}"/>
    <cellStyle name="Input data 5 4" xfId="3707" xr:uid="{7495C320-A4AE-405C-A5B5-1BF583FC9E02}"/>
    <cellStyle name="Input data 6" xfId="2624" xr:uid="{00000000-0005-0000-0000-0000E8060000}"/>
    <cellStyle name="Input data 6 2" xfId="4207" xr:uid="{F2A8FE0E-648D-468E-B75F-1AC2804265FE}"/>
    <cellStyle name="Input data 7" xfId="2464" xr:uid="{00000000-0005-0000-0000-0000E9060000}"/>
    <cellStyle name="Input data 7 2" xfId="4053" xr:uid="{3351288A-7E4F-4D49-A538-F89562E49765}"/>
    <cellStyle name="Input Decimal 0" xfId="1251" xr:uid="{00000000-0005-0000-0000-0000EA060000}"/>
    <cellStyle name="Input Decimal 0,00" xfId="1252" xr:uid="{00000000-0005-0000-0000-0000EB060000}"/>
    <cellStyle name="Input Decimal 0_7.2.3. CAPEX" xfId="1955" xr:uid="{00000000-0005-0000-0000-0000EC060000}"/>
    <cellStyle name="Input estimate" xfId="1253" xr:uid="{00000000-0005-0000-0000-0000ED060000}"/>
    <cellStyle name="Input estimate 2" xfId="1254" xr:uid="{00000000-0005-0000-0000-0000EE060000}"/>
    <cellStyle name="Input estimate 2 2" xfId="2087" xr:uid="{00000000-0005-0000-0000-0000EF060000}"/>
    <cellStyle name="Input estimate 2 2 2" xfId="2973" xr:uid="{00000000-0005-0000-0000-0000F0060000}"/>
    <cellStyle name="Input estimate 2 2 2 2" xfId="4546" xr:uid="{924FB35A-4B00-4F55-94D2-01D9445D244C}"/>
    <cellStyle name="Input estimate 2 2 3" xfId="3398" xr:uid="{00000000-0005-0000-0000-0000F1060000}"/>
    <cellStyle name="Input estimate 2 2 3 2" xfId="4969" xr:uid="{DCE67B02-2D1D-4F3F-A0E1-6FF1B4848DC9}"/>
    <cellStyle name="Input estimate 2 2 4" xfId="3712" xr:uid="{BF5CB808-B70C-4947-8245-D8F01A0AB82C}"/>
    <cellStyle name="Input estimate 2 3" xfId="2629" xr:uid="{00000000-0005-0000-0000-0000F2060000}"/>
    <cellStyle name="Input estimate 2 3 2" xfId="4212" xr:uid="{C05AE330-D07A-4CED-A042-1A72BAECCE42}"/>
    <cellStyle name="Input estimate 2 4" xfId="2459" xr:uid="{00000000-0005-0000-0000-0000F3060000}"/>
    <cellStyle name="Input estimate 2 4 2" xfId="4048" xr:uid="{9C4B4C63-00BC-4AF5-B137-4BF2402BC3BB}"/>
    <cellStyle name="Input estimate 3" xfId="1255" xr:uid="{00000000-0005-0000-0000-0000F4060000}"/>
    <cellStyle name="Input estimate 3 2" xfId="2088" xr:uid="{00000000-0005-0000-0000-0000F5060000}"/>
    <cellStyle name="Input estimate 3 2 2" xfId="2974" xr:uid="{00000000-0005-0000-0000-0000F6060000}"/>
    <cellStyle name="Input estimate 3 2 2 2" xfId="4547" xr:uid="{0177BF54-FE7E-42D5-A077-7D9E5C2494AB}"/>
    <cellStyle name="Input estimate 3 2 3" xfId="3399" xr:uid="{00000000-0005-0000-0000-0000F7060000}"/>
    <cellStyle name="Input estimate 3 2 3 2" xfId="4970" xr:uid="{36B15787-EC2B-4845-91BC-9250E9BBB249}"/>
    <cellStyle name="Input estimate 3 2 4" xfId="3713" xr:uid="{3FAC58ED-4A0C-42B8-8481-2CDC121EAC02}"/>
    <cellStyle name="Input estimate 3 3" xfId="2630" xr:uid="{00000000-0005-0000-0000-0000F8060000}"/>
    <cellStyle name="Input estimate 3 3 2" xfId="4213" xr:uid="{E6EC7ACE-6696-4B6F-A80E-F3B93B583754}"/>
    <cellStyle name="Input estimate 3 4" xfId="2458" xr:uid="{00000000-0005-0000-0000-0000F9060000}"/>
    <cellStyle name="Input estimate 3 4 2" xfId="4047" xr:uid="{846C52E6-71D3-477B-B573-2B82760683C1}"/>
    <cellStyle name="Input estimate 4" xfId="1256" xr:uid="{00000000-0005-0000-0000-0000FA060000}"/>
    <cellStyle name="Input estimate 4 2" xfId="2089" xr:uid="{00000000-0005-0000-0000-0000FB060000}"/>
    <cellStyle name="Input estimate 4 2 2" xfId="2975" xr:uid="{00000000-0005-0000-0000-0000FC060000}"/>
    <cellStyle name="Input estimate 4 2 2 2" xfId="4548" xr:uid="{595A6D36-09C8-4273-99CD-99760B281B7A}"/>
    <cellStyle name="Input estimate 4 2 3" xfId="3400" xr:uid="{00000000-0005-0000-0000-0000FD060000}"/>
    <cellStyle name="Input estimate 4 2 3 2" xfId="4971" xr:uid="{9D9987B4-3D38-4C13-BFA0-1A8C3748CC92}"/>
    <cellStyle name="Input estimate 4 2 4" xfId="3714" xr:uid="{200F38BA-46C3-4FA4-83A8-5202EDC72093}"/>
    <cellStyle name="Input estimate 4 3" xfId="2631" xr:uid="{00000000-0005-0000-0000-0000FE060000}"/>
    <cellStyle name="Input estimate 4 3 2" xfId="4214" xr:uid="{BE6CAA8B-BE9D-4A2B-B002-CED3B5ADCD5E}"/>
    <cellStyle name="Input estimate 4 4" xfId="2457" xr:uid="{00000000-0005-0000-0000-0000FF060000}"/>
    <cellStyle name="Input estimate 4 4 2" xfId="4046" xr:uid="{0DF3CD4B-4BEE-4B96-A24B-FFF667C493BE}"/>
    <cellStyle name="Input estimate 5" xfId="2086" xr:uid="{00000000-0005-0000-0000-000000070000}"/>
    <cellStyle name="Input estimate 5 2" xfId="2972" xr:uid="{00000000-0005-0000-0000-000001070000}"/>
    <cellStyle name="Input estimate 5 2 2" xfId="4545" xr:uid="{FA55CD43-8AFC-4356-9441-4EFA4AD62288}"/>
    <cellStyle name="Input estimate 5 3" xfId="3397" xr:uid="{00000000-0005-0000-0000-000002070000}"/>
    <cellStyle name="Input estimate 5 3 2" xfId="4968" xr:uid="{331EA99C-F4EE-4923-BF89-71B1C917C35F}"/>
    <cellStyle name="Input estimate 5 4" xfId="3711" xr:uid="{1B94CB9F-E9FC-4A69-A067-8F4054432EA6}"/>
    <cellStyle name="Input estimate 6" xfId="2628" xr:uid="{00000000-0005-0000-0000-000003070000}"/>
    <cellStyle name="Input estimate 6 2" xfId="4211" xr:uid="{5540889B-383D-43C4-B615-678059619640}"/>
    <cellStyle name="Input estimate 7" xfId="2460" xr:uid="{00000000-0005-0000-0000-000004070000}"/>
    <cellStyle name="Input estimate 7 2" xfId="4049" xr:uid="{E8E8BDF8-45B9-4A5A-8D6D-829CBCFDC20B}"/>
    <cellStyle name="Input from Scenario" xfId="1257" xr:uid="{00000000-0005-0000-0000-000005070000}"/>
    <cellStyle name="Input from Scenario 2" xfId="1258" xr:uid="{00000000-0005-0000-0000-000006070000}"/>
    <cellStyle name="Input from Scenario 2 2" xfId="2091" xr:uid="{00000000-0005-0000-0000-000007070000}"/>
    <cellStyle name="Input from Scenario 2 2 2" xfId="2977" xr:uid="{00000000-0005-0000-0000-000008070000}"/>
    <cellStyle name="Input from Scenario 2 2 2 2" xfId="4550" xr:uid="{784ED089-B79E-4A76-8526-58FCC11A1B98}"/>
    <cellStyle name="Input from Scenario 2 2 3" xfId="3402" xr:uid="{00000000-0005-0000-0000-000009070000}"/>
    <cellStyle name="Input from Scenario 2 2 3 2" xfId="4973" xr:uid="{04498D7B-F875-4D35-888F-96EE6FEB62E5}"/>
    <cellStyle name="Input from Scenario 2 2 4" xfId="3716" xr:uid="{6747779F-D1DB-45A7-9753-2569FBF56E82}"/>
    <cellStyle name="Input from Scenario 2 3" xfId="2633" xr:uid="{00000000-0005-0000-0000-00000A070000}"/>
    <cellStyle name="Input from Scenario 2 3 2" xfId="4216" xr:uid="{5B2BCA67-AC25-4267-9090-4C8E165DA1EB}"/>
    <cellStyle name="Input from Scenario 2 4" xfId="2455" xr:uid="{00000000-0005-0000-0000-00000B070000}"/>
    <cellStyle name="Input from Scenario 2 4 2" xfId="4044" xr:uid="{079B757B-8F3B-4921-8C0E-3BD0DC8B9C0E}"/>
    <cellStyle name="Input from Scenario 3" xfId="1259" xr:uid="{00000000-0005-0000-0000-00000C070000}"/>
    <cellStyle name="Input from Scenario 3 2" xfId="2092" xr:uid="{00000000-0005-0000-0000-00000D070000}"/>
    <cellStyle name="Input from Scenario 3 2 2" xfId="2978" xr:uid="{00000000-0005-0000-0000-00000E070000}"/>
    <cellStyle name="Input from Scenario 3 2 2 2" xfId="4551" xr:uid="{1691BC47-3039-4CC4-8CFA-2719E1259DA6}"/>
    <cellStyle name="Input from Scenario 3 2 3" xfId="3403" xr:uid="{00000000-0005-0000-0000-00000F070000}"/>
    <cellStyle name="Input from Scenario 3 2 3 2" xfId="4974" xr:uid="{FD6452FF-6F5A-498C-AD9A-38A394B8A118}"/>
    <cellStyle name="Input from Scenario 3 2 4" xfId="3717" xr:uid="{EF44B96F-6BE6-4113-B379-26EC8B0FDD22}"/>
    <cellStyle name="Input from Scenario 3 3" xfId="2634" xr:uid="{00000000-0005-0000-0000-000010070000}"/>
    <cellStyle name="Input from Scenario 3 3 2" xfId="4217" xr:uid="{3AE56B8F-A31E-4FF1-BBC0-CC91940F0C7B}"/>
    <cellStyle name="Input from Scenario 3 4" xfId="2454" xr:uid="{00000000-0005-0000-0000-000011070000}"/>
    <cellStyle name="Input from Scenario 3 4 2" xfId="4043" xr:uid="{199EDC01-68D3-42DB-8A10-92815D2E7ACD}"/>
    <cellStyle name="Input from Scenario 4" xfId="1260" xr:uid="{00000000-0005-0000-0000-000012070000}"/>
    <cellStyle name="Input from Scenario 4 2" xfId="2093" xr:uid="{00000000-0005-0000-0000-000013070000}"/>
    <cellStyle name="Input from Scenario 4 2 2" xfId="2979" xr:uid="{00000000-0005-0000-0000-000014070000}"/>
    <cellStyle name="Input from Scenario 4 2 2 2" xfId="4552" xr:uid="{907682EB-DC5F-47A5-A409-2B726BB6233A}"/>
    <cellStyle name="Input from Scenario 4 2 3" xfId="3404" xr:uid="{00000000-0005-0000-0000-000015070000}"/>
    <cellStyle name="Input from Scenario 4 2 3 2" xfId="4975" xr:uid="{93A4B180-B789-44E5-AA80-93F8E6EC7F8B}"/>
    <cellStyle name="Input from Scenario 4 2 4" xfId="3718" xr:uid="{A5BF2CB8-5EA5-4D6A-B0F5-B7FFD3ED9635}"/>
    <cellStyle name="Input from Scenario 4 3" xfId="2635" xr:uid="{00000000-0005-0000-0000-000016070000}"/>
    <cellStyle name="Input from Scenario 4 3 2" xfId="4218" xr:uid="{24A69816-3C0D-4768-9ED0-186FC3A8DD48}"/>
    <cellStyle name="Input from Scenario 4 4" xfId="2453" xr:uid="{00000000-0005-0000-0000-000017070000}"/>
    <cellStyle name="Input from Scenario 4 4 2" xfId="4042" xr:uid="{91D2CAD3-013D-4B04-B917-FE452C8B1C4A}"/>
    <cellStyle name="Input from Scenario 5" xfId="2090" xr:uid="{00000000-0005-0000-0000-000018070000}"/>
    <cellStyle name="Input from Scenario 5 2" xfId="2976" xr:uid="{00000000-0005-0000-0000-000019070000}"/>
    <cellStyle name="Input from Scenario 5 2 2" xfId="4549" xr:uid="{5A972ECE-CEFF-4769-8C98-4F1EDF7CC6BC}"/>
    <cellStyle name="Input from Scenario 5 3" xfId="3401" xr:uid="{00000000-0005-0000-0000-00001A070000}"/>
    <cellStyle name="Input from Scenario 5 3 2" xfId="4972" xr:uid="{C6623C9B-7DA9-4877-BBB9-4CF01D484BF9}"/>
    <cellStyle name="Input from Scenario 5 4" xfId="3715" xr:uid="{8AD68EC4-3F3C-4197-AAC0-A3213CB5A2C0}"/>
    <cellStyle name="Input from Scenario 6" xfId="2632" xr:uid="{00000000-0005-0000-0000-00001B070000}"/>
    <cellStyle name="Input from Scenario 6 2" xfId="4215" xr:uid="{1AB084F4-D302-40E9-8AE6-7224BAD1195E}"/>
    <cellStyle name="Input from Scenario 7" xfId="2456" xr:uid="{00000000-0005-0000-0000-00001C070000}"/>
    <cellStyle name="Input from Scenario 7 2" xfId="4045" xr:uid="{D4285536-9555-4BBB-8483-514BB1A8632D}"/>
    <cellStyle name="Input link" xfId="1261" xr:uid="{00000000-0005-0000-0000-00001D070000}"/>
    <cellStyle name="Input link (different workbook)" xfId="1262" xr:uid="{00000000-0005-0000-0000-00001E070000}"/>
    <cellStyle name="Input Link_FAP Forecasting v1.03" xfId="1263" xr:uid="{00000000-0005-0000-0000-00001F070000}"/>
    <cellStyle name="Input parameter" xfId="1264" xr:uid="{00000000-0005-0000-0000-000020070000}"/>
    <cellStyle name="Input parameter 2" xfId="1265" xr:uid="{00000000-0005-0000-0000-000021070000}"/>
    <cellStyle name="Input parameter 2 2" xfId="2095" xr:uid="{00000000-0005-0000-0000-000022070000}"/>
    <cellStyle name="Input parameter 2 2 2" xfId="2981" xr:uid="{00000000-0005-0000-0000-000023070000}"/>
    <cellStyle name="Input parameter 2 2 2 2" xfId="4554" xr:uid="{EDCD8F26-E906-43C5-A263-7EE7DD426594}"/>
    <cellStyle name="Input parameter 2 2 3" xfId="3406" xr:uid="{00000000-0005-0000-0000-000024070000}"/>
    <cellStyle name="Input parameter 2 2 3 2" xfId="4977" xr:uid="{70D8AB97-5BBC-4809-89F3-A11FD2B1C84F}"/>
    <cellStyle name="Input parameter 2 2 4" xfId="3720" xr:uid="{A32BD5A9-1318-41CE-83A3-9F6149877240}"/>
    <cellStyle name="Input parameter 2 3" xfId="2637" xr:uid="{00000000-0005-0000-0000-000025070000}"/>
    <cellStyle name="Input parameter 2 3 2" xfId="4220" xr:uid="{C622F3CC-6BDB-49AE-855C-0B13B4323C3C}"/>
    <cellStyle name="Input parameter 2 4" xfId="2451" xr:uid="{00000000-0005-0000-0000-000026070000}"/>
    <cellStyle name="Input parameter 2 4 2" xfId="4040" xr:uid="{4590DB1C-5C84-43B1-89DA-3F5800CFE0E6}"/>
    <cellStyle name="Input parameter 3" xfId="1266" xr:uid="{00000000-0005-0000-0000-000027070000}"/>
    <cellStyle name="Input parameter 3 2" xfId="2096" xr:uid="{00000000-0005-0000-0000-000028070000}"/>
    <cellStyle name="Input parameter 3 2 2" xfId="2982" xr:uid="{00000000-0005-0000-0000-000029070000}"/>
    <cellStyle name="Input parameter 3 2 2 2" xfId="4555" xr:uid="{22B3154E-4EC0-45B5-A8CD-AE4D7A26BE94}"/>
    <cellStyle name="Input parameter 3 2 3" xfId="3407" xr:uid="{00000000-0005-0000-0000-00002A070000}"/>
    <cellStyle name="Input parameter 3 2 3 2" xfId="4978" xr:uid="{CA661F8B-6CD9-454E-9714-2535DAE0A872}"/>
    <cellStyle name="Input parameter 3 2 4" xfId="3721" xr:uid="{CCCBFF6E-9FA9-4A05-9A09-D7F2F56C46E2}"/>
    <cellStyle name="Input parameter 3 3" xfId="2638" xr:uid="{00000000-0005-0000-0000-00002B070000}"/>
    <cellStyle name="Input parameter 3 3 2" xfId="4221" xr:uid="{158F5AEB-3165-4A16-ACD0-8830AF002C84}"/>
    <cellStyle name="Input parameter 3 4" xfId="2450" xr:uid="{00000000-0005-0000-0000-00002C070000}"/>
    <cellStyle name="Input parameter 3 4 2" xfId="4039" xr:uid="{4A3F2978-4044-454E-AE4E-4990270CFDBC}"/>
    <cellStyle name="Input parameter 4" xfId="1267" xr:uid="{00000000-0005-0000-0000-00002D070000}"/>
    <cellStyle name="Input parameter 4 2" xfId="2097" xr:uid="{00000000-0005-0000-0000-00002E070000}"/>
    <cellStyle name="Input parameter 4 2 2" xfId="2983" xr:uid="{00000000-0005-0000-0000-00002F070000}"/>
    <cellStyle name="Input parameter 4 2 2 2" xfId="4556" xr:uid="{06D3CB17-6E8C-4E5A-BC34-D3665EC68CB4}"/>
    <cellStyle name="Input parameter 4 2 3" xfId="3408" xr:uid="{00000000-0005-0000-0000-000030070000}"/>
    <cellStyle name="Input parameter 4 2 3 2" xfId="4979" xr:uid="{5BFD332B-3295-42B7-BF8C-B99A206BA4CA}"/>
    <cellStyle name="Input parameter 4 2 4" xfId="3722" xr:uid="{DD859603-AB92-43C9-9F26-D1D42FFEF292}"/>
    <cellStyle name="Input parameter 4 3" xfId="2639" xr:uid="{00000000-0005-0000-0000-000031070000}"/>
    <cellStyle name="Input parameter 4 3 2" xfId="4222" xr:uid="{1E283D9F-A2CA-40FD-A4B3-43BE2A075B39}"/>
    <cellStyle name="Input parameter 4 4" xfId="2449" xr:uid="{00000000-0005-0000-0000-000032070000}"/>
    <cellStyle name="Input parameter 4 4 2" xfId="4038" xr:uid="{020569D2-15D5-4A70-82A0-64D7F560BFDA}"/>
    <cellStyle name="Input parameter 5" xfId="2094" xr:uid="{00000000-0005-0000-0000-000033070000}"/>
    <cellStyle name="Input parameter 5 2" xfId="2980" xr:uid="{00000000-0005-0000-0000-000034070000}"/>
    <cellStyle name="Input parameter 5 2 2" xfId="4553" xr:uid="{EF9F6C15-F942-40B6-856B-E2D42E30B151}"/>
    <cellStyle name="Input parameter 5 3" xfId="3405" xr:uid="{00000000-0005-0000-0000-000035070000}"/>
    <cellStyle name="Input parameter 5 3 2" xfId="4976" xr:uid="{13CCFDDA-BC88-4839-AAAD-8987DF3EE151}"/>
    <cellStyle name="Input parameter 5 4" xfId="3719" xr:uid="{0A8370B6-FB30-4DEF-AAAC-7EDD71C75F31}"/>
    <cellStyle name="Input parameter 6" xfId="2636" xr:uid="{00000000-0005-0000-0000-000036070000}"/>
    <cellStyle name="Input parameter 6 2" xfId="4219" xr:uid="{B9263DD4-8B35-4728-91D8-A1862FAF5F0B}"/>
    <cellStyle name="Input parameter 7" xfId="2452" xr:uid="{00000000-0005-0000-0000-000037070000}"/>
    <cellStyle name="Input parameter 7 2" xfId="4041" xr:uid="{EE927EC5-00F8-497F-BFC2-DECA41069DDA}"/>
    <cellStyle name="Input Percent 0" xfId="1268" xr:uid="{00000000-0005-0000-0000-000038070000}"/>
    <cellStyle name="Input Percent 0,00" xfId="1269" xr:uid="{00000000-0005-0000-0000-000039070000}"/>
    <cellStyle name="Input Percent 0_0309 XI" xfId="1956" xr:uid="{00000000-0005-0000-0000-00003A070000}"/>
    <cellStyle name="Input to be checked" xfId="1270" xr:uid="{00000000-0005-0000-0000-00003B070000}"/>
    <cellStyle name="Input to be checked 2" xfId="1271" xr:uid="{00000000-0005-0000-0000-00003C070000}"/>
    <cellStyle name="Input to be checked 2 2" xfId="1929" xr:uid="{00000000-0005-0000-0000-00003D070000}"/>
    <cellStyle name="Input to be checked 2 2 2" xfId="2860" xr:uid="{00000000-0005-0000-0000-00003E070000}"/>
    <cellStyle name="Input to be checked 2 2 2 2" xfId="4439" xr:uid="{535881B4-EAA3-4697-B912-9C885F8EEAAE}"/>
    <cellStyle name="Input to be checked 2 2 3" xfId="3292" xr:uid="{00000000-0005-0000-0000-00003F070000}"/>
    <cellStyle name="Input to be checked 2 2 3 2" xfId="4863" xr:uid="{78B85BEE-835D-4F58-A943-7A860BFC896F}"/>
    <cellStyle name="Input to be checked 2 2 4" xfId="3654" xr:uid="{B4E8A50C-E705-4F61-A64C-5F997AC0DC9A}"/>
    <cellStyle name="Input to be checked 2 3" xfId="2641" xr:uid="{00000000-0005-0000-0000-000040070000}"/>
    <cellStyle name="Input to be checked 2 3 2" xfId="4224" xr:uid="{197256D2-4318-4B2B-B0CF-B4B463741DB4}"/>
    <cellStyle name="Input to be checked 2 4" xfId="2447" xr:uid="{00000000-0005-0000-0000-000041070000}"/>
    <cellStyle name="Input to be checked 2 4 2" xfId="4036" xr:uid="{7CFE4570-ADC9-44A9-BF18-E9FF57BCEFFD}"/>
    <cellStyle name="Input to be checked 3" xfId="1272" xr:uid="{00000000-0005-0000-0000-000042070000}"/>
    <cellStyle name="Input to be checked 3 2" xfId="2099" xr:uid="{00000000-0005-0000-0000-000043070000}"/>
    <cellStyle name="Input to be checked 3 2 2" xfId="2985" xr:uid="{00000000-0005-0000-0000-000044070000}"/>
    <cellStyle name="Input to be checked 3 2 2 2" xfId="4558" xr:uid="{CAA701CD-CC5F-4419-8012-1EFDDAD065C2}"/>
    <cellStyle name="Input to be checked 3 2 3" xfId="3410" xr:uid="{00000000-0005-0000-0000-000045070000}"/>
    <cellStyle name="Input to be checked 3 2 3 2" xfId="4981" xr:uid="{1FE1987E-DFFC-458E-B61E-7B3C5DB0E502}"/>
    <cellStyle name="Input to be checked 3 2 4" xfId="3724" xr:uid="{BE816817-4478-4B3B-A863-44AD285F8F7E}"/>
    <cellStyle name="Input to be checked 3 3" xfId="2642" xr:uid="{00000000-0005-0000-0000-000046070000}"/>
    <cellStyle name="Input to be checked 3 3 2" xfId="4225" xr:uid="{E835D9A1-B15A-41BD-97F4-A55A4B0D2BE4}"/>
    <cellStyle name="Input to be checked 3 4" xfId="2446" xr:uid="{00000000-0005-0000-0000-000047070000}"/>
    <cellStyle name="Input to be checked 3 4 2" xfId="4035" xr:uid="{64DE75AD-C9A6-4311-B446-0F6FEC002215}"/>
    <cellStyle name="Input to be checked 4" xfId="1273" xr:uid="{00000000-0005-0000-0000-000048070000}"/>
    <cellStyle name="Input to be checked 4 2" xfId="2100" xr:uid="{00000000-0005-0000-0000-000049070000}"/>
    <cellStyle name="Input to be checked 4 2 2" xfId="2986" xr:uid="{00000000-0005-0000-0000-00004A070000}"/>
    <cellStyle name="Input to be checked 4 2 2 2" xfId="4559" xr:uid="{00FB6290-813E-4251-8FB6-1670FCDB69DE}"/>
    <cellStyle name="Input to be checked 4 2 3" xfId="3411" xr:uid="{00000000-0005-0000-0000-00004B070000}"/>
    <cellStyle name="Input to be checked 4 2 3 2" xfId="4982" xr:uid="{9C82FF51-32BA-48D1-94C6-16FE19E2B1D1}"/>
    <cellStyle name="Input to be checked 4 2 4" xfId="3725" xr:uid="{9101ADBA-13CF-4EA7-8E49-8BD74BA5AEB1}"/>
    <cellStyle name="Input to be checked 4 3" xfId="2643" xr:uid="{00000000-0005-0000-0000-00004C070000}"/>
    <cellStyle name="Input to be checked 4 3 2" xfId="4226" xr:uid="{42F5D21A-03D8-44D1-BDED-B0BCBD0921C4}"/>
    <cellStyle name="Input to be checked 4 4" xfId="2445" xr:uid="{00000000-0005-0000-0000-00004D070000}"/>
    <cellStyle name="Input to be checked 4 4 2" xfId="4034" xr:uid="{AEF3EA5C-EA34-44FB-A755-1B01F346A678}"/>
    <cellStyle name="Input to be checked 5" xfId="2098" xr:uid="{00000000-0005-0000-0000-00004E070000}"/>
    <cellStyle name="Input to be checked 5 2" xfId="2984" xr:uid="{00000000-0005-0000-0000-00004F070000}"/>
    <cellStyle name="Input to be checked 5 2 2" xfId="4557" xr:uid="{FE03F7BA-1F4A-4414-9A65-F047B29BE588}"/>
    <cellStyle name="Input to be checked 5 3" xfId="3409" xr:uid="{00000000-0005-0000-0000-000050070000}"/>
    <cellStyle name="Input to be checked 5 3 2" xfId="4980" xr:uid="{A5438305-A289-495F-81C9-F038BA4E83DB}"/>
    <cellStyle name="Input to be checked 5 4" xfId="3723" xr:uid="{D301250F-58B4-4687-88C3-C45D070312CA}"/>
    <cellStyle name="Input to be checked 6" xfId="2640" xr:uid="{00000000-0005-0000-0000-000051070000}"/>
    <cellStyle name="Input to be checked 6 2" xfId="4223" xr:uid="{E90A6FF0-B23D-4BF4-A621-121A3CE74A7F}"/>
    <cellStyle name="Input to be checked 7" xfId="2448" xr:uid="{00000000-0005-0000-0000-000052070000}"/>
    <cellStyle name="Input to be checked 7 2" xfId="4037" xr:uid="{86689C8E-9C80-4E2D-8745-937F74961D50}"/>
    <cellStyle name="Input%" xfId="1274" xr:uid="{00000000-0005-0000-0000-000053070000}"/>
    <cellStyle name="Input, 0 dec" xfId="1275" xr:uid="{00000000-0005-0000-0000-000054070000}"/>
    <cellStyle name="Input, 1 dec" xfId="1276" xr:uid="{00000000-0005-0000-0000-000055070000}"/>
    <cellStyle name="Input, 2 dec" xfId="1277" xr:uid="{00000000-0005-0000-0000-000056070000}"/>
    <cellStyle name="Input[#]" xfId="1278" xr:uid="{00000000-0005-0000-0000-000057070000}"/>
    <cellStyle name="Input0" xfId="1279" xr:uid="{00000000-0005-0000-0000-000058070000}"/>
    <cellStyle name="InputBlueFont" xfId="1280" xr:uid="{00000000-0005-0000-0000-000059070000}"/>
    <cellStyle name="InputDate" xfId="1281" xr:uid="{00000000-0005-0000-0000-00005A070000}"/>
    <cellStyle name="InputDecimal" xfId="1282" xr:uid="{00000000-0005-0000-0000-00005B070000}"/>
    <cellStyle name="InputDecimal 2" xfId="1283" xr:uid="{00000000-0005-0000-0000-00005C070000}"/>
    <cellStyle name="InputValue" xfId="1284" xr:uid="{00000000-0005-0000-0000-00005D070000}"/>
    <cellStyle name="Integer" xfId="1285" xr:uid="{00000000-0005-0000-0000-00005E070000}"/>
    <cellStyle name="Invisible" xfId="1286" xr:uid="{00000000-0005-0000-0000-00005F070000}"/>
    <cellStyle name="Invisible 2" xfId="1957" xr:uid="{00000000-0005-0000-0000-000060070000}"/>
    <cellStyle name="ip0 -InpPercent" xfId="1287" xr:uid="{00000000-0005-0000-0000-000061070000}"/>
    <cellStyle name="ip1 -InpPercent" xfId="1288" xr:uid="{00000000-0005-0000-0000-000062070000}"/>
    <cellStyle name="ip2 -InpPercent" xfId="1289" xr:uid="{00000000-0005-0000-0000-000063070000}"/>
    <cellStyle name="ip3 -InpPercent" xfId="1290" xr:uid="{00000000-0005-0000-0000-000064070000}"/>
    <cellStyle name="iParenth0" xfId="1291" xr:uid="{00000000-0005-0000-0000-000065070000}"/>
    <cellStyle name="iParenth0 2" xfId="1292" xr:uid="{00000000-0005-0000-0000-000066070000}"/>
    <cellStyle name="iParenth0 2 2" xfId="2102" xr:uid="{00000000-0005-0000-0000-000067070000}"/>
    <cellStyle name="iParenth0 2 2 2" xfId="2988" xr:uid="{00000000-0005-0000-0000-000068070000}"/>
    <cellStyle name="iParenth0 2 2 2 2" xfId="4561" xr:uid="{B0F345BE-F71E-489F-9A35-91E5F569AAA2}"/>
    <cellStyle name="iParenth0 2 2 3" xfId="3413" xr:uid="{00000000-0005-0000-0000-000069070000}"/>
    <cellStyle name="iParenth0 2 2 3 2" xfId="4984" xr:uid="{3EC7C2E2-53E4-4571-98F3-B3562261EAA6}"/>
    <cellStyle name="iParenth0 2 2 4" xfId="3727" xr:uid="{0B4A1058-A3CC-4740-9445-DFC056EAA4BF}"/>
    <cellStyle name="iParenth0 2 3" xfId="2645" xr:uid="{00000000-0005-0000-0000-00006A070000}"/>
    <cellStyle name="iParenth0 2 3 2" xfId="4228" xr:uid="{323B6E5A-8ED3-4237-8274-29DBA247B3AB}"/>
    <cellStyle name="iParenth0 2 4" xfId="2443" xr:uid="{00000000-0005-0000-0000-00006B070000}"/>
    <cellStyle name="iParenth0 2 4 2" xfId="4032" xr:uid="{8F272866-3D0C-425B-8622-CCA6A020C8A8}"/>
    <cellStyle name="iParenth0 3" xfId="1293" xr:uid="{00000000-0005-0000-0000-00006C070000}"/>
    <cellStyle name="iParenth0 3 2" xfId="2103" xr:uid="{00000000-0005-0000-0000-00006D070000}"/>
    <cellStyle name="iParenth0 3 2 2" xfId="2989" xr:uid="{00000000-0005-0000-0000-00006E070000}"/>
    <cellStyle name="iParenth0 3 2 2 2" xfId="4562" xr:uid="{0008AB4E-6A6E-456A-BB6D-A0F04D4633BB}"/>
    <cellStyle name="iParenth0 3 2 3" xfId="3414" xr:uid="{00000000-0005-0000-0000-00006F070000}"/>
    <cellStyle name="iParenth0 3 2 3 2" xfId="4985" xr:uid="{E314DDA9-3B3A-4CA4-9DEB-03B9B186CDA2}"/>
    <cellStyle name="iParenth0 3 2 4" xfId="3728" xr:uid="{2EF174C7-FA00-4910-AA0C-3E2A431B8BEF}"/>
    <cellStyle name="iParenth0 3 3" xfId="2646" xr:uid="{00000000-0005-0000-0000-000070070000}"/>
    <cellStyle name="iParenth0 3 3 2" xfId="4229" xr:uid="{37D6D5D0-F96C-48DF-A6E4-C299EA07EE4B}"/>
    <cellStyle name="iParenth0 3 4" xfId="2442" xr:uid="{00000000-0005-0000-0000-000071070000}"/>
    <cellStyle name="iParenth0 3 4 2" xfId="4031" xr:uid="{76BEB38E-1C19-4CEB-9AB4-91F8E64F2E35}"/>
    <cellStyle name="iParenth0 4" xfId="1294" xr:uid="{00000000-0005-0000-0000-000072070000}"/>
    <cellStyle name="iParenth0 4 2" xfId="2104" xr:uid="{00000000-0005-0000-0000-000073070000}"/>
    <cellStyle name="iParenth0 4 2 2" xfId="2990" xr:uid="{00000000-0005-0000-0000-000074070000}"/>
    <cellStyle name="iParenth0 4 2 2 2" xfId="4563" xr:uid="{1853FAD4-7171-489A-A20F-FBF94599588E}"/>
    <cellStyle name="iParenth0 4 2 3" xfId="3415" xr:uid="{00000000-0005-0000-0000-000075070000}"/>
    <cellStyle name="iParenth0 4 2 3 2" xfId="4986" xr:uid="{8E31179B-6AFC-4E83-B089-5F3F0CAA8B8E}"/>
    <cellStyle name="iParenth0 4 2 4" xfId="3729" xr:uid="{9AC25231-9AE5-4D53-87F8-43D37D051452}"/>
    <cellStyle name="iParenth0 4 3" xfId="2647" xr:uid="{00000000-0005-0000-0000-000076070000}"/>
    <cellStyle name="iParenth0 4 3 2" xfId="4230" xr:uid="{F27E6A25-2B19-4080-915F-EA21F245663C}"/>
    <cellStyle name="iParenth0 4 4" xfId="2441" xr:uid="{00000000-0005-0000-0000-000077070000}"/>
    <cellStyle name="iParenth0 4 4 2" xfId="4030" xr:uid="{ECC771ED-8669-44DE-AA25-448669701623}"/>
    <cellStyle name="iParenth0 5" xfId="2101" xr:uid="{00000000-0005-0000-0000-000078070000}"/>
    <cellStyle name="iParenth0 5 2" xfId="2987" xr:uid="{00000000-0005-0000-0000-000079070000}"/>
    <cellStyle name="iParenth0 5 2 2" xfId="4560" xr:uid="{A3C8A0A4-4640-41C8-9A01-1AE5AC0047A3}"/>
    <cellStyle name="iParenth0 5 3" xfId="3412" xr:uid="{00000000-0005-0000-0000-00007A070000}"/>
    <cellStyle name="iParenth0 5 3 2" xfId="4983" xr:uid="{E8F6F7CF-2280-4454-B728-1AE27B2DB5FF}"/>
    <cellStyle name="iParenth0 5 4" xfId="3726" xr:uid="{B5D0650D-2016-4613-B79E-A7B0E2F40E1C}"/>
    <cellStyle name="iParenth0 6" xfId="2644" xr:uid="{00000000-0005-0000-0000-00007B070000}"/>
    <cellStyle name="iParenth0 6 2" xfId="4227" xr:uid="{C590AFF2-C989-4166-AB11-3F08ECA382DA}"/>
    <cellStyle name="iParenth0 7" xfId="2444" xr:uid="{00000000-0005-0000-0000-00007C070000}"/>
    <cellStyle name="iParenth0 7 2" xfId="4033" xr:uid="{9505186A-466A-4BDD-AAFA-A2495A69861D}"/>
    <cellStyle name="iParenth2" xfId="1295" xr:uid="{00000000-0005-0000-0000-00007D070000}"/>
    <cellStyle name="iParenth2 2" xfId="1296" xr:uid="{00000000-0005-0000-0000-00007E070000}"/>
    <cellStyle name="iParenth2 2 2" xfId="2105" xr:uid="{00000000-0005-0000-0000-00007F070000}"/>
    <cellStyle name="iParenth2 2 2 2" xfId="2991" xr:uid="{00000000-0005-0000-0000-000080070000}"/>
    <cellStyle name="iParenth2 2 2 2 2" xfId="4564" xr:uid="{10FDCD11-0738-4C05-A91B-61DFD2EFEECD}"/>
    <cellStyle name="iParenth2 2 2 3" xfId="3416" xr:uid="{00000000-0005-0000-0000-000081070000}"/>
    <cellStyle name="iParenth2 2 2 3 2" xfId="4987" xr:uid="{20FAADD1-0388-4B1E-AF43-50761577C6E6}"/>
    <cellStyle name="iParenth2 2 2 4" xfId="3730" xr:uid="{35AF5835-0351-4C56-90FD-D67E77D3A1F8}"/>
    <cellStyle name="iParenth2 2 3" xfId="2649" xr:uid="{00000000-0005-0000-0000-000082070000}"/>
    <cellStyle name="iParenth2 2 3 2" xfId="4232" xr:uid="{FD408AB7-DFDC-41B3-A5FF-0152979F6C90}"/>
    <cellStyle name="iParenth2 2 4" xfId="2439" xr:uid="{00000000-0005-0000-0000-000083070000}"/>
    <cellStyle name="iParenth2 2 4 2" xfId="4028" xr:uid="{E987FBBD-9D91-468A-A0A9-88CBDFC59A41}"/>
    <cellStyle name="iParenth2 3" xfId="1297" xr:uid="{00000000-0005-0000-0000-000084070000}"/>
    <cellStyle name="iParenth2 3 2" xfId="2106" xr:uid="{00000000-0005-0000-0000-000085070000}"/>
    <cellStyle name="iParenth2 3 2 2" xfId="2992" xr:uid="{00000000-0005-0000-0000-000086070000}"/>
    <cellStyle name="iParenth2 3 2 2 2" xfId="4565" xr:uid="{FA91E179-8E77-4080-B4B0-E92A5DD4BCF8}"/>
    <cellStyle name="iParenth2 3 2 3" xfId="3417" xr:uid="{00000000-0005-0000-0000-000087070000}"/>
    <cellStyle name="iParenth2 3 2 3 2" xfId="4988" xr:uid="{82C66A9E-2019-482B-AEBA-D63929DA57AB}"/>
    <cellStyle name="iParenth2 3 2 4" xfId="3731" xr:uid="{F8C2957D-1D61-472D-8DDE-B2552169A41A}"/>
    <cellStyle name="iParenth2 3 3" xfId="2650" xr:uid="{00000000-0005-0000-0000-000088070000}"/>
    <cellStyle name="iParenth2 3 3 2" xfId="4233" xr:uid="{53046A18-21E7-40C3-97C9-8C35C51DABD4}"/>
    <cellStyle name="iParenth2 3 4" xfId="2438" xr:uid="{00000000-0005-0000-0000-000089070000}"/>
    <cellStyle name="iParenth2 3 4 2" xfId="4027" xr:uid="{43CC18D5-2FF2-49F7-86E4-05AEEE730E81}"/>
    <cellStyle name="iParenth2 4" xfId="1298" xr:uid="{00000000-0005-0000-0000-00008A070000}"/>
    <cellStyle name="iParenth2 4 2" xfId="2107" xr:uid="{00000000-0005-0000-0000-00008B070000}"/>
    <cellStyle name="iParenth2 4 2 2" xfId="2993" xr:uid="{00000000-0005-0000-0000-00008C070000}"/>
    <cellStyle name="iParenth2 4 2 2 2" xfId="4566" xr:uid="{534B35A3-7A38-4DE7-A1E4-AD6A6A618458}"/>
    <cellStyle name="iParenth2 4 2 3" xfId="3418" xr:uid="{00000000-0005-0000-0000-00008D070000}"/>
    <cellStyle name="iParenth2 4 2 3 2" xfId="4989" xr:uid="{D6980B6C-8AEE-4F4F-A566-11C975A9059A}"/>
    <cellStyle name="iParenth2 4 2 4" xfId="3732" xr:uid="{899251C0-D687-451B-A50F-FCF11CCB305D}"/>
    <cellStyle name="iParenth2 4 3" xfId="2651" xr:uid="{00000000-0005-0000-0000-00008E070000}"/>
    <cellStyle name="iParenth2 4 3 2" xfId="4234" xr:uid="{477B6D04-AC8E-470C-9378-ADEDC63A3486}"/>
    <cellStyle name="iParenth2 4 4" xfId="2437" xr:uid="{00000000-0005-0000-0000-00008F070000}"/>
    <cellStyle name="iParenth2 4 4 2" xfId="4026" xr:uid="{C037C4F1-2008-48D0-A6A6-25F780229177}"/>
    <cellStyle name="iParenth2 5" xfId="2264" xr:uid="{00000000-0005-0000-0000-000090070000}"/>
    <cellStyle name="iParenth2 5 2" xfId="3150" xr:uid="{00000000-0005-0000-0000-000091070000}"/>
    <cellStyle name="iParenth2 5 2 2" xfId="4723" xr:uid="{F7D147E7-F132-4DE7-81FD-A95DAE8D6FAF}"/>
    <cellStyle name="iParenth2 5 3" xfId="3575" xr:uid="{00000000-0005-0000-0000-000092070000}"/>
    <cellStyle name="iParenth2 5 3 2" xfId="5146" xr:uid="{0FAD921D-D9C7-4921-B90C-930C124D8C52}"/>
    <cellStyle name="iParenth2 5 4" xfId="3875" xr:uid="{0980F595-F019-4876-ACAB-448B2B30ACCA}"/>
    <cellStyle name="iParenth2 6" xfId="2648" xr:uid="{00000000-0005-0000-0000-000093070000}"/>
    <cellStyle name="iParenth2 6 2" xfId="4231" xr:uid="{828B0D38-D089-464D-8DBD-19F9D03D00BB}"/>
    <cellStyle name="iParenth2 7" xfId="2440" xr:uid="{00000000-0005-0000-0000-000094070000}"/>
    <cellStyle name="iParenth2 7 2" xfId="4029" xr:uid="{9AA63461-8F01-42EF-851A-33D0ED3CE834}"/>
    <cellStyle name="iPercent0" xfId="1299" xr:uid="{00000000-0005-0000-0000-000095070000}"/>
    <cellStyle name="iPercent0 2" xfId="1300" xr:uid="{00000000-0005-0000-0000-000096070000}"/>
    <cellStyle name="iPercent0 2 2" xfId="2262" xr:uid="{00000000-0005-0000-0000-000097070000}"/>
    <cellStyle name="iPercent0 2 2 2" xfId="3148" xr:uid="{00000000-0005-0000-0000-000098070000}"/>
    <cellStyle name="iPercent0 2 2 2 2" xfId="4721" xr:uid="{D5D9DC67-0B10-4E96-BAE1-86CC367FC938}"/>
    <cellStyle name="iPercent0 2 2 3" xfId="3573" xr:uid="{00000000-0005-0000-0000-000099070000}"/>
    <cellStyle name="iPercent0 2 2 3 2" xfId="5144" xr:uid="{B765D844-7BC9-4499-8FBC-D7E8F2A351ED}"/>
    <cellStyle name="iPercent0 2 2 4" xfId="3874" xr:uid="{096F55E6-FB51-4811-9CC4-7BA4C3246CC5}"/>
    <cellStyle name="iPercent0 2 3" xfId="2653" xr:uid="{00000000-0005-0000-0000-00009A070000}"/>
    <cellStyle name="iPercent0 2 3 2" xfId="4236" xr:uid="{74143BB3-58C4-4587-9A55-BED3EDD724C7}"/>
    <cellStyle name="iPercent0 2 4" xfId="2435" xr:uid="{00000000-0005-0000-0000-00009B070000}"/>
    <cellStyle name="iPercent0 2 4 2" xfId="4024" xr:uid="{2732BFD1-7382-4D29-A662-1106BD17573E}"/>
    <cellStyle name="iPercent0 3" xfId="1301" xr:uid="{00000000-0005-0000-0000-00009C070000}"/>
    <cellStyle name="iPercent0 3 2" xfId="2109" xr:uid="{00000000-0005-0000-0000-00009D070000}"/>
    <cellStyle name="iPercent0 3 2 2" xfId="2995" xr:uid="{00000000-0005-0000-0000-00009E070000}"/>
    <cellStyle name="iPercent0 3 2 2 2" xfId="4568" xr:uid="{8C9B2703-E048-4C57-9053-844D97506656}"/>
    <cellStyle name="iPercent0 3 2 3" xfId="3420" xr:uid="{00000000-0005-0000-0000-00009F070000}"/>
    <cellStyle name="iPercent0 3 2 3 2" xfId="4991" xr:uid="{157784D5-2BFD-44F3-AFC0-495EF4FCF392}"/>
    <cellStyle name="iPercent0 3 2 4" xfId="3734" xr:uid="{B0A20237-0697-47F9-A76C-25E699C8EDC5}"/>
    <cellStyle name="iPercent0 3 3" xfId="2654" xr:uid="{00000000-0005-0000-0000-0000A0070000}"/>
    <cellStyle name="iPercent0 3 3 2" xfId="4237" xr:uid="{EDA39DF9-553A-469B-83B6-6B7D7D13DFC4}"/>
    <cellStyle name="iPercent0 3 4" xfId="2434" xr:uid="{00000000-0005-0000-0000-0000A1070000}"/>
    <cellStyle name="iPercent0 3 4 2" xfId="4023" xr:uid="{2266F05A-CB71-4E30-89DA-EE0D92394E8D}"/>
    <cellStyle name="iPercent0 4" xfId="1302" xr:uid="{00000000-0005-0000-0000-0000A2070000}"/>
    <cellStyle name="iPercent0 4 2" xfId="2110" xr:uid="{00000000-0005-0000-0000-0000A3070000}"/>
    <cellStyle name="iPercent0 4 2 2" xfId="2996" xr:uid="{00000000-0005-0000-0000-0000A4070000}"/>
    <cellStyle name="iPercent0 4 2 2 2" xfId="4569" xr:uid="{F6A72E6A-9D35-44B9-876C-1FF4D723EE66}"/>
    <cellStyle name="iPercent0 4 2 3" xfId="3421" xr:uid="{00000000-0005-0000-0000-0000A5070000}"/>
    <cellStyle name="iPercent0 4 2 3 2" xfId="4992" xr:uid="{B2A3CF21-68A2-42D2-B6EE-0193DDF519B0}"/>
    <cellStyle name="iPercent0 4 2 4" xfId="3735" xr:uid="{1B59ECB8-6621-403F-9BC2-7190BC8D5706}"/>
    <cellStyle name="iPercent0 4 3" xfId="2655" xr:uid="{00000000-0005-0000-0000-0000A6070000}"/>
    <cellStyle name="iPercent0 4 3 2" xfId="4238" xr:uid="{F928261F-74BB-4368-87C4-969855702EC8}"/>
    <cellStyle name="iPercent0 4 4" xfId="2433" xr:uid="{00000000-0005-0000-0000-0000A7070000}"/>
    <cellStyle name="iPercent0 4 4 2" xfId="4022" xr:uid="{DD747791-F32A-45A6-9BC8-1E9FCAD4727A}"/>
    <cellStyle name="iPercent0 5" xfId="2108" xr:uid="{00000000-0005-0000-0000-0000A8070000}"/>
    <cellStyle name="iPercent0 5 2" xfId="2994" xr:uid="{00000000-0005-0000-0000-0000A9070000}"/>
    <cellStyle name="iPercent0 5 2 2" xfId="4567" xr:uid="{82D2C06F-6532-45CB-AE41-E72438EE4E38}"/>
    <cellStyle name="iPercent0 5 3" xfId="3419" xr:uid="{00000000-0005-0000-0000-0000AA070000}"/>
    <cellStyle name="iPercent0 5 3 2" xfId="4990" xr:uid="{66BB86C9-36DF-47FF-A80E-CB19F08EB56D}"/>
    <cellStyle name="iPercent0 5 4" xfId="3733" xr:uid="{57DFCB3B-9FB3-4F13-BA19-8C296E12C6BE}"/>
    <cellStyle name="iPercent0 6" xfId="2652" xr:uid="{00000000-0005-0000-0000-0000AB070000}"/>
    <cellStyle name="iPercent0 6 2" xfId="4235" xr:uid="{77DF39F0-D6C3-48E2-BA0D-B2317362FBA8}"/>
    <cellStyle name="iPercent0 7" xfId="2436" xr:uid="{00000000-0005-0000-0000-0000AC070000}"/>
    <cellStyle name="iPercent0 7 2" xfId="4025" xr:uid="{2578B702-69AF-4381-B824-5925E5245217}"/>
    <cellStyle name="iPercent1" xfId="1303" xr:uid="{00000000-0005-0000-0000-0000AD070000}"/>
    <cellStyle name="iPercent1 2" xfId="1304" xr:uid="{00000000-0005-0000-0000-0000AE070000}"/>
    <cellStyle name="iPercent1 2 2" xfId="2112" xr:uid="{00000000-0005-0000-0000-0000AF070000}"/>
    <cellStyle name="iPercent1 2 2 2" xfId="2998" xr:uid="{00000000-0005-0000-0000-0000B0070000}"/>
    <cellStyle name="iPercent1 2 2 2 2" xfId="4571" xr:uid="{4DFF9039-51BD-46D2-834D-05A970148402}"/>
    <cellStyle name="iPercent1 2 2 3" xfId="3423" xr:uid="{00000000-0005-0000-0000-0000B1070000}"/>
    <cellStyle name="iPercent1 2 2 3 2" xfId="4994" xr:uid="{8B8C08D1-FAA6-4357-B40B-185F0D9901C6}"/>
    <cellStyle name="iPercent1 2 2 4" xfId="3737" xr:uid="{EFEDE016-E0B5-4BD1-83D9-035DDD086168}"/>
    <cellStyle name="iPercent1 2 3" xfId="2657" xr:uid="{00000000-0005-0000-0000-0000B2070000}"/>
    <cellStyle name="iPercent1 2 3 2" xfId="4240" xr:uid="{6EA77764-AC16-4D36-A02B-A9A55CFD9168}"/>
    <cellStyle name="iPercent1 2 4" xfId="2431" xr:uid="{00000000-0005-0000-0000-0000B3070000}"/>
    <cellStyle name="iPercent1 2 4 2" xfId="4020" xr:uid="{F00816FC-BD72-4900-9C38-460C6F15EB08}"/>
    <cellStyle name="iPercent1 3" xfId="1305" xr:uid="{00000000-0005-0000-0000-0000B4070000}"/>
    <cellStyle name="iPercent1 3 2" xfId="2113" xr:uid="{00000000-0005-0000-0000-0000B5070000}"/>
    <cellStyle name="iPercent1 3 2 2" xfId="2999" xr:uid="{00000000-0005-0000-0000-0000B6070000}"/>
    <cellStyle name="iPercent1 3 2 2 2" xfId="4572" xr:uid="{A1B45BF7-235E-44F0-BDDA-C367035ADB05}"/>
    <cellStyle name="iPercent1 3 2 3" xfId="3424" xr:uid="{00000000-0005-0000-0000-0000B7070000}"/>
    <cellStyle name="iPercent1 3 2 3 2" xfId="4995" xr:uid="{3121A85A-46A1-42B6-B880-74CA4D35AA79}"/>
    <cellStyle name="iPercent1 3 2 4" xfId="3738" xr:uid="{331EB8AF-3EE5-472F-AD5D-5E61D482832B}"/>
    <cellStyle name="iPercent1 3 3" xfId="2658" xr:uid="{00000000-0005-0000-0000-0000B8070000}"/>
    <cellStyle name="iPercent1 3 3 2" xfId="4241" xr:uid="{ABD1C1BA-687F-47FB-BFED-64AFAECD6ACA}"/>
    <cellStyle name="iPercent1 3 4" xfId="2430" xr:uid="{00000000-0005-0000-0000-0000B9070000}"/>
    <cellStyle name="iPercent1 3 4 2" xfId="4019" xr:uid="{12F8541E-D420-47DC-9E6D-FEF9E40AFCC0}"/>
    <cellStyle name="iPercent1 4" xfId="1306" xr:uid="{00000000-0005-0000-0000-0000BA070000}"/>
    <cellStyle name="iPercent1 4 2" xfId="2114" xr:uid="{00000000-0005-0000-0000-0000BB070000}"/>
    <cellStyle name="iPercent1 4 2 2" xfId="3000" xr:uid="{00000000-0005-0000-0000-0000BC070000}"/>
    <cellStyle name="iPercent1 4 2 2 2" xfId="4573" xr:uid="{7B49FF38-A1FC-47DF-93CE-58892100E1A8}"/>
    <cellStyle name="iPercent1 4 2 3" xfId="3425" xr:uid="{00000000-0005-0000-0000-0000BD070000}"/>
    <cellStyle name="iPercent1 4 2 3 2" xfId="4996" xr:uid="{6F3E82FD-B731-4CAA-937A-BA790275B415}"/>
    <cellStyle name="iPercent1 4 2 4" xfId="3739" xr:uid="{9184FBA1-13D0-482E-A177-6C2B3B400FFA}"/>
    <cellStyle name="iPercent1 4 3" xfId="2659" xr:uid="{00000000-0005-0000-0000-0000BE070000}"/>
    <cellStyle name="iPercent1 4 3 2" xfId="4242" xr:uid="{89F9D91D-2D1B-415D-81FF-F23B4EA4A090}"/>
    <cellStyle name="iPercent1 4 4" xfId="2429" xr:uid="{00000000-0005-0000-0000-0000BF070000}"/>
    <cellStyle name="iPercent1 4 4 2" xfId="4018" xr:uid="{6B4517CE-8C9A-40CE-81CF-2B1F888ACA85}"/>
    <cellStyle name="iPercent1 5" xfId="2111" xr:uid="{00000000-0005-0000-0000-0000C0070000}"/>
    <cellStyle name="iPercent1 5 2" xfId="2997" xr:uid="{00000000-0005-0000-0000-0000C1070000}"/>
    <cellStyle name="iPercent1 5 2 2" xfId="4570" xr:uid="{B7A00814-E396-4554-A1EF-36B61BBFFC3C}"/>
    <cellStyle name="iPercent1 5 3" xfId="3422" xr:uid="{00000000-0005-0000-0000-0000C2070000}"/>
    <cellStyle name="iPercent1 5 3 2" xfId="4993" xr:uid="{109C5CAE-2D81-4DB1-A376-E64E0DB0E2FC}"/>
    <cellStyle name="iPercent1 5 4" xfId="3736" xr:uid="{C30CDB2E-E323-498F-B882-B3C1C641C483}"/>
    <cellStyle name="iPercent1 6" xfId="2656" xr:uid="{00000000-0005-0000-0000-0000C3070000}"/>
    <cellStyle name="iPercent1 6 2" xfId="4239" xr:uid="{495912DE-B0C7-4404-9AD6-25B2BD4E0DB1}"/>
    <cellStyle name="iPercent1 7" xfId="2432" xr:uid="{00000000-0005-0000-0000-0000C4070000}"/>
    <cellStyle name="iPercent1 7 2" xfId="4021" xr:uid="{24BA0A6A-47BA-400D-ABE1-2EC256239051}"/>
    <cellStyle name="iPercent2" xfId="1307" xr:uid="{00000000-0005-0000-0000-0000C5070000}"/>
    <cellStyle name="iPercent2 2" xfId="1308" xr:uid="{00000000-0005-0000-0000-0000C6070000}"/>
    <cellStyle name="iPercent2 2 2" xfId="2116" xr:uid="{00000000-0005-0000-0000-0000C7070000}"/>
    <cellStyle name="iPercent2 2 2 2" xfId="3002" xr:uid="{00000000-0005-0000-0000-0000C8070000}"/>
    <cellStyle name="iPercent2 2 2 2 2" xfId="4575" xr:uid="{E21C62DE-D36B-4574-AC50-1563A263C6A8}"/>
    <cellStyle name="iPercent2 2 2 3" xfId="3427" xr:uid="{00000000-0005-0000-0000-0000C9070000}"/>
    <cellStyle name="iPercent2 2 2 3 2" xfId="4998" xr:uid="{7B1F4DF9-4DD8-4371-9248-08A7C56E1A93}"/>
    <cellStyle name="iPercent2 2 2 4" xfId="3741" xr:uid="{C0A90FA1-ADC9-46D2-BB48-0BE3DCCF48D2}"/>
    <cellStyle name="iPercent2 2 3" xfId="2661" xr:uid="{00000000-0005-0000-0000-0000CA070000}"/>
    <cellStyle name="iPercent2 2 3 2" xfId="4244" xr:uid="{95D9A31E-9D5E-4F6F-9AFD-0CCD6A8D0BA3}"/>
    <cellStyle name="iPercent2 2 4" xfId="2427" xr:uid="{00000000-0005-0000-0000-0000CB070000}"/>
    <cellStyle name="iPercent2 2 4 2" xfId="4016" xr:uid="{2F61915F-0276-4813-AB82-D377BEF41BA5}"/>
    <cellStyle name="iPercent2 3" xfId="1309" xr:uid="{00000000-0005-0000-0000-0000CC070000}"/>
    <cellStyle name="iPercent2 3 2" xfId="2117" xr:uid="{00000000-0005-0000-0000-0000CD070000}"/>
    <cellStyle name="iPercent2 3 2 2" xfId="3003" xr:uid="{00000000-0005-0000-0000-0000CE070000}"/>
    <cellStyle name="iPercent2 3 2 2 2" xfId="4576" xr:uid="{1EE870F1-5D2D-4D9D-9EFF-4BDC0DFDB478}"/>
    <cellStyle name="iPercent2 3 2 3" xfId="3428" xr:uid="{00000000-0005-0000-0000-0000CF070000}"/>
    <cellStyle name="iPercent2 3 2 3 2" xfId="4999" xr:uid="{197A3CE2-7FFF-4A73-B6D7-C8CC2CE6809D}"/>
    <cellStyle name="iPercent2 3 2 4" xfId="3742" xr:uid="{758DC00A-D4C9-44FB-B04D-0F492233E1B5}"/>
    <cellStyle name="iPercent2 3 3" xfId="2662" xr:uid="{00000000-0005-0000-0000-0000D0070000}"/>
    <cellStyle name="iPercent2 3 3 2" xfId="4245" xr:uid="{58866248-EA1E-4121-B0AA-04B04B5DBB63}"/>
    <cellStyle name="iPercent2 3 4" xfId="2426" xr:uid="{00000000-0005-0000-0000-0000D1070000}"/>
    <cellStyle name="iPercent2 3 4 2" xfId="4015" xr:uid="{A205125B-FB68-4283-8FAD-6E619EF28753}"/>
    <cellStyle name="iPercent2 4" xfId="1310" xr:uid="{00000000-0005-0000-0000-0000D2070000}"/>
    <cellStyle name="iPercent2 4 2" xfId="2118" xr:uid="{00000000-0005-0000-0000-0000D3070000}"/>
    <cellStyle name="iPercent2 4 2 2" xfId="3004" xr:uid="{00000000-0005-0000-0000-0000D4070000}"/>
    <cellStyle name="iPercent2 4 2 2 2" xfId="4577" xr:uid="{AECA31B5-ABFB-4213-98DE-E818EC72C5AC}"/>
    <cellStyle name="iPercent2 4 2 3" xfId="3429" xr:uid="{00000000-0005-0000-0000-0000D5070000}"/>
    <cellStyle name="iPercent2 4 2 3 2" xfId="5000" xr:uid="{961D9CEB-37D4-423B-8C91-F24CBE165196}"/>
    <cellStyle name="iPercent2 4 2 4" xfId="3743" xr:uid="{96DEB9DC-A8D6-495F-A2ED-7BBD774037E9}"/>
    <cellStyle name="iPercent2 4 3" xfId="2663" xr:uid="{00000000-0005-0000-0000-0000D6070000}"/>
    <cellStyle name="iPercent2 4 3 2" xfId="4246" xr:uid="{C4A2D1B7-4B4F-4946-A796-B6A770A788FA}"/>
    <cellStyle name="iPercent2 4 4" xfId="2425" xr:uid="{00000000-0005-0000-0000-0000D7070000}"/>
    <cellStyle name="iPercent2 4 4 2" xfId="4014" xr:uid="{B108522D-3E36-461F-8424-D5BDC144875F}"/>
    <cellStyle name="iPercent2 5" xfId="2115" xr:uid="{00000000-0005-0000-0000-0000D8070000}"/>
    <cellStyle name="iPercent2 5 2" xfId="3001" xr:uid="{00000000-0005-0000-0000-0000D9070000}"/>
    <cellStyle name="iPercent2 5 2 2" xfId="4574" xr:uid="{9D57497E-A127-4972-919E-4DBA3ACC5C7B}"/>
    <cellStyle name="iPercent2 5 3" xfId="3426" xr:uid="{00000000-0005-0000-0000-0000DA070000}"/>
    <cellStyle name="iPercent2 5 3 2" xfId="4997" xr:uid="{5F6766B9-6926-4077-8E0B-C69F33D49168}"/>
    <cellStyle name="iPercent2 5 4" xfId="3740" xr:uid="{89146639-7A85-4B30-95A2-D8DA9E9AF494}"/>
    <cellStyle name="iPercent2 6" xfId="2660" xr:uid="{00000000-0005-0000-0000-0000DB070000}"/>
    <cellStyle name="iPercent2 6 2" xfId="4243" xr:uid="{7DD476C4-C4E9-466F-85B8-6F9D171916FA}"/>
    <cellStyle name="iPercent2 7" xfId="2428" xr:uid="{00000000-0005-0000-0000-0000DC070000}"/>
    <cellStyle name="iPercent2 7 2" xfId="4017" xr:uid="{A4F93DAE-017E-44B6-949F-6CB72931BB20}"/>
    <cellStyle name="ir0 -InpCurr" xfId="1311" xr:uid="{00000000-0005-0000-0000-0000DD070000}"/>
    <cellStyle name="ir1 -InpCurr" xfId="1312" xr:uid="{00000000-0005-0000-0000-0000DE070000}"/>
    <cellStyle name="ir2 -InpCurr" xfId="1313" xr:uid="{00000000-0005-0000-0000-0000DF070000}"/>
    <cellStyle name="ir3 -InpCurr" xfId="1314" xr:uid="{00000000-0005-0000-0000-0000E0070000}"/>
    <cellStyle name="ir4 -InpCurr" xfId="1315" xr:uid="{00000000-0005-0000-0000-0000E1070000}"/>
    <cellStyle name="iRed0" xfId="1316" xr:uid="{00000000-0005-0000-0000-0000E2070000}"/>
    <cellStyle name="iRed0 2" xfId="1317" xr:uid="{00000000-0005-0000-0000-0000E3070000}"/>
    <cellStyle name="iRed0 2 2" xfId="2120" xr:uid="{00000000-0005-0000-0000-0000E4070000}"/>
    <cellStyle name="iRed0 2 2 2" xfId="3006" xr:uid="{00000000-0005-0000-0000-0000E5070000}"/>
    <cellStyle name="iRed0 2 2 2 2" xfId="4579" xr:uid="{604C3105-3CD3-40B0-B7CF-E95C3464DC4F}"/>
    <cellStyle name="iRed0 2 2 3" xfId="3431" xr:uid="{00000000-0005-0000-0000-0000E6070000}"/>
    <cellStyle name="iRed0 2 2 3 2" xfId="5002" xr:uid="{DBECCDD0-FAD6-47B3-95EB-67F55835BE19}"/>
    <cellStyle name="iRed0 2 2 4" xfId="3745" xr:uid="{0E0C7650-43A2-4F6D-A6CA-60D6516C0755}"/>
    <cellStyle name="iRed0 2 3" xfId="2665" xr:uid="{00000000-0005-0000-0000-0000E7070000}"/>
    <cellStyle name="iRed0 2 3 2" xfId="4248" xr:uid="{BD9B2120-1C9F-4978-BBFE-081F86511308}"/>
    <cellStyle name="iRed0 2 4" xfId="2423" xr:uid="{00000000-0005-0000-0000-0000E8070000}"/>
    <cellStyle name="iRed0 2 4 2" xfId="4012" xr:uid="{2AD5473F-4C63-46F0-8E34-44D72B94A348}"/>
    <cellStyle name="iRed0 3" xfId="1318" xr:uid="{00000000-0005-0000-0000-0000E9070000}"/>
    <cellStyle name="iRed0 3 2" xfId="2121" xr:uid="{00000000-0005-0000-0000-0000EA070000}"/>
    <cellStyle name="iRed0 3 2 2" xfId="3007" xr:uid="{00000000-0005-0000-0000-0000EB070000}"/>
    <cellStyle name="iRed0 3 2 2 2" xfId="4580" xr:uid="{ECE2EB85-EF9F-4E80-84E9-C0B8098B291D}"/>
    <cellStyle name="iRed0 3 2 3" xfId="3432" xr:uid="{00000000-0005-0000-0000-0000EC070000}"/>
    <cellStyle name="iRed0 3 2 3 2" xfId="5003" xr:uid="{5D1C67D6-4409-40C4-8F75-65F6BF3EF0C1}"/>
    <cellStyle name="iRed0 3 2 4" xfId="3746" xr:uid="{13C149A8-F6D6-4AC3-AA82-C80D5D334273}"/>
    <cellStyle name="iRed0 3 3" xfId="2666" xr:uid="{00000000-0005-0000-0000-0000ED070000}"/>
    <cellStyle name="iRed0 3 3 2" xfId="4249" xr:uid="{4FAB06B9-70C8-4E43-A9A9-61CAC543EDE5}"/>
    <cellStyle name="iRed0 3 4" xfId="2422" xr:uid="{00000000-0005-0000-0000-0000EE070000}"/>
    <cellStyle name="iRed0 3 4 2" xfId="4011" xr:uid="{DD28F397-4CA0-4144-95BD-33EBC1712EE4}"/>
    <cellStyle name="iRed0 4" xfId="1319" xr:uid="{00000000-0005-0000-0000-0000EF070000}"/>
    <cellStyle name="iRed0 4 2" xfId="2122" xr:uid="{00000000-0005-0000-0000-0000F0070000}"/>
    <cellStyle name="iRed0 4 2 2" xfId="3008" xr:uid="{00000000-0005-0000-0000-0000F1070000}"/>
    <cellStyle name="iRed0 4 2 2 2" xfId="4581" xr:uid="{060CEB20-2417-4529-9485-1EC34A2C3E26}"/>
    <cellStyle name="iRed0 4 2 3" xfId="3433" xr:uid="{00000000-0005-0000-0000-0000F2070000}"/>
    <cellStyle name="iRed0 4 2 3 2" xfId="5004" xr:uid="{1E586420-2318-44AA-98D9-49B41BB22150}"/>
    <cellStyle name="iRed0 4 2 4" xfId="3747" xr:uid="{8CB764D3-D0AB-4C14-8D9B-2730047D245A}"/>
    <cellStyle name="iRed0 4 3" xfId="2667" xr:uid="{00000000-0005-0000-0000-0000F3070000}"/>
    <cellStyle name="iRed0 4 3 2" xfId="4250" xr:uid="{D1064C84-0BB3-4F91-8CCC-B112656B0335}"/>
    <cellStyle name="iRed0 4 4" xfId="2421" xr:uid="{00000000-0005-0000-0000-0000F4070000}"/>
    <cellStyle name="iRed0 4 4 2" xfId="4010" xr:uid="{336846CE-B85A-4A64-A520-4E0C7E7978E1}"/>
    <cellStyle name="iRed0 5" xfId="2119" xr:uid="{00000000-0005-0000-0000-0000F5070000}"/>
    <cellStyle name="iRed0 5 2" xfId="3005" xr:uid="{00000000-0005-0000-0000-0000F6070000}"/>
    <cellStyle name="iRed0 5 2 2" xfId="4578" xr:uid="{508BAFA4-EA8F-43ED-B37F-2B3B0C88F9E1}"/>
    <cellStyle name="iRed0 5 3" xfId="3430" xr:uid="{00000000-0005-0000-0000-0000F7070000}"/>
    <cellStyle name="iRed0 5 3 2" xfId="5001" xr:uid="{CF5EC33C-AFD7-4657-BF96-1069BCC0E6E5}"/>
    <cellStyle name="iRed0 5 4" xfId="3744" xr:uid="{66363906-73B6-436B-9327-B9A136A897DA}"/>
    <cellStyle name="iRed0 6" xfId="2664" xr:uid="{00000000-0005-0000-0000-0000F8070000}"/>
    <cellStyle name="iRed0 6 2" xfId="4247" xr:uid="{9646BBD8-B0EF-49CC-B5F4-36914DE25208}"/>
    <cellStyle name="iRed0 7" xfId="2424" xr:uid="{00000000-0005-0000-0000-0000F9070000}"/>
    <cellStyle name="iRed0 7 2" xfId="4013" xr:uid="{CDCACA64-5542-487E-B2D8-B3B763459585}"/>
    <cellStyle name="iRed2" xfId="1320" xr:uid="{00000000-0005-0000-0000-0000FA070000}"/>
    <cellStyle name="iRed2 2" xfId="1321" xr:uid="{00000000-0005-0000-0000-0000FB070000}"/>
    <cellStyle name="iRed2 2 2" xfId="2124" xr:uid="{00000000-0005-0000-0000-0000FC070000}"/>
    <cellStyle name="iRed2 2 2 2" xfId="3010" xr:uid="{00000000-0005-0000-0000-0000FD070000}"/>
    <cellStyle name="iRed2 2 2 2 2" xfId="4583" xr:uid="{00133C3E-8EF2-4531-B3A9-7D803166BCA1}"/>
    <cellStyle name="iRed2 2 2 3" xfId="3435" xr:uid="{00000000-0005-0000-0000-0000FE070000}"/>
    <cellStyle name="iRed2 2 2 3 2" xfId="5006" xr:uid="{2C09D1B7-0BD6-4D83-A9DD-0C08C366B7CC}"/>
    <cellStyle name="iRed2 2 2 4" xfId="3749" xr:uid="{78F0062F-91EB-4945-9C1C-D183A1CCEAC1}"/>
    <cellStyle name="iRed2 2 3" xfId="2669" xr:uid="{00000000-0005-0000-0000-0000FF070000}"/>
    <cellStyle name="iRed2 2 3 2" xfId="4252" xr:uid="{BBF1326F-5E6D-4598-A77E-D2B1A0F5EA00}"/>
    <cellStyle name="iRed2 2 4" xfId="2419" xr:uid="{00000000-0005-0000-0000-000000080000}"/>
    <cellStyle name="iRed2 2 4 2" xfId="4008" xr:uid="{076726FA-7CDA-430D-9AD3-E393C5E0DE6D}"/>
    <cellStyle name="iRed2 3" xfId="1322" xr:uid="{00000000-0005-0000-0000-000001080000}"/>
    <cellStyle name="iRed2 3 2" xfId="2125" xr:uid="{00000000-0005-0000-0000-000002080000}"/>
    <cellStyle name="iRed2 3 2 2" xfId="3011" xr:uid="{00000000-0005-0000-0000-000003080000}"/>
    <cellStyle name="iRed2 3 2 2 2" xfId="4584" xr:uid="{4241A7B6-D667-4581-B26D-D7D5DCCF12B8}"/>
    <cellStyle name="iRed2 3 2 3" xfId="3436" xr:uid="{00000000-0005-0000-0000-000004080000}"/>
    <cellStyle name="iRed2 3 2 3 2" xfId="5007" xr:uid="{40FB21D5-9B91-46B3-B2A9-E578F8D9BC7A}"/>
    <cellStyle name="iRed2 3 2 4" xfId="3750" xr:uid="{046B2220-0B43-49F9-8E49-F5BB3F3689CD}"/>
    <cellStyle name="iRed2 3 3" xfId="2670" xr:uid="{00000000-0005-0000-0000-000005080000}"/>
    <cellStyle name="iRed2 3 3 2" xfId="4253" xr:uid="{EE62CB22-3CE6-46E9-96E4-F692F4737A17}"/>
    <cellStyle name="iRed2 3 4" xfId="2418" xr:uid="{00000000-0005-0000-0000-000006080000}"/>
    <cellStyle name="iRed2 3 4 2" xfId="4007" xr:uid="{37261CB5-F367-4CE3-BC38-F05D6FF99A06}"/>
    <cellStyle name="iRed2 4" xfId="1323" xr:uid="{00000000-0005-0000-0000-000007080000}"/>
    <cellStyle name="iRed2 4 2" xfId="2126" xr:uid="{00000000-0005-0000-0000-000008080000}"/>
    <cellStyle name="iRed2 4 2 2" xfId="3012" xr:uid="{00000000-0005-0000-0000-000009080000}"/>
    <cellStyle name="iRed2 4 2 2 2" xfId="4585" xr:uid="{D18C7292-7595-4B58-ADFC-BCE3DCADC8C8}"/>
    <cellStyle name="iRed2 4 2 3" xfId="3437" xr:uid="{00000000-0005-0000-0000-00000A080000}"/>
    <cellStyle name="iRed2 4 2 3 2" xfId="5008" xr:uid="{ABBA0DBB-12C0-4A97-96D7-A173CCE605F0}"/>
    <cellStyle name="iRed2 4 2 4" xfId="3751" xr:uid="{DE47236E-94BE-43E2-B117-64A91D54FF38}"/>
    <cellStyle name="iRed2 4 3" xfId="2671" xr:uid="{00000000-0005-0000-0000-00000B080000}"/>
    <cellStyle name="iRed2 4 3 2" xfId="4254" xr:uid="{E1CBB110-9567-4255-A19D-78258CD4E2FF}"/>
    <cellStyle name="iRed2 4 4" xfId="2417" xr:uid="{00000000-0005-0000-0000-00000C080000}"/>
    <cellStyle name="iRed2 4 4 2" xfId="4006" xr:uid="{376AE9F5-FE23-410C-A66F-D51FFCB88690}"/>
    <cellStyle name="iRed2 5" xfId="2123" xr:uid="{00000000-0005-0000-0000-00000D080000}"/>
    <cellStyle name="iRed2 5 2" xfId="3009" xr:uid="{00000000-0005-0000-0000-00000E080000}"/>
    <cellStyle name="iRed2 5 2 2" xfId="4582" xr:uid="{CBBC624C-309A-46E7-9E34-DB4724CDE02D}"/>
    <cellStyle name="iRed2 5 3" xfId="3434" xr:uid="{00000000-0005-0000-0000-00000F080000}"/>
    <cellStyle name="iRed2 5 3 2" xfId="5005" xr:uid="{D67552ED-07EB-4339-9B7A-F54FD84E4CDF}"/>
    <cellStyle name="iRed2 5 4" xfId="3748" xr:uid="{0EDC7F3F-23E7-4BBC-AEC4-F4F74051C5E0}"/>
    <cellStyle name="iRed2 6" xfId="2668" xr:uid="{00000000-0005-0000-0000-000010080000}"/>
    <cellStyle name="iRed2 6 2" xfId="4251" xr:uid="{86931D04-6380-43CD-9F3E-0B1364ADC625}"/>
    <cellStyle name="iRed2 7" xfId="2420" xr:uid="{00000000-0005-0000-0000-000011080000}"/>
    <cellStyle name="iRed2 7 2" xfId="4009" xr:uid="{AF8335A3-4B32-4714-8CE7-59E59B493501}"/>
    <cellStyle name="is0 -InpSideText" xfId="1324" xr:uid="{00000000-0005-0000-0000-000012080000}"/>
    <cellStyle name="is1 -InpSideText" xfId="1325" xr:uid="{00000000-0005-0000-0000-000013080000}"/>
    <cellStyle name="is2 -InpSideText" xfId="1326" xr:uid="{00000000-0005-0000-0000-000014080000}"/>
    <cellStyle name="is3 -InpSideText" xfId="1327" xr:uid="{00000000-0005-0000-0000-000015080000}"/>
    <cellStyle name="is4 -InpSideText" xfId="1328" xr:uid="{00000000-0005-0000-0000-000016080000}"/>
    <cellStyle name="Item" xfId="1329" xr:uid="{00000000-0005-0000-0000-000017080000}"/>
    <cellStyle name="Items_Optional" xfId="1330" xr:uid="{00000000-0005-0000-0000-000018080000}"/>
    <cellStyle name="ItemTypeClass" xfId="1331" xr:uid="{00000000-0005-0000-0000-000019080000}"/>
    <cellStyle name="ItemTypeClass 2" xfId="1332" xr:uid="{00000000-0005-0000-0000-00001A080000}"/>
    <cellStyle name="ItemTypeClass 2 2" xfId="2128" xr:uid="{00000000-0005-0000-0000-00001B080000}"/>
    <cellStyle name="ItemTypeClass 2 2 2" xfId="3014" xr:uid="{00000000-0005-0000-0000-00001C080000}"/>
    <cellStyle name="ItemTypeClass 2 2 2 2" xfId="4587" xr:uid="{A3E8AA44-7591-4BC3-B5AD-F58671B1F539}"/>
    <cellStyle name="ItemTypeClass 2 2 3" xfId="3439" xr:uid="{00000000-0005-0000-0000-00001D080000}"/>
    <cellStyle name="ItemTypeClass 2 2 3 2" xfId="5010" xr:uid="{1D32EAB6-4F6D-4BD6-BBE7-8032439BE0DB}"/>
    <cellStyle name="ItemTypeClass 2 2 4" xfId="3753" xr:uid="{3AE8EE61-068F-4FD9-A2E3-367080537994}"/>
    <cellStyle name="ItemTypeClass 2 3" xfId="2673" xr:uid="{00000000-0005-0000-0000-00001E080000}"/>
    <cellStyle name="ItemTypeClass 2 3 2" xfId="4256" xr:uid="{FFBCA11B-BC9E-45E3-9FA8-1BDC73D4A4BA}"/>
    <cellStyle name="ItemTypeClass 2 4" xfId="2415" xr:uid="{00000000-0005-0000-0000-00001F080000}"/>
    <cellStyle name="ItemTypeClass 2 4 2" xfId="4004" xr:uid="{94A2BF01-B0D7-45F4-8919-5883743714C4}"/>
    <cellStyle name="ItemTypeClass 3" xfId="1333" xr:uid="{00000000-0005-0000-0000-000020080000}"/>
    <cellStyle name="ItemTypeClass 3 2" xfId="2129" xr:uid="{00000000-0005-0000-0000-000021080000}"/>
    <cellStyle name="ItemTypeClass 3 2 2" xfId="3015" xr:uid="{00000000-0005-0000-0000-000022080000}"/>
    <cellStyle name="ItemTypeClass 3 2 2 2" xfId="4588" xr:uid="{AEE8DA6D-40FB-449D-A5A2-FD5E5016EF14}"/>
    <cellStyle name="ItemTypeClass 3 2 3" xfId="3440" xr:uid="{00000000-0005-0000-0000-000023080000}"/>
    <cellStyle name="ItemTypeClass 3 2 3 2" xfId="5011" xr:uid="{CF6A7B69-F99B-4E9D-9F37-460A239223C9}"/>
    <cellStyle name="ItemTypeClass 3 2 4" xfId="3754" xr:uid="{FECF6E91-5344-4EA2-8A71-6C31FB3A726D}"/>
    <cellStyle name="ItemTypeClass 3 3" xfId="2674" xr:uid="{00000000-0005-0000-0000-000024080000}"/>
    <cellStyle name="ItemTypeClass 3 3 2" xfId="4257" xr:uid="{DC22E920-AB2C-4C68-B874-39702606BAEC}"/>
    <cellStyle name="ItemTypeClass 3 4" xfId="2414" xr:uid="{00000000-0005-0000-0000-000025080000}"/>
    <cellStyle name="ItemTypeClass 3 4 2" xfId="4003" xr:uid="{91715848-5298-4D50-BE6C-C9D78BC9001A}"/>
    <cellStyle name="ItemTypeClass 4" xfId="1334" xr:uid="{00000000-0005-0000-0000-000026080000}"/>
    <cellStyle name="ItemTypeClass 4 2" xfId="2130" xr:uid="{00000000-0005-0000-0000-000027080000}"/>
    <cellStyle name="ItemTypeClass 4 2 2" xfId="3016" xr:uid="{00000000-0005-0000-0000-000028080000}"/>
    <cellStyle name="ItemTypeClass 4 2 2 2" xfId="4589" xr:uid="{74BFDAD2-BE28-407B-AB71-52B5E8C1E8B1}"/>
    <cellStyle name="ItemTypeClass 4 2 3" xfId="3441" xr:uid="{00000000-0005-0000-0000-000029080000}"/>
    <cellStyle name="ItemTypeClass 4 2 3 2" xfId="5012" xr:uid="{F84FCD62-0172-4396-9635-D6871ADBF585}"/>
    <cellStyle name="ItemTypeClass 4 2 4" xfId="3755" xr:uid="{AE3AC5C4-B32D-4A67-A9FA-269AF875758D}"/>
    <cellStyle name="ItemTypeClass 4 3" xfId="2675" xr:uid="{00000000-0005-0000-0000-00002A080000}"/>
    <cellStyle name="ItemTypeClass 4 3 2" xfId="4258" xr:uid="{F3E88FBA-7814-4E25-A09E-CC60E05617B9}"/>
    <cellStyle name="ItemTypeClass 4 4" xfId="2413" xr:uid="{00000000-0005-0000-0000-00002B080000}"/>
    <cellStyle name="ItemTypeClass 4 4 2" xfId="4002" xr:uid="{42E59179-C65C-42FD-8CE8-460FFBF6B76F}"/>
    <cellStyle name="ItemTypeClass 5" xfId="2127" xr:uid="{00000000-0005-0000-0000-00002C080000}"/>
    <cellStyle name="ItemTypeClass 5 2" xfId="3013" xr:uid="{00000000-0005-0000-0000-00002D080000}"/>
    <cellStyle name="ItemTypeClass 5 2 2" xfId="4586" xr:uid="{6C313D9B-4017-4289-9586-43060C6A698B}"/>
    <cellStyle name="ItemTypeClass 5 3" xfId="3438" xr:uid="{00000000-0005-0000-0000-00002E080000}"/>
    <cellStyle name="ItemTypeClass 5 3 2" xfId="5009" xr:uid="{8F7229CA-7856-4053-BC68-A062305E6A8E}"/>
    <cellStyle name="ItemTypeClass 5 4" xfId="3752" xr:uid="{44EBB6EC-76FB-4E1C-A229-9D0D4B2BA747}"/>
    <cellStyle name="ItemTypeClass 6" xfId="2672" xr:uid="{00000000-0005-0000-0000-00002F080000}"/>
    <cellStyle name="ItemTypeClass 6 2" xfId="4255" xr:uid="{9F5EF234-3068-46FD-B58E-1ADA3271B820}"/>
    <cellStyle name="ItemTypeClass 7" xfId="2416" xr:uid="{00000000-0005-0000-0000-000030080000}"/>
    <cellStyle name="ItemTypeClass 7 2" xfId="4005" xr:uid="{8F5EA0CD-1EC3-45B6-9E20-FF6E1A7AD42B}"/>
    <cellStyle name="iTextGenProt" xfId="1335" xr:uid="{00000000-0005-0000-0000-000031080000}"/>
    <cellStyle name="iTextGenProt 2" xfId="1336" xr:uid="{00000000-0005-0000-0000-000032080000}"/>
    <cellStyle name="iTextGenProt 2 2" xfId="2132" xr:uid="{00000000-0005-0000-0000-000033080000}"/>
    <cellStyle name="iTextGenProt 2 2 2" xfId="3018" xr:uid="{00000000-0005-0000-0000-000034080000}"/>
    <cellStyle name="iTextGenProt 2 2 2 2" xfId="4591" xr:uid="{7AE42812-833E-43F1-8549-DA1FCB720C16}"/>
    <cellStyle name="iTextGenProt 2 2 3" xfId="3443" xr:uid="{00000000-0005-0000-0000-000035080000}"/>
    <cellStyle name="iTextGenProt 2 2 3 2" xfId="5014" xr:uid="{8A918673-90C9-413D-B82B-3BB0B53708F9}"/>
    <cellStyle name="iTextGenProt 2 2 4" xfId="3757" xr:uid="{C0A3C57C-5C34-4DEF-9DD5-385E06735D13}"/>
    <cellStyle name="iTextGenProt 2 3" xfId="2677" xr:uid="{00000000-0005-0000-0000-000036080000}"/>
    <cellStyle name="iTextGenProt 2 3 2" xfId="4260" xr:uid="{1CEC31CF-CB0F-493C-86D0-8701AC10CCF8}"/>
    <cellStyle name="iTextGenProt 2 4" xfId="2411" xr:uid="{00000000-0005-0000-0000-000037080000}"/>
    <cellStyle name="iTextGenProt 2 4 2" xfId="4000" xr:uid="{60F3E4C5-5F1D-4AAA-A0FC-5658AE0675BE}"/>
    <cellStyle name="iTextGenProt 3" xfId="1337" xr:uid="{00000000-0005-0000-0000-000038080000}"/>
    <cellStyle name="iTextGenProt 3 2" xfId="2133" xr:uid="{00000000-0005-0000-0000-000039080000}"/>
    <cellStyle name="iTextGenProt 3 2 2" xfId="3019" xr:uid="{00000000-0005-0000-0000-00003A080000}"/>
    <cellStyle name="iTextGenProt 3 2 2 2" xfId="4592" xr:uid="{99A881AA-6853-45FD-BD96-495BFD4995F5}"/>
    <cellStyle name="iTextGenProt 3 2 3" xfId="3444" xr:uid="{00000000-0005-0000-0000-00003B080000}"/>
    <cellStyle name="iTextGenProt 3 2 3 2" xfId="5015" xr:uid="{B656145C-E1C2-47DC-B6C2-0225C8266627}"/>
    <cellStyle name="iTextGenProt 3 2 4" xfId="3758" xr:uid="{4329706E-064E-471F-9C45-580C93052CD0}"/>
    <cellStyle name="iTextGenProt 3 3" xfId="2678" xr:uid="{00000000-0005-0000-0000-00003C080000}"/>
    <cellStyle name="iTextGenProt 3 3 2" xfId="4261" xr:uid="{B5ECA2D9-1F61-4616-BCAB-B7ECDDA9DD1A}"/>
    <cellStyle name="iTextGenProt 3 4" xfId="2410" xr:uid="{00000000-0005-0000-0000-00003D080000}"/>
    <cellStyle name="iTextGenProt 3 4 2" xfId="3999" xr:uid="{36BC8C65-B15D-4BAE-A371-A4537146AB5F}"/>
    <cellStyle name="iTextGenProt 4" xfId="1338" xr:uid="{00000000-0005-0000-0000-00003E080000}"/>
    <cellStyle name="iTextGenProt 4 2" xfId="2134" xr:uid="{00000000-0005-0000-0000-00003F080000}"/>
    <cellStyle name="iTextGenProt 4 2 2" xfId="3020" xr:uid="{00000000-0005-0000-0000-000040080000}"/>
    <cellStyle name="iTextGenProt 4 2 2 2" xfId="4593" xr:uid="{04843173-A9E5-4209-AAAC-2F5705483C47}"/>
    <cellStyle name="iTextGenProt 4 2 3" xfId="3445" xr:uid="{00000000-0005-0000-0000-000041080000}"/>
    <cellStyle name="iTextGenProt 4 2 3 2" xfId="5016" xr:uid="{FBDAEC1F-5639-4FC2-ADC1-E487EA933B69}"/>
    <cellStyle name="iTextGenProt 4 2 4" xfId="3759" xr:uid="{AFEB366D-ADC7-4D1F-B3EA-5CD1EC7C4363}"/>
    <cellStyle name="iTextGenProt 4 3" xfId="2679" xr:uid="{00000000-0005-0000-0000-000042080000}"/>
    <cellStyle name="iTextGenProt 4 3 2" xfId="4262" xr:uid="{3243A1B0-E40A-4F74-AA03-C00AB246C1E6}"/>
    <cellStyle name="iTextGenProt 4 4" xfId="2409" xr:uid="{00000000-0005-0000-0000-000043080000}"/>
    <cellStyle name="iTextGenProt 4 4 2" xfId="3998" xr:uid="{B31274B0-FF85-427A-9AAC-457437E531C4}"/>
    <cellStyle name="iTextGenProt 5" xfId="2131" xr:uid="{00000000-0005-0000-0000-000044080000}"/>
    <cellStyle name="iTextGenProt 5 2" xfId="3017" xr:uid="{00000000-0005-0000-0000-000045080000}"/>
    <cellStyle name="iTextGenProt 5 2 2" xfId="4590" xr:uid="{42EEFD31-D4D7-43F4-825E-84A7702076AC}"/>
    <cellStyle name="iTextGenProt 5 3" xfId="3442" xr:uid="{00000000-0005-0000-0000-000046080000}"/>
    <cellStyle name="iTextGenProt 5 3 2" xfId="5013" xr:uid="{EAFB663B-6CA8-4FF3-8B0C-FF1CE8D8C228}"/>
    <cellStyle name="iTextGenProt 5 4" xfId="3756" xr:uid="{0DD0AEF7-52A5-424E-B29F-269D67DA1BD1}"/>
    <cellStyle name="iTextGenProt 6" xfId="2676" xr:uid="{00000000-0005-0000-0000-000047080000}"/>
    <cellStyle name="iTextGenProt 6 2" xfId="4259" xr:uid="{352CC298-5B35-47BA-85C7-930F5280B63C}"/>
    <cellStyle name="iTextGenProt 7" xfId="2412" xr:uid="{00000000-0005-0000-0000-000048080000}"/>
    <cellStyle name="iTextGenProt 7 2" xfId="4001" xr:uid="{2EFC8990-1F94-49E8-A4B2-8DCC4F98854A}"/>
    <cellStyle name="iTextGenWrap" xfId="1339" xr:uid="{00000000-0005-0000-0000-000049080000}"/>
    <cellStyle name="iTextGenWrap 2" xfId="1340" xr:uid="{00000000-0005-0000-0000-00004A080000}"/>
    <cellStyle name="iTextGenWrap 2 2" xfId="2136" xr:uid="{00000000-0005-0000-0000-00004B080000}"/>
    <cellStyle name="iTextGenWrap 2 2 2" xfId="3022" xr:uid="{00000000-0005-0000-0000-00004C080000}"/>
    <cellStyle name="iTextGenWrap 2 2 2 2" xfId="4595" xr:uid="{74948EED-972D-4AD0-87FC-5F018E27610B}"/>
    <cellStyle name="iTextGenWrap 2 2 3" xfId="3447" xr:uid="{00000000-0005-0000-0000-00004D080000}"/>
    <cellStyle name="iTextGenWrap 2 2 3 2" xfId="5018" xr:uid="{DC6C1652-A678-4EF9-B802-BB1AC35AF22D}"/>
    <cellStyle name="iTextGenWrap 2 2 4" xfId="3761" xr:uid="{26F0DE88-4206-4ED4-8212-56D2482B3A6B}"/>
    <cellStyle name="iTextGenWrap 2 3" xfId="2681" xr:uid="{00000000-0005-0000-0000-00004E080000}"/>
    <cellStyle name="iTextGenWrap 2 3 2" xfId="4264" xr:uid="{FAC0366B-1BFB-499D-9932-5EE314F84EA0}"/>
    <cellStyle name="iTextGenWrap 2 4" xfId="2407" xr:uid="{00000000-0005-0000-0000-00004F080000}"/>
    <cellStyle name="iTextGenWrap 2 4 2" xfId="3996" xr:uid="{E72625F5-530E-4CB6-81B4-58A710BC2A66}"/>
    <cellStyle name="iTextGenWrap 3" xfId="1341" xr:uid="{00000000-0005-0000-0000-000050080000}"/>
    <cellStyle name="iTextGenWrap 3 2" xfId="2137" xr:uid="{00000000-0005-0000-0000-000051080000}"/>
    <cellStyle name="iTextGenWrap 3 2 2" xfId="3023" xr:uid="{00000000-0005-0000-0000-000052080000}"/>
    <cellStyle name="iTextGenWrap 3 2 2 2" xfId="4596" xr:uid="{BFD9FACA-BE37-4456-A960-A4292DC70DE7}"/>
    <cellStyle name="iTextGenWrap 3 2 3" xfId="3448" xr:uid="{00000000-0005-0000-0000-000053080000}"/>
    <cellStyle name="iTextGenWrap 3 2 3 2" xfId="5019" xr:uid="{4073D673-F6C9-4687-9597-F2D0EACE5E02}"/>
    <cellStyle name="iTextGenWrap 3 2 4" xfId="3762" xr:uid="{1BD73FF0-DD21-41F5-9861-7F8BB6ED245F}"/>
    <cellStyle name="iTextGenWrap 3 3" xfId="2682" xr:uid="{00000000-0005-0000-0000-000054080000}"/>
    <cellStyle name="iTextGenWrap 3 3 2" xfId="4265" xr:uid="{0FC66EE4-A855-4E54-AB2E-2E4271668D9F}"/>
    <cellStyle name="iTextGenWrap 3 4" xfId="2406" xr:uid="{00000000-0005-0000-0000-000055080000}"/>
    <cellStyle name="iTextGenWrap 3 4 2" xfId="3995" xr:uid="{A8A28DD8-563C-44F5-8D9E-E61262D694A2}"/>
    <cellStyle name="iTextGenWrap 4" xfId="1342" xr:uid="{00000000-0005-0000-0000-000056080000}"/>
    <cellStyle name="iTextGenWrap 4 2" xfId="2138" xr:uid="{00000000-0005-0000-0000-000057080000}"/>
    <cellStyle name="iTextGenWrap 4 2 2" xfId="3024" xr:uid="{00000000-0005-0000-0000-000058080000}"/>
    <cellStyle name="iTextGenWrap 4 2 2 2" xfId="4597" xr:uid="{CF3C0426-C132-4379-9D33-9D6B675FB22C}"/>
    <cellStyle name="iTextGenWrap 4 2 3" xfId="3449" xr:uid="{00000000-0005-0000-0000-000059080000}"/>
    <cellStyle name="iTextGenWrap 4 2 3 2" xfId="5020" xr:uid="{EF39C81E-66ED-48A9-82AC-51C93DFDC7CA}"/>
    <cellStyle name="iTextGenWrap 4 2 4" xfId="3763" xr:uid="{F31902D1-FB9F-491E-BB81-E523618517A9}"/>
    <cellStyle name="iTextGenWrap 4 3" xfId="2683" xr:uid="{00000000-0005-0000-0000-00005A080000}"/>
    <cellStyle name="iTextGenWrap 4 3 2" xfId="4266" xr:uid="{B493540C-9C10-47EC-9599-6BE4D8E164DA}"/>
    <cellStyle name="iTextGenWrap 4 4" xfId="2405" xr:uid="{00000000-0005-0000-0000-00005B080000}"/>
    <cellStyle name="iTextGenWrap 4 4 2" xfId="3994" xr:uid="{9686E73E-FCB3-44AC-9067-9ABF08BB140B}"/>
    <cellStyle name="iTextGenWrap 5" xfId="2135" xr:uid="{00000000-0005-0000-0000-00005C080000}"/>
    <cellStyle name="iTextGenWrap 5 2" xfId="3021" xr:uid="{00000000-0005-0000-0000-00005D080000}"/>
    <cellStyle name="iTextGenWrap 5 2 2" xfId="4594" xr:uid="{083C28D4-3BE9-41B5-9EDD-EABB2A2DEEAD}"/>
    <cellStyle name="iTextGenWrap 5 3" xfId="3446" xr:uid="{00000000-0005-0000-0000-00005E080000}"/>
    <cellStyle name="iTextGenWrap 5 3 2" xfId="5017" xr:uid="{59552939-CFA9-474E-A18F-1839A1AA1244}"/>
    <cellStyle name="iTextGenWrap 5 4" xfId="3760" xr:uid="{79995854-693E-40FE-AF9A-9594B97C2519}"/>
    <cellStyle name="iTextGenWrap 6" xfId="2680" xr:uid="{00000000-0005-0000-0000-00005F080000}"/>
    <cellStyle name="iTextGenWrap 6 2" xfId="4263" xr:uid="{976B1A10-9380-4029-88C9-1194CDB3BEB9}"/>
    <cellStyle name="iTextGenWrap 7" xfId="2408" xr:uid="{00000000-0005-0000-0000-000060080000}"/>
    <cellStyle name="iTextGenWrap 7 2" xfId="3997" xr:uid="{A939E6F3-D120-4FF3-BA33-A81BB89E2DAA}"/>
    <cellStyle name="iTextSm" xfId="1343" xr:uid="{00000000-0005-0000-0000-000061080000}"/>
    <cellStyle name="iTextSm 2" xfId="1344" xr:uid="{00000000-0005-0000-0000-000062080000}"/>
    <cellStyle name="iTextSm 2 2" xfId="2140" xr:uid="{00000000-0005-0000-0000-000063080000}"/>
    <cellStyle name="iTextSm 2 2 2" xfId="3026" xr:uid="{00000000-0005-0000-0000-000064080000}"/>
    <cellStyle name="iTextSm 2 2 2 2" xfId="4599" xr:uid="{88D1F18D-AD13-432B-A9B6-BBE8FB39595B}"/>
    <cellStyle name="iTextSm 2 2 3" xfId="3451" xr:uid="{00000000-0005-0000-0000-000065080000}"/>
    <cellStyle name="iTextSm 2 2 3 2" xfId="5022" xr:uid="{CF6183B9-F192-447C-B4AD-72490C654016}"/>
    <cellStyle name="iTextSm 2 2 4" xfId="3765" xr:uid="{8AA5CF20-3D28-4A08-8A9D-7FC214583A3A}"/>
    <cellStyle name="iTextSm 2 3" xfId="2685" xr:uid="{00000000-0005-0000-0000-000066080000}"/>
    <cellStyle name="iTextSm 2 3 2" xfId="4268" xr:uid="{0A0C63EA-BAD8-4772-A785-A60EC90D2958}"/>
    <cellStyle name="iTextSm 2 4" xfId="2403" xr:uid="{00000000-0005-0000-0000-000067080000}"/>
    <cellStyle name="iTextSm 2 4 2" xfId="3992" xr:uid="{C3073E3B-D9FA-434D-B03D-AA651A95C0D2}"/>
    <cellStyle name="iTextSm 3" xfId="1345" xr:uid="{00000000-0005-0000-0000-000068080000}"/>
    <cellStyle name="iTextSm 3 2" xfId="2141" xr:uid="{00000000-0005-0000-0000-000069080000}"/>
    <cellStyle name="iTextSm 3 2 2" xfId="3027" xr:uid="{00000000-0005-0000-0000-00006A080000}"/>
    <cellStyle name="iTextSm 3 2 2 2" xfId="4600" xr:uid="{11BB4EA4-E584-48CD-AB33-194F26FD1E1C}"/>
    <cellStyle name="iTextSm 3 2 3" xfId="3452" xr:uid="{00000000-0005-0000-0000-00006B080000}"/>
    <cellStyle name="iTextSm 3 2 3 2" xfId="5023" xr:uid="{05FA27BC-C87F-4A9D-8F9D-35F255CB4F83}"/>
    <cellStyle name="iTextSm 3 2 4" xfId="3766" xr:uid="{984C372B-6B11-48C1-8C73-1BDCB43DC8B5}"/>
    <cellStyle name="iTextSm 3 3" xfId="2686" xr:uid="{00000000-0005-0000-0000-00006C080000}"/>
    <cellStyle name="iTextSm 3 3 2" xfId="4269" xr:uid="{F397038F-D568-4D46-AA26-4912B96CBA1E}"/>
    <cellStyle name="iTextSm 3 4" xfId="2402" xr:uid="{00000000-0005-0000-0000-00006D080000}"/>
    <cellStyle name="iTextSm 3 4 2" xfId="3991" xr:uid="{EE4A183E-AABE-4761-AC2A-D6D832A16245}"/>
    <cellStyle name="iTextSm 4" xfId="1346" xr:uid="{00000000-0005-0000-0000-00006E080000}"/>
    <cellStyle name="iTextSm 4 2" xfId="2261" xr:uid="{00000000-0005-0000-0000-00006F080000}"/>
    <cellStyle name="iTextSm 4 2 2" xfId="3147" xr:uid="{00000000-0005-0000-0000-000070080000}"/>
    <cellStyle name="iTextSm 4 2 2 2" xfId="4720" xr:uid="{DD1B62EC-AEB0-4FCB-B18A-CB0822CD00CF}"/>
    <cellStyle name="iTextSm 4 2 3" xfId="3572" xr:uid="{00000000-0005-0000-0000-000071080000}"/>
    <cellStyle name="iTextSm 4 2 3 2" xfId="5143" xr:uid="{F10C02E9-8F49-42E5-9783-E0FC0A614502}"/>
    <cellStyle name="iTextSm 4 2 4" xfId="3873" xr:uid="{115AAE83-F6B7-470F-A341-1F60827B910B}"/>
    <cellStyle name="iTextSm 4 3" xfId="2687" xr:uid="{00000000-0005-0000-0000-000072080000}"/>
    <cellStyle name="iTextSm 4 3 2" xfId="4270" xr:uid="{BDB5F61D-9657-4202-8790-340E2A9A2DDB}"/>
    <cellStyle name="iTextSm 4 4" xfId="2401" xr:uid="{00000000-0005-0000-0000-000073080000}"/>
    <cellStyle name="iTextSm 4 4 2" xfId="3990" xr:uid="{F9FD84A4-6520-4224-9A01-A1AFA52669BA}"/>
    <cellStyle name="iTextSm 5" xfId="2139" xr:uid="{00000000-0005-0000-0000-000074080000}"/>
    <cellStyle name="iTextSm 5 2" xfId="3025" xr:uid="{00000000-0005-0000-0000-000075080000}"/>
    <cellStyle name="iTextSm 5 2 2" xfId="4598" xr:uid="{CC3176BF-0183-4BA4-8D96-AAB151C9F4B9}"/>
    <cellStyle name="iTextSm 5 3" xfId="3450" xr:uid="{00000000-0005-0000-0000-000076080000}"/>
    <cellStyle name="iTextSm 5 3 2" xfId="5021" xr:uid="{7550F23B-52CE-4631-9947-7DCE5CC19E61}"/>
    <cellStyle name="iTextSm 5 4" xfId="3764" xr:uid="{B6B071A9-F9C7-45B1-8E9B-A85BE3646B9C}"/>
    <cellStyle name="iTextSm 6" xfId="2684" xr:uid="{00000000-0005-0000-0000-000077080000}"/>
    <cellStyle name="iTextSm 6 2" xfId="4267" xr:uid="{7EB9F181-FEDB-4B11-8D22-43F9B20510BC}"/>
    <cellStyle name="iTextSm 7" xfId="2404" xr:uid="{00000000-0005-0000-0000-000078080000}"/>
    <cellStyle name="iTextSm 7 2" xfId="3993" xr:uid="{23939F7D-549C-477C-8142-7E133792831A}"/>
    <cellStyle name="itn -InpTopTextNoWrap" xfId="1347" xr:uid="{00000000-0005-0000-0000-000079080000}"/>
    <cellStyle name="itw -InpTopTextWrap" xfId="1348" xr:uid="{00000000-0005-0000-0000-00007A080000}"/>
    <cellStyle name="J.P.M. input" xfId="1349" xr:uid="{00000000-0005-0000-0000-00007B080000}"/>
    <cellStyle name="James" xfId="1350" xr:uid="{00000000-0005-0000-0000-00007C080000}"/>
    <cellStyle name="Jun" xfId="1351" xr:uid="{00000000-0005-0000-0000-00007D080000}"/>
    <cellStyle name="Komma [0]_KPN" xfId="1352" xr:uid="{00000000-0005-0000-0000-00007E080000}"/>
    <cellStyle name="Komma_KPN" xfId="1958" xr:uid="{00000000-0005-0000-0000-00007F080000}"/>
    <cellStyle name="Kostenstelle" xfId="1353" xr:uid="{00000000-0005-0000-0000-000080080000}"/>
    <cellStyle name="Kostenstelle 2" xfId="1354" xr:uid="{00000000-0005-0000-0000-000081080000}"/>
    <cellStyle name="Kostenstelle 2 2" xfId="2143" xr:uid="{00000000-0005-0000-0000-000082080000}"/>
    <cellStyle name="Kostenstelle 2 2 2" xfId="3029" xr:uid="{00000000-0005-0000-0000-000083080000}"/>
    <cellStyle name="Kostenstelle 2 2 2 2" xfId="4602" xr:uid="{BC1B6ED5-F96A-42EB-875E-BD932F62CAE7}"/>
    <cellStyle name="Kostenstelle 2 2 3" xfId="3454" xr:uid="{00000000-0005-0000-0000-000084080000}"/>
    <cellStyle name="Kostenstelle 2 2 3 2" xfId="5025" xr:uid="{2360727B-4C09-4863-8644-9F0B96A35129}"/>
    <cellStyle name="Kostenstelle 2 3" xfId="2689" xr:uid="{00000000-0005-0000-0000-000085080000}"/>
    <cellStyle name="Kostenstelle 2 3 2" xfId="4272" xr:uid="{2C952190-1FAF-4BBB-A3DA-D199CA07C40C}"/>
    <cellStyle name="Kostenstelle 3" xfId="2142" xr:uid="{00000000-0005-0000-0000-000086080000}"/>
    <cellStyle name="Kostenstelle 3 2" xfId="3028" xr:uid="{00000000-0005-0000-0000-000087080000}"/>
    <cellStyle name="Kostenstelle 3 2 2" xfId="4601" xr:uid="{EEC16AB1-9779-4BBD-AA4C-DF804478E2CF}"/>
    <cellStyle name="Kostenstelle 3 3" xfId="3453" xr:uid="{00000000-0005-0000-0000-000088080000}"/>
    <cellStyle name="Kostenstelle 3 3 2" xfId="5024" xr:uid="{290E99E8-BCA2-4D61-9819-4343020F16B3}"/>
    <cellStyle name="Kostenstelle 4" xfId="2688" xr:uid="{00000000-0005-0000-0000-000089080000}"/>
    <cellStyle name="Kostenstelle 4 2" xfId="4271" xr:uid="{3F85ED35-B413-4E8E-91EA-595563B0E625}"/>
    <cellStyle name="KPMG Heading 1" xfId="1355" xr:uid="{00000000-0005-0000-0000-00008A080000}"/>
    <cellStyle name="KPMG Heading 2" xfId="1356" xr:uid="{00000000-0005-0000-0000-00008B080000}"/>
    <cellStyle name="KPMG Heading 3" xfId="1357" xr:uid="{00000000-0005-0000-0000-00008C080000}"/>
    <cellStyle name="KPMG Heading 4" xfId="1358" xr:uid="{00000000-0005-0000-0000-00008D080000}"/>
    <cellStyle name="KPMG Normal" xfId="1359" xr:uid="{00000000-0005-0000-0000-00008E080000}"/>
    <cellStyle name="KPMG Normal Text" xfId="1360" xr:uid="{00000000-0005-0000-0000-00008F080000}"/>
    <cellStyle name="Label" xfId="1361" xr:uid="{00000000-0005-0000-0000-000090080000}"/>
    <cellStyle name="Level 3 Account Name" xfId="1362" xr:uid="{00000000-0005-0000-0000-000091080000}"/>
    <cellStyle name="Level 6 Account" xfId="1363" xr:uid="{00000000-0005-0000-0000-000092080000}"/>
    <cellStyle name="light_blue_highlight" xfId="1364" xr:uid="{00000000-0005-0000-0000-000093080000}"/>
    <cellStyle name="Line" xfId="1365" xr:uid="{00000000-0005-0000-0000-000094080000}"/>
    <cellStyle name="Link" xfId="1366" xr:uid="{00000000-0005-0000-0000-000095080000}"/>
    <cellStyle name="Linked Cell" xfId="8" builtinId="24" customBuiltin="1"/>
    <cellStyle name="ltn -TableTextNoWrap" xfId="1367" xr:uid="{00000000-0005-0000-0000-000097080000}"/>
    <cellStyle name="ltw -TableTextWrap" xfId="1368" xr:uid="{00000000-0005-0000-0000-000098080000}"/>
    <cellStyle name="m" xfId="1369" xr:uid="{00000000-0005-0000-0000-000099080000}"/>
    <cellStyle name="m_GermanyHo" xfId="1370" xr:uid="{00000000-0005-0000-0000-00009A080000}"/>
    <cellStyle name="Main heading" xfId="1371" xr:uid="{00000000-0005-0000-0000-00009B080000}"/>
    <cellStyle name="MainHeading" xfId="1372" xr:uid="{00000000-0005-0000-0000-00009C080000}"/>
    <cellStyle name="Margin" xfId="1373" xr:uid="{00000000-0005-0000-0000-00009D080000}"/>
    <cellStyle name="Margin &amp; Growth" xfId="1374" xr:uid="{00000000-0005-0000-0000-00009E080000}"/>
    <cellStyle name="Margin_2+10 CEO Country review template v1" xfId="1375" xr:uid="{00000000-0005-0000-0000-00009F080000}"/>
    <cellStyle name="max" xfId="1376" xr:uid="{00000000-0005-0000-0000-0000A0080000}"/>
    <cellStyle name="Message" xfId="1377" xr:uid="{00000000-0005-0000-0000-0000A1080000}"/>
    <cellStyle name="Migliaia (0)" xfId="1378" xr:uid="{00000000-0005-0000-0000-0000A2080000}"/>
    <cellStyle name="Millares [0]_Asset Mgmt " xfId="1379" xr:uid="{00000000-0005-0000-0000-0000A3080000}"/>
    <cellStyle name="Millares_Asset Mgmt " xfId="1380" xr:uid="{00000000-0005-0000-0000-0000A4080000}"/>
    <cellStyle name="Milliers [0]_!!!GO" xfId="1381" xr:uid="{00000000-0005-0000-0000-0000A5080000}"/>
    <cellStyle name="Milliers_!!!GO" xfId="1382" xr:uid="{00000000-0005-0000-0000-0000A6080000}"/>
    <cellStyle name="Million" xfId="1383" xr:uid="{00000000-0005-0000-0000-0000A7080000}"/>
    <cellStyle name="Millions" xfId="1384" xr:uid="{00000000-0005-0000-0000-0000A8080000}"/>
    <cellStyle name="min" xfId="1385" xr:uid="{00000000-0005-0000-0000-0000A9080000}"/>
    <cellStyle name="mine" xfId="1386" xr:uid="{00000000-0005-0000-0000-0000AA080000}"/>
    <cellStyle name="mit Punkten" xfId="1387" xr:uid="{00000000-0005-0000-0000-0000AB080000}"/>
    <cellStyle name="mit Punkten 2" xfId="1388" xr:uid="{00000000-0005-0000-0000-0000AC080000}"/>
    <cellStyle name="mmm yy" xfId="1389" xr:uid="{00000000-0005-0000-0000-0000AD080000}"/>
    <cellStyle name="Model" xfId="1390" xr:uid="{00000000-0005-0000-0000-0000AE080000}"/>
    <cellStyle name="Model 2" xfId="1959" xr:uid="{00000000-0005-0000-0000-0000AF080000}"/>
    <cellStyle name="Model 2 2" xfId="2867" xr:uid="{00000000-0005-0000-0000-0000B0080000}"/>
    <cellStyle name="Model 3" xfId="2690" xr:uid="{00000000-0005-0000-0000-0000B1080000}"/>
    <cellStyle name="Mon?aire [0]_!!!GO" xfId="1391" xr:uid="{00000000-0005-0000-0000-0000B2080000}"/>
    <cellStyle name="Mon?aire_!!!GO" xfId="1392" xr:uid="{00000000-0005-0000-0000-0000B3080000}"/>
    <cellStyle name="Moneda [0]_Asset Mgmt " xfId="1393" xr:uid="{00000000-0005-0000-0000-0000B4080000}"/>
    <cellStyle name="Moneda_Asset Mgmt " xfId="1394" xr:uid="{00000000-0005-0000-0000-0000B5080000}"/>
    <cellStyle name="Monétaire [0]_!!!GO" xfId="1395" xr:uid="{00000000-0005-0000-0000-0000B6080000}"/>
    <cellStyle name="Monétaire_!!!GO" xfId="1396" xr:uid="{00000000-0005-0000-0000-0000B7080000}"/>
    <cellStyle name="month" xfId="1397" xr:uid="{00000000-0005-0000-0000-0000B8080000}"/>
    <cellStyle name="months" xfId="1398" xr:uid="{00000000-0005-0000-0000-0000B9080000}"/>
    <cellStyle name="Mon騁aire [0]_!!!GO" xfId="1399" xr:uid="{00000000-0005-0000-0000-0000BA080000}"/>
    <cellStyle name="Mon騁aire_!!!GO" xfId="1400" xr:uid="{00000000-0005-0000-0000-0000BB080000}"/>
    <cellStyle name="MSectionHeadings" xfId="1401" xr:uid="{00000000-0005-0000-0000-0000BC080000}"/>
    <cellStyle name="Mult" xfId="1402" xr:uid="{00000000-0005-0000-0000-0000BD080000}"/>
    <cellStyle name="Mult No x" xfId="1403" xr:uid="{00000000-0005-0000-0000-0000BE080000}"/>
    <cellStyle name="Mult No x 2" xfId="1404" xr:uid="{00000000-0005-0000-0000-0000BF080000}"/>
    <cellStyle name="Mult With x" xfId="1405" xr:uid="{00000000-0005-0000-0000-0000C0080000}"/>
    <cellStyle name="Mult With x 2" xfId="1406" xr:uid="{00000000-0005-0000-0000-0000C1080000}"/>
    <cellStyle name="Multiple" xfId="1407" xr:uid="{00000000-0005-0000-0000-0000C2080000}"/>
    <cellStyle name="Multiple (no x)" xfId="1408" xr:uid="{00000000-0005-0000-0000-0000C3080000}"/>
    <cellStyle name="Multiple [0]" xfId="1409" xr:uid="{00000000-0005-0000-0000-0000C4080000}"/>
    <cellStyle name="Multiple [1]" xfId="1410" xr:uid="{00000000-0005-0000-0000-0000C5080000}"/>
    <cellStyle name="Multiple, 1 dec" xfId="1411" xr:uid="{00000000-0005-0000-0000-0000C6080000}"/>
    <cellStyle name="Multiple, 2 dec" xfId="1412" xr:uid="{00000000-0005-0000-0000-0000C7080000}"/>
    <cellStyle name="Multiple_050301 Camel operational model V1" xfId="1413" xr:uid="{00000000-0005-0000-0000-0000C8080000}"/>
    <cellStyle name="MW" xfId="1414" xr:uid="{00000000-0005-0000-0000-0000C9080000}"/>
    <cellStyle name="MWth" xfId="1415" xr:uid="{00000000-0005-0000-0000-0000CA080000}"/>
    <cellStyle name="Na" xfId="1416" xr:uid="{00000000-0005-0000-0000-0000CB080000}"/>
    <cellStyle name="Name" xfId="1417" xr:uid="{00000000-0005-0000-0000-0000CC080000}"/>
    <cellStyle name="Name for range" xfId="1418" xr:uid="{00000000-0005-0000-0000-0000CD080000}"/>
    <cellStyle name="nbr" xfId="1419" xr:uid="{00000000-0005-0000-0000-0000CE080000}"/>
    <cellStyle name="neg0.0" xfId="1420" xr:uid="{00000000-0005-0000-0000-0000CF080000}"/>
    <cellStyle name="Neutral" xfId="5" builtinId="28" customBuiltin="1"/>
    <cellStyle name="no" xfId="1421" xr:uid="{00000000-0005-0000-0000-0000D1080000}"/>
    <cellStyle name="no 2" xfId="1422" xr:uid="{00000000-0005-0000-0000-0000D2080000}"/>
    <cellStyle name="no 2 2" xfId="2145" xr:uid="{00000000-0005-0000-0000-0000D3080000}"/>
    <cellStyle name="no 2 2 2" xfId="3031" xr:uid="{00000000-0005-0000-0000-0000D4080000}"/>
    <cellStyle name="no 2 2 2 2" xfId="4604" xr:uid="{7B4A892B-4481-437B-9581-060B74AE9E9A}"/>
    <cellStyle name="no 2 2 3" xfId="3456" xr:uid="{00000000-0005-0000-0000-0000D5080000}"/>
    <cellStyle name="no 2 2 3 2" xfId="5027" xr:uid="{6D672223-122C-4D82-AA70-BD2EFB6B5E17}"/>
    <cellStyle name="no 2 3" xfId="2692" xr:uid="{00000000-0005-0000-0000-0000D6080000}"/>
    <cellStyle name="no 2 3 2" xfId="4274" xr:uid="{51888BD8-D5D2-431F-9355-BB3B942292D1}"/>
    <cellStyle name="no 3" xfId="2144" xr:uid="{00000000-0005-0000-0000-0000D7080000}"/>
    <cellStyle name="no 3 2" xfId="3030" xr:uid="{00000000-0005-0000-0000-0000D8080000}"/>
    <cellStyle name="no 3 2 2" xfId="4603" xr:uid="{DDC3D889-FC05-4293-B31C-21FAAFE1DA15}"/>
    <cellStyle name="no 3 3" xfId="3455" xr:uid="{00000000-0005-0000-0000-0000D9080000}"/>
    <cellStyle name="no 3 3 2" xfId="5026" xr:uid="{76827A4C-1365-41FE-8BC4-370555FE7893}"/>
    <cellStyle name="no 4" xfId="2691" xr:uid="{00000000-0005-0000-0000-0000DA080000}"/>
    <cellStyle name="no 4 2" xfId="4273" xr:uid="{4DB80C33-A06F-4E98-8940-F0555323BE6B}"/>
    <cellStyle name="No border" xfId="1423" xr:uid="{00000000-0005-0000-0000-0000DB080000}"/>
    <cellStyle name="no dec" xfId="1424" xr:uid="{00000000-0005-0000-0000-0000DC080000}"/>
    <cellStyle name="Non input" xfId="1425" xr:uid="{00000000-0005-0000-0000-0000DD080000}"/>
    <cellStyle name="Non_Input_Cell_Figures" xfId="1426" xr:uid="{00000000-0005-0000-0000-0000DE080000}"/>
    <cellStyle name="NonDataEntry" xfId="1427" xr:uid="{00000000-0005-0000-0000-0000DF080000}"/>
    <cellStyle name="Nor?al_bt" xfId="1428" xr:uid="{00000000-0005-0000-0000-0000E0080000}"/>
    <cellStyle name="Nor}al_Sheet1 (2)" xfId="1429" xr:uid="{00000000-0005-0000-0000-0000E1080000}"/>
    <cellStyle name="Normal" xfId="0" builtinId="0"/>
    <cellStyle name="Normal - Style1" xfId="1430" xr:uid="{00000000-0005-0000-0000-0000E3080000}"/>
    <cellStyle name="Normal - sub-total" xfId="1431" xr:uid="{00000000-0005-0000-0000-0000E4080000}"/>
    <cellStyle name="Normal - sub-total 2" xfId="1432" xr:uid="{00000000-0005-0000-0000-0000E5080000}"/>
    <cellStyle name="Normal - sub-total 3" xfId="1433" xr:uid="{00000000-0005-0000-0000-0000E6080000}"/>
    <cellStyle name="Normal - sub-total 4" xfId="1434" xr:uid="{00000000-0005-0000-0000-0000E7080000}"/>
    <cellStyle name="Normal - title" xfId="1435" xr:uid="{00000000-0005-0000-0000-0000E8080000}"/>
    <cellStyle name="Normal - total" xfId="1436" xr:uid="{00000000-0005-0000-0000-0000E9080000}"/>
    <cellStyle name="Normal - total 2" xfId="1960" xr:uid="{00000000-0005-0000-0000-0000EA080000}"/>
    <cellStyle name="Normal - total 2 2" xfId="2321" xr:uid="{00000000-0005-0000-0000-0000EB080000}"/>
    <cellStyle name="Normal - total 2 2 2" xfId="3205" xr:uid="{00000000-0005-0000-0000-0000EC080000}"/>
    <cellStyle name="Normal - total 2 2 2 2" xfId="4776" xr:uid="{97E1641E-C70A-40FB-9461-0058941E449D}"/>
    <cellStyle name="Normal - total 2 2 3" xfId="3629" xr:uid="{00000000-0005-0000-0000-0000ED080000}"/>
    <cellStyle name="Normal - total 2 2 3 2" xfId="5199" xr:uid="{B9A7C06F-5652-49B6-9EE6-5648932577E0}"/>
    <cellStyle name="Normal - total 2 2 4" xfId="3920" xr:uid="{9B4350A0-1568-4BFF-9719-FD4C098FE4D7}"/>
    <cellStyle name="Normal - total 2 3" xfId="2868" xr:uid="{00000000-0005-0000-0000-0000EE080000}"/>
    <cellStyle name="Normal - total 2 3 2" xfId="4442" xr:uid="{F58A02AF-7A7F-4EC0-AF2E-819AFFC2AFD6}"/>
    <cellStyle name="Normal - total 2 4" xfId="3294" xr:uid="{00000000-0005-0000-0000-0000EF080000}"/>
    <cellStyle name="Normal - total 2 4 2" xfId="4865" xr:uid="{54A2BC8C-AF94-487A-8DFB-B3BB83EA14AC}"/>
    <cellStyle name="Normal - total 3" xfId="2146" xr:uid="{00000000-0005-0000-0000-0000F0080000}"/>
    <cellStyle name="Normal - total 3 2" xfId="3032" xr:uid="{00000000-0005-0000-0000-0000F1080000}"/>
    <cellStyle name="Normal - total 3 2 2" xfId="4605" xr:uid="{FAD09BB3-6611-4035-8EE7-403732C95B64}"/>
    <cellStyle name="Normal - total 3 3" xfId="3457" xr:uid="{00000000-0005-0000-0000-0000F2080000}"/>
    <cellStyle name="Normal - total 3 3 2" xfId="5028" xr:uid="{1EFC930E-AA20-48C2-A47D-92797E095AAA}"/>
    <cellStyle name="Normal - total 3 4" xfId="3767" xr:uid="{21232109-7BB3-4D83-AFF1-9D358C2E308A}"/>
    <cellStyle name="Normal - total 4" xfId="2693" xr:uid="{00000000-0005-0000-0000-0000F3080000}"/>
    <cellStyle name="Normal - total 4 2" xfId="4275" xr:uid="{45E983A5-BF83-4CFA-9B5F-D0D4C534C944}"/>
    <cellStyle name="Normal - total 5" xfId="2400" xr:uid="{00000000-0005-0000-0000-0000F4080000}"/>
    <cellStyle name="Normal - total 5 2" xfId="3989" xr:uid="{2FC3F9D3-4CB1-432F-B417-5BC416D9B621}"/>
    <cellStyle name="Normal #" xfId="1437" xr:uid="{00000000-0005-0000-0000-0000F5080000}"/>
    <cellStyle name="Normal [x]" xfId="1438" xr:uid="{00000000-0005-0000-0000-0000F6080000}"/>
    <cellStyle name="Normal 10" xfId="1988" xr:uid="{00000000-0005-0000-0000-0000F7080000}"/>
    <cellStyle name="Normal 11 2" xfId="2332" xr:uid="{00000000-0005-0000-0000-0000F8080000}"/>
    <cellStyle name="Normal 13 2" xfId="2337" xr:uid="{00000000-0005-0000-0000-0000F9080000}"/>
    <cellStyle name="Normal 2" xfId="1439" xr:uid="{00000000-0005-0000-0000-0000FA080000}"/>
    <cellStyle name="Normal 2 13" xfId="2330" xr:uid="{00000000-0005-0000-0000-0000FB080000}"/>
    <cellStyle name="Normal 2 13 2" xfId="2335" xr:uid="{00000000-0005-0000-0000-0000FC080000}"/>
    <cellStyle name="Normal 23" xfId="2336" xr:uid="{00000000-0005-0000-0000-0000FD080000}"/>
    <cellStyle name="Normal 24" xfId="2334" xr:uid="{00000000-0005-0000-0000-0000FE080000}"/>
    <cellStyle name="Normal 25" xfId="2331" xr:uid="{00000000-0005-0000-0000-0000FF080000}"/>
    <cellStyle name="Normal 26" xfId="2333" xr:uid="{00000000-0005-0000-0000-000000090000}"/>
    <cellStyle name="Normal 3" xfId="1440" xr:uid="{00000000-0005-0000-0000-000001090000}"/>
    <cellStyle name="Normal 3 2" xfId="1925" xr:uid="{00000000-0005-0000-0000-000002090000}"/>
    <cellStyle name="Normal 4" xfId="1441" xr:uid="{00000000-0005-0000-0000-000003090000}"/>
    <cellStyle name="Normal 5" xfId="1442" xr:uid="{00000000-0005-0000-0000-000004090000}"/>
    <cellStyle name="Normal 6" xfId="1443" xr:uid="{00000000-0005-0000-0000-000005090000}"/>
    <cellStyle name="Normal 7" xfId="1444" xr:uid="{00000000-0005-0000-0000-000006090000}"/>
    <cellStyle name="Normal 8" xfId="1445" xr:uid="{00000000-0005-0000-0000-000007090000}"/>
    <cellStyle name="Normal 9" xfId="1930" xr:uid="{00000000-0005-0000-0000-000008090000}"/>
    <cellStyle name="Normal bold" xfId="1446" xr:uid="{00000000-0005-0000-0000-000009090000}"/>
    <cellStyle name="Normal Italics" xfId="1447" xr:uid="{00000000-0005-0000-0000-00000A090000}"/>
    <cellStyle name="Normal Link" xfId="1448" xr:uid="{00000000-0005-0000-0000-00000B090000}"/>
    <cellStyle name="Normal new" xfId="1449" xr:uid="{00000000-0005-0000-0000-00000C090000}"/>
    <cellStyle name="normal2" xfId="1450" xr:uid="{00000000-0005-0000-0000-00000D090000}"/>
    <cellStyle name="NormalNumber%" xfId="1451" xr:uid="{00000000-0005-0000-0000-00000E090000}"/>
    <cellStyle name="Normalny_statystyka, planning data_robert" xfId="1452" xr:uid="{00000000-0005-0000-0000-00000F090000}"/>
    <cellStyle name="Nor㟭al_bt" xfId="1453" xr:uid="{00000000-0005-0000-0000-000010090000}"/>
    <cellStyle name="Note" xfId="11" builtinId="10" customBuiltin="1"/>
    <cellStyle name="Notes" xfId="1454" xr:uid="{00000000-0005-0000-0000-000012090000}"/>
    <cellStyle name="Notes 2" xfId="1455" xr:uid="{00000000-0005-0000-0000-000013090000}"/>
    <cellStyle name="nPloded_Lines" xfId="1456" xr:uid="{00000000-0005-0000-0000-000014090000}"/>
    <cellStyle name="nplosion" xfId="1457" xr:uid="{00000000-0005-0000-0000-000015090000}"/>
    <cellStyle name="Nr 0 dec" xfId="1458" xr:uid="{00000000-0005-0000-0000-000016090000}"/>
    <cellStyle name="Nr 0 dec - Input" xfId="1459" xr:uid="{00000000-0005-0000-0000-000017090000}"/>
    <cellStyle name="Nr 0 dec - Subtotal" xfId="1460" xr:uid="{00000000-0005-0000-0000-000018090000}"/>
    <cellStyle name="Nr 0 dec - Subtotal 2" xfId="1461" xr:uid="{00000000-0005-0000-0000-000019090000}"/>
    <cellStyle name="Nr 0 dec - Subtotal 3" xfId="1462" xr:uid="{00000000-0005-0000-0000-00001A090000}"/>
    <cellStyle name="Nr 0 dec - Subtotal 4" xfId="1463" xr:uid="{00000000-0005-0000-0000-00001B090000}"/>
    <cellStyle name="Nr 0 dec_2+10 CEO Country review template v1" xfId="1464" xr:uid="{00000000-0005-0000-0000-00001C090000}"/>
    <cellStyle name="Nr 1 dec" xfId="1465" xr:uid="{00000000-0005-0000-0000-00001D090000}"/>
    <cellStyle name="Nr 1 dec - Input" xfId="1466" xr:uid="{00000000-0005-0000-0000-00001E090000}"/>
    <cellStyle name="Nr, 0 dec" xfId="1467" xr:uid="{00000000-0005-0000-0000-00001F090000}"/>
    <cellStyle name="Num0Un" xfId="1468" xr:uid="{00000000-0005-0000-0000-000020090000}"/>
    <cellStyle name="Num1" xfId="1469" xr:uid="{00000000-0005-0000-0000-000021090000}"/>
    <cellStyle name="Num2" xfId="1470" xr:uid="{00000000-0005-0000-0000-000022090000}"/>
    <cellStyle name="Num2Un" xfId="1471" xr:uid="{00000000-0005-0000-0000-000023090000}"/>
    <cellStyle name="Number" xfId="1472" xr:uid="{00000000-0005-0000-0000-000024090000}"/>
    <cellStyle name="Number (2dp)" xfId="1473" xr:uid="{00000000-0005-0000-0000-000025090000}"/>
    <cellStyle name="Number 0d" xfId="1474" xr:uid="{00000000-0005-0000-0000-000026090000}"/>
    <cellStyle name="Number 1 dec." xfId="1475" xr:uid="{00000000-0005-0000-0000-000027090000}"/>
    <cellStyle name="Number 1 dec. semi-bord" xfId="1476" xr:uid="{00000000-0005-0000-0000-000028090000}"/>
    <cellStyle name="Number 1 dec. semi-bord 2" xfId="1961" xr:uid="{00000000-0005-0000-0000-000029090000}"/>
    <cellStyle name="Number 1 dec._2+10 CEO Country review template v1" xfId="1477" xr:uid="{00000000-0005-0000-0000-00002A090000}"/>
    <cellStyle name="Number 1d" xfId="1478" xr:uid="{00000000-0005-0000-0000-00002B090000}"/>
    <cellStyle name="Number 2" xfId="1479" xr:uid="{00000000-0005-0000-0000-00002C090000}"/>
    <cellStyle name="Number 2d" xfId="1480" xr:uid="{00000000-0005-0000-0000-00002D090000}"/>
    <cellStyle name="Number 3" xfId="1481" xr:uid="{00000000-0005-0000-0000-00002E090000}"/>
    <cellStyle name="Number 3d" xfId="1482" xr:uid="{00000000-0005-0000-0000-00002F090000}"/>
    <cellStyle name="Number 4" xfId="1483" xr:uid="{00000000-0005-0000-0000-000030090000}"/>
    <cellStyle name="Number 5" xfId="1484" xr:uid="{00000000-0005-0000-0000-000031090000}"/>
    <cellStyle name="Number, 0 dec" xfId="1485" xr:uid="{00000000-0005-0000-0000-000032090000}"/>
    <cellStyle name="Number, 1 dec" xfId="1486" xr:uid="{00000000-0005-0000-0000-000033090000}"/>
    <cellStyle name="Number, 2 dec" xfId="1487" xr:uid="{00000000-0005-0000-0000-000034090000}"/>
    <cellStyle name="Number,1d" xfId="1488" xr:uid="{00000000-0005-0000-0000-000035090000}"/>
    <cellStyle name="Number_FAP Forecasting v1.03" xfId="1489" xr:uid="{00000000-0005-0000-0000-000036090000}"/>
    <cellStyle name="Numeric point input" xfId="1490" xr:uid="{00000000-0005-0000-0000-000037090000}"/>
    <cellStyle name="Numeric point input 2" xfId="1491" xr:uid="{00000000-0005-0000-0000-000038090000}"/>
    <cellStyle name="Numeric point input 2 2" xfId="2148" xr:uid="{00000000-0005-0000-0000-000039090000}"/>
    <cellStyle name="Numeric point input 2 2 2" xfId="3034" xr:uid="{00000000-0005-0000-0000-00003A090000}"/>
    <cellStyle name="Numeric point input 2 2 2 2" xfId="4607" xr:uid="{4CCA805E-B796-4D6D-9829-67CE9E3BA53C}"/>
    <cellStyle name="Numeric point input 2 2 3" xfId="3459" xr:uid="{00000000-0005-0000-0000-00003B090000}"/>
    <cellStyle name="Numeric point input 2 2 3 2" xfId="5030" xr:uid="{B2E3199B-469F-4988-889F-7D36CDBC8E47}"/>
    <cellStyle name="Numeric point input 2 3" xfId="2695" xr:uid="{00000000-0005-0000-0000-00003C090000}"/>
    <cellStyle name="Numeric point input 2 3 2" xfId="4277" xr:uid="{C6093DB0-E75C-490A-BF95-243C4B4C6EC5}"/>
    <cellStyle name="Numeric point input 3" xfId="2147" xr:uid="{00000000-0005-0000-0000-00003D090000}"/>
    <cellStyle name="Numeric point input 3 2" xfId="3033" xr:uid="{00000000-0005-0000-0000-00003E090000}"/>
    <cellStyle name="Numeric point input 3 2 2" xfId="4606" xr:uid="{9ABF573B-A602-46A0-AF53-E506A6FE4F9D}"/>
    <cellStyle name="Numeric point input 3 3" xfId="3458" xr:uid="{00000000-0005-0000-0000-00003F090000}"/>
    <cellStyle name="Numeric point input 3 3 2" xfId="5029" xr:uid="{E9ED811D-2461-4E2F-964E-1157ED7A575F}"/>
    <cellStyle name="Numeric point input 4" xfId="2694" xr:uid="{00000000-0005-0000-0000-000040090000}"/>
    <cellStyle name="Numeric point input 4 2" xfId="4276" xr:uid="{A74B455F-D2AF-4167-838D-A141A8239ED8}"/>
    <cellStyle name="numero input" xfId="1492" xr:uid="{00000000-0005-0000-0000-000041090000}"/>
    <cellStyle name="numero normal" xfId="1493" xr:uid="{00000000-0005-0000-0000-000042090000}"/>
    <cellStyle name="OK" xfId="1494" xr:uid="{00000000-0005-0000-0000-000043090000}"/>
    <cellStyle name="OK 2" xfId="1495" xr:uid="{00000000-0005-0000-0000-000044090000}"/>
    <cellStyle name="OK 2 2" xfId="2150" xr:uid="{00000000-0005-0000-0000-000045090000}"/>
    <cellStyle name="OK 2 2 2" xfId="3036" xr:uid="{00000000-0005-0000-0000-000046090000}"/>
    <cellStyle name="OK 2 2 2 2" xfId="4609" xr:uid="{38C377B4-F601-42A7-8D81-96DD36432FE6}"/>
    <cellStyle name="OK 2 2 3" xfId="3461" xr:uid="{00000000-0005-0000-0000-000047090000}"/>
    <cellStyle name="OK 2 2 3 2" xfId="5032" xr:uid="{DC46A536-38AB-46C0-99C4-D1FB45DB3841}"/>
    <cellStyle name="OK 2 3" xfId="2697" xr:uid="{00000000-0005-0000-0000-000048090000}"/>
    <cellStyle name="OK 2 3 2" xfId="4279" xr:uid="{76667174-8F6A-47B5-9454-0A0CD8A51E4F}"/>
    <cellStyle name="OK 3" xfId="2149" xr:uid="{00000000-0005-0000-0000-000049090000}"/>
    <cellStyle name="OK 3 2" xfId="3035" xr:uid="{00000000-0005-0000-0000-00004A090000}"/>
    <cellStyle name="OK 3 2 2" xfId="4608" xr:uid="{F376A1EF-E3AA-4D75-8EA9-DD1F7013702E}"/>
    <cellStyle name="OK 3 3" xfId="3460" xr:uid="{00000000-0005-0000-0000-00004B090000}"/>
    <cellStyle name="OK 3 3 2" xfId="5031" xr:uid="{C86E905A-2288-4C3C-A7AE-0208CC5752D0}"/>
    <cellStyle name="OK 4" xfId="2696" xr:uid="{00000000-0005-0000-0000-00004C090000}"/>
    <cellStyle name="OK 4 2" xfId="4278" xr:uid="{EFF9B4C1-BB5B-41F1-BFDA-36F8A11B0D73}"/>
    <cellStyle name="Onedec" xfId="1496" xr:uid="{00000000-0005-0000-0000-00004D090000}"/>
    <cellStyle name="Option" xfId="1497" xr:uid="{00000000-0005-0000-0000-00004E090000}"/>
    <cellStyle name="Output" xfId="6" builtinId="21" customBuiltin="1"/>
    <cellStyle name="Output (1dp#)" xfId="1498" xr:uid="{00000000-0005-0000-0000-000050090000}"/>
    <cellStyle name="Output Amounts" xfId="1499" xr:uid="{00000000-0005-0000-0000-000051090000}"/>
    <cellStyle name="Output Column Headings" xfId="1500" xr:uid="{00000000-0005-0000-0000-000052090000}"/>
    <cellStyle name="Output Line Items" xfId="1501" xr:uid="{00000000-0005-0000-0000-000053090000}"/>
    <cellStyle name="Output Line Items 2" xfId="1502" xr:uid="{00000000-0005-0000-0000-000054090000}"/>
    <cellStyle name="Output Line Items 2 2" xfId="1963" xr:uid="{00000000-0005-0000-0000-000055090000}"/>
    <cellStyle name="Output Line Items 2 2 2" xfId="2272" xr:uid="{00000000-0005-0000-0000-000056090000}"/>
    <cellStyle name="Output Line Items 2 2 2 2" xfId="3156" xr:uid="{00000000-0005-0000-0000-000057090000}"/>
    <cellStyle name="Output Line Items 2 3" xfId="2699" xr:uid="{00000000-0005-0000-0000-000058090000}"/>
    <cellStyle name="Output Line Items 3" xfId="1962" xr:uid="{00000000-0005-0000-0000-000059090000}"/>
    <cellStyle name="Output Line Items 3 2" xfId="2271" xr:uid="{00000000-0005-0000-0000-00005A090000}"/>
    <cellStyle name="Output Line Items 3 2 2" xfId="3155" xr:uid="{00000000-0005-0000-0000-00005B090000}"/>
    <cellStyle name="Output Line Items 4" xfId="2698" xr:uid="{00000000-0005-0000-0000-00005C090000}"/>
    <cellStyle name="Output Report Heading" xfId="1503" xr:uid="{00000000-0005-0000-0000-00005D090000}"/>
    <cellStyle name="Output Report Title" xfId="1504" xr:uid="{00000000-0005-0000-0000-00005E090000}"/>
    <cellStyle name="Page Heading" xfId="1505" xr:uid="{00000000-0005-0000-0000-00005F090000}"/>
    <cellStyle name="Page Number" xfId="1506" xr:uid="{00000000-0005-0000-0000-000060090000}"/>
    <cellStyle name="PALATINO" xfId="1507" xr:uid="{00000000-0005-0000-0000-000061090000}"/>
    <cellStyle name="pb_page_heading_LS" xfId="1508" xr:uid="{00000000-0005-0000-0000-000062090000}"/>
    <cellStyle name="Perc1" xfId="1509" xr:uid="{00000000-0005-0000-0000-000063090000}"/>
    <cellStyle name="Percent (0)" xfId="1510" xr:uid="{00000000-0005-0000-0000-000064090000}"/>
    <cellStyle name="Percent (0.0)" xfId="1511" xr:uid="{00000000-0005-0000-0000-000065090000}"/>
    <cellStyle name="Percent (0.00)" xfId="1512" xr:uid="{00000000-0005-0000-0000-000066090000}"/>
    <cellStyle name="Percent [0]" xfId="1513" xr:uid="{00000000-0005-0000-0000-000067090000}"/>
    <cellStyle name="Percent [2]" xfId="1514" xr:uid="{00000000-0005-0000-0000-000068090000}"/>
    <cellStyle name="Percent 0" xfId="1515" xr:uid="{00000000-0005-0000-0000-000069090000}"/>
    <cellStyle name="Percent 0,00" xfId="1516" xr:uid="{00000000-0005-0000-0000-00006A090000}"/>
    <cellStyle name="Percent 0_0309 XI" xfId="1964" xr:uid="{00000000-0005-0000-0000-00006B090000}"/>
    <cellStyle name="Percent 1 dec - Input" xfId="1517" xr:uid="{00000000-0005-0000-0000-00006C090000}"/>
    <cellStyle name="Percent 1 dec_Data" xfId="1518" xr:uid="{00000000-0005-0000-0000-00006D090000}"/>
    <cellStyle name="Percent 1d" xfId="1519" xr:uid="{00000000-0005-0000-0000-00006E090000}"/>
    <cellStyle name="Percent 2" xfId="1520" xr:uid="{00000000-0005-0000-0000-00006F090000}"/>
    <cellStyle name="Percent 2 2" xfId="1521" xr:uid="{00000000-0005-0000-0000-000070090000}"/>
    <cellStyle name="Percent 3" xfId="1522" xr:uid="{00000000-0005-0000-0000-000071090000}"/>
    <cellStyle name="Percent 4" xfId="1523" xr:uid="{00000000-0005-0000-0000-000072090000}"/>
    <cellStyle name="Percent 5" xfId="1524" xr:uid="{00000000-0005-0000-0000-000073090000}"/>
    <cellStyle name="Percent 6" xfId="1525" xr:uid="{00000000-0005-0000-0000-000074090000}"/>
    <cellStyle name="Percent 7" xfId="1526" xr:uid="{00000000-0005-0000-0000-000075090000}"/>
    <cellStyle name="Percent 8" xfId="1527" xr:uid="{00000000-0005-0000-0000-000076090000}"/>
    <cellStyle name="Percent Hard" xfId="1528" xr:uid="{00000000-0005-0000-0000-000077090000}"/>
    <cellStyle name="Percent, 0 dec" xfId="1529" xr:uid="{00000000-0005-0000-0000-000078090000}"/>
    <cellStyle name="Percent, 1 dec" xfId="1530" xr:uid="{00000000-0005-0000-0000-000079090000}"/>
    <cellStyle name="Percent, 2 dec" xfId="1531" xr:uid="{00000000-0005-0000-0000-00007A090000}"/>
    <cellStyle name="Percent, bp" xfId="1532" xr:uid="{00000000-0005-0000-0000-00007B090000}"/>
    <cellStyle name="Percent-0.0%" xfId="1533" xr:uid="{00000000-0005-0000-0000-00007C090000}"/>
    <cellStyle name="Percentage" xfId="1534" xr:uid="{00000000-0005-0000-0000-00007D090000}"/>
    <cellStyle name="Percentage (2dp)" xfId="1535" xr:uid="{00000000-0005-0000-0000-00007E090000}"/>
    <cellStyle name="Percentage_FAP Forecasting v1.03" xfId="1536" xr:uid="{00000000-0005-0000-0000-00007F090000}"/>
    <cellStyle name="PercentChange" xfId="1537" xr:uid="{00000000-0005-0000-0000-000080090000}"/>
    <cellStyle name="Percent-no dec" xfId="1538" xr:uid="{00000000-0005-0000-0000-000081090000}"/>
    <cellStyle name="phasing" xfId="1539" xr:uid="{00000000-0005-0000-0000-000082090000}"/>
    <cellStyle name="point variable" xfId="1540" xr:uid="{00000000-0005-0000-0000-000083090000}"/>
    <cellStyle name="Price" xfId="1541" xr:uid="{00000000-0005-0000-0000-000084090000}"/>
    <cellStyle name="PriceUn" xfId="1542" xr:uid="{00000000-0005-0000-0000-000085090000}"/>
    <cellStyle name="Procent_Chart Value license with wacc" xfId="1543" xr:uid="{00000000-0005-0000-0000-000086090000}"/>
    <cellStyle name="Profit figure" xfId="1544" xr:uid="{00000000-0005-0000-0000-000087090000}"/>
    <cellStyle name="Profit_Loss" xfId="1545" xr:uid="{00000000-0005-0000-0000-000088090000}"/>
    <cellStyle name="Prozent +line" xfId="1546" xr:uid="{00000000-0005-0000-0000-000089090000}"/>
    <cellStyle name="Prozent +line 2" xfId="1965" xr:uid="{00000000-0005-0000-0000-00008A090000}"/>
    <cellStyle name="Prozent 0,0" xfId="1547" xr:uid="{00000000-0005-0000-0000-00008B090000}"/>
    <cellStyle name="Prozent 0,00" xfId="1548" xr:uid="{00000000-0005-0000-0000-00008C090000}"/>
    <cellStyle name="Prozent(+line)" xfId="1549" xr:uid="{00000000-0005-0000-0000-00008D090000}"/>
    <cellStyle name="Prozent(+line) 2" xfId="1966" xr:uid="{00000000-0005-0000-0000-00008E090000}"/>
    <cellStyle name="Prozent_01_delta03_V47_KORR_21.8." xfId="1967" xr:uid="{00000000-0005-0000-0000-00008F090000}"/>
    <cellStyle name="PSChar" xfId="1550" xr:uid="{00000000-0005-0000-0000-000090090000}"/>
    <cellStyle name="PSDate" xfId="1551" xr:uid="{00000000-0005-0000-0000-000091090000}"/>
    <cellStyle name="PSDec" xfId="1552" xr:uid="{00000000-0005-0000-0000-000092090000}"/>
    <cellStyle name="PSHeading" xfId="1553" xr:uid="{00000000-0005-0000-0000-000093090000}"/>
    <cellStyle name="PSHeading 2" xfId="1968" xr:uid="{00000000-0005-0000-0000-000094090000}"/>
    <cellStyle name="PSHeading 2 2" xfId="2869" xr:uid="{00000000-0005-0000-0000-000095090000}"/>
    <cellStyle name="PSHeading 3" xfId="2700" xr:uid="{00000000-0005-0000-0000-000096090000}"/>
    <cellStyle name="PSInt" xfId="1554" xr:uid="{00000000-0005-0000-0000-000097090000}"/>
    <cellStyle name="PSSpacer" xfId="1555" xr:uid="{00000000-0005-0000-0000-000098090000}"/>
    <cellStyle name="Pub percent" xfId="1556" xr:uid="{00000000-0005-0000-0000-000099090000}"/>
    <cellStyle name="r" xfId="1557" xr:uid="{00000000-0005-0000-0000-00009A090000}"/>
    <cellStyle name="RatioX" xfId="1558" xr:uid="{00000000-0005-0000-0000-00009B090000}"/>
    <cellStyle name="Rechnungsnummer" xfId="1559" xr:uid="{00000000-0005-0000-0000-00009C090000}"/>
    <cellStyle name="Ref Numbers" xfId="1560" xr:uid="{00000000-0005-0000-0000-00009D090000}"/>
    <cellStyle name="Reference" xfId="1561" xr:uid="{00000000-0005-0000-0000-00009E090000}"/>
    <cellStyle name="Reference (O%)" xfId="1562" xr:uid="{00000000-0005-0000-0000-00009F090000}"/>
    <cellStyle name="Reference [00]" xfId="1563" xr:uid="{00000000-0005-0000-0000-0000A0090000}"/>
    <cellStyle name="Reference_0309 XI" xfId="1564" xr:uid="{00000000-0005-0000-0000-0000A1090000}"/>
    <cellStyle name="Results" xfId="1565" xr:uid="{00000000-0005-0000-0000-0000A2090000}"/>
    <cellStyle name="Results 2" xfId="1969" xr:uid="{00000000-0005-0000-0000-0000A3090000}"/>
    <cellStyle name="Results 2 2" xfId="2322" xr:uid="{00000000-0005-0000-0000-0000A4090000}"/>
    <cellStyle name="RevList" xfId="1566" xr:uid="{00000000-0005-0000-0000-0000A5090000}"/>
    <cellStyle name="Rmess" xfId="1567" xr:uid="{00000000-0005-0000-0000-0000A6090000}"/>
    <cellStyle name="Rnumber" xfId="1568" xr:uid="{00000000-0005-0000-0000-0000A7090000}"/>
    <cellStyle name="Rnumber 0d" xfId="1569" xr:uid="{00000000-0005-0000-0000-0000A8090000}"/>
    <cellStyle name="Rnumber_1907 Fixedline comps31" xfId="1570" xr:uid="{00000000-0005-0000-0000-0000A9090000}"/>
    <cellStyle name="Route1" xfId="1571" xr:uid="{00000000-0005-0000-0000-0000AA090000}"/>
    <cellStyle name="Row label" xfId="1572" xr:uid="{00000000-0005-0000-0000-0000AB090000}"/>
    <cellStyle name="Row label (indent)" xfId="1573" xr:uid="{00000000-0005-0000-0000-0000AC090000}"/>
    <cellStyle name="SAPBEXaggData" xfId="1574" xr:uid="{00000000-0005-0000-0000-0000AD090000}"/>
    <cellStyle name="SAPBEXaggData 2" xfId="1575" xr:uid="{00000000-0005-0000-0000-0000AE090000}"/>
    <cellStyle name="SAPBEXaggData 2 2" xfId="2152" xr:uid="{00000000-0005-0000-0000-0000AF090000}"/>
    <cellStyle name="SAPBEXaggData 2 2 2" xfId="3038" xr:uid="{00000000-0005-0000-0000-0000B0090000}"/>
    <cellStyle name="SAPBEXaggData 2 2 2 2" xfId="4611" xr:uid="{79A72BD2-FF3D-4AA1-8941-EF8612CCA515}"/>
    <cellStyle name="SAPBEXaggData 2 2 3" xfId="3463" xr:uid="{00000000-0005-0000-0000-0000B1090000}"/>
    <cellStyle name="SAPBEXaggData 2 2 3 2" xfId="5034" xr:uid="{8A161BDF-B71B-48ED-AC88-01E98DAB949B}"/>
    <cellStyle name="SAPBEXaggData 2 2 4" xfId="3769" xr:uid="{F26D146C-2DC7-4548-B66C-1090601039D2}"/>
    <cellStyle name="SAPBEXaggData 2 3" xfId="2702" xr:uid="{00000000-0005-0000-0000-0000B2090000}"/>
    <cellStyle name="SAPBEXaggData 2 3 2" xfId="4281" xr:uid="{C9FB3A6B-D323-48F1-9503-56EF0CBAE232}"/>
    <cellStyle name="SAPBEXaggData 2 4" xfId="2398" xr:uid="{00000000-0005-0000-0000-0000B3090000}"/>
    <cellStyle name="SAPBEXaggData 2 4 2" xfId="3987" xr:uid="{3C4EB2C8-C904-49DE-9477-74BE76B7A71F}"/>
    <cellStyle name="SAPBEXaggData 3" xfId="1576" xr:uid="{00000000-0005-0000-0000-0000B4090000}"/>
    <cellStyle name="SAPBEXaggData 3 2" xfId="2153" xr:uid="{00000000-0005-0000-0000-0000B5090000}"/>
    <cellStyle name="SAPBEXaggData 3 2 2" xfId="3039" xr:uid="{00000000-0005-0000-0000-0000B6090000}"/>
    <cellStyle name="SAPBEXaggData 3 2 2 2" xfId="4612" xr:uid="{0DCC368D-7350-48B9-994C-357900A15E0F}"/>
    <cellStyle name="SAPBEXaggData 3 2 3" xfId="3464" xr:uid="{00000000-0005-0000-0000-0000B7090000}"/>
    <cellStyle name="SAPBEXaggData 3 2 3 2" xfId="5035" xr:uid="{B03060D6-ADCC-4817-B6B5-17307A28B687}"/>
    <cellStyle name="SAPBEXaggData 3 2 4" xfId="3770" xr:uid="{F04EDD6E-B976-4C42-BCB7-9AEDDD1A3F69}"/>
    <cellStyle name="SAPBEXaggData 3 3" xfId="2703" xr:uid="{00000000-0005-0000-0000-0000B8090000}"/>
    <cellStyle name="SAPBEXaggData 3 3 2" xfId="4282" xr:uid="{C458B356-ED55-489B-A1AB-13F6DAB8AE01}"/>
    <cellStyle name="SAPBEXaggData 3 4" xfId="2397" xr:uid="{00000000-0005-0000-0000-0000B9090000}"/>
    <cellStyle name="SAPBEXaggData 3 4 2" xfId="3986" xr:uid="{9CA35B67-22D3-45F7-8E3D-BB228ABAC2EE}"/>
    <cellStyle name="SAPBEXaggData 4" xfId="1577" xr:uid="{00000000-0005-0000-0000-0000BA090000}"/>
    <cellStyle name="SAPBEXaggData 4 2" xfId="2154" xr:uid="{00000000-0005-0000-0000-0000BB090000}"/>
    <cellStyle name="SAPBEXaggData 4 2 2" xfId="3040" xr:uid="{00000000-0005-0000-0000-0000BC090000}"/>
    <cellStyle name="SAPBEXaggData 4 2 2 2" xfId="4613" xr:uid="{8663CF7C-E8A4-40EF-92FC-1105AFF4DC2E}"/>
    <cellStyle name="SAPBEXaggData 4 2 3" xfId="3465" xr:uid="{00000000-0005-0000-0000-0000BD090000}"/>
    <cellStyle name="SAPBEXaggData 4 2 3 2" xfId="5036" xr:uid="{3E14461D-FA3E-4B5E-8EF6-3393B3AA5840}"/>
    <cellStyle name="SAPBEXaggData 4 2 4" xfId="3771" xr:uid="{52F3EB95-D38C-44E5-AB02-24BEB35344F2}"/>
    <cellStyle name="SAPBEXaggData 4 3" xfId="2704" xr:uid="{00000000-0005-0000-0000-0000BE090000}"/>
    <cellStyle name="SAPBEXaggData 4 3 2" xfId="4283" xr:uid="{FC329DB6-2316-45AD-8586-42AE6BB242FC}"/>
    <cellStyle name="SAPBEXaggData 4 4" xfId="2396" xr:uid="{00000000-0005-0000-0000-0000BF090000}"/>
    <cellStyle name="SAPBEXaggData 4 4 2" xfId="3985" xr:uid="{AE84AF40-E670-4515-8E7A-12813B753FE5}"/>
    <cellStyle name="SAPBEXaggData 5" xfId="2151" xr:uid="{00000000-0005-0000-0000-0000C0090000}"/>
    <cellStyle name="SAPBEXaggData 5 2" xfId="3037" xr:uid="{00000000-0005-0000-0000-0000C1090000}"/>
    <cellStyle name="SAPBEXaggData 5 2 2" xfId="4610" xr:uid="{0100E008-4D53-41B1-8FF9-8C6622123022}"/>
    <cellStyle name="SAPBEXaggData 5 3" xfId="3462" xr:uid="{00000000-0005-0000-0000-0000C2090000}"/>
    <cellStyle name="SAPBEXaggData 5 3 2" xfId="5033" xr:uid="{45207972-C123-4C2D-824C-123FE0DDCF45}"/>
    <cellStyle name="SAPBEXaggData 5 4" xfId="3768" xr:uid="{4E6D74B0-02D2-40F7-AE84-619418DD2A4C}"/>
    <cellStyle name="SAPBEXaggData 6" xfId="2701" xr:uid="{00000000-0005-0000-0000-0000C3090000}"/>
    <cellStyle name="SAPBEXaggData 6 2" xfId="4280" xr:uid="{D73B2A8C-407E-4814-AE4B-11C4CAB02256}"/>
    <cellStyle name="SAPBEXaggData 7" xfId="2399" xr:uid="{00000000-0005-0000-0000-0000C4090000}"/>
    <cellStyle name="SAPBEXaggData 7 2" xfId="3988" xr:uid="{680364D9-C403-4E50-B2E6-357DC1393707}"/>
    <cellStyle name="SAPBEXaggDataEmph" xfId="1578" xr:uid="{00000000-0005-0000-0000-0000C5090000}"/>
    <cellStyle name="SAPBEXaggDataEmph 2" xfId="1579" xr:uid="{00000000-0005-0000-0000-0000C6090000}"/>
    <cellStyle name="SAPBEXaggDataEmph 2 2" xfId="2156" xr:uid="{00000000-0005-0000-0000-0000C7090000}"/>
    <cellStyle name="SAPBEXaggDataEmph 2 2 2" xfId="3042" xr:uid="{00000000-0005-0000-0000-0000C8090000}"/>
    <cellStyle name="SAPBEXaggDataEmph 2 2 2 2" xfId="4615" xr:uid="{1812637F-8840-4B53-A35D-058487FCEC0C}"/>
    <cellStyle name="SAPBEXaggDataEmph 2 2 3" xfId="3467" xr:uid="{00000000-0005-0000-0000-0000C9090000}"/>
    <cellStyle name="SAPBEXaggDataEmph 2 2 3 2" xfId="5038" xr:uid="{70EAEEF8-481F-4D72-A85E-77CB0222EA11}"/>
    <cellStyle name="SAPBEXaggDataEmph 2 2 4" xfId="3773" xr:uid="{0BC85C70-47B8-44BD-993A-A6C764D41A38}"/>
    <cellStyle name="SAPBEXaggDataEmph 2 3" xfId="2706" xr:uid="{00000000-0005-0000-0000-0000CA090000}"/>
    <cellStyle name="SAPBEXaggDataEmph 2 3 2" xfId="4285" xr:uid="{49B2612A-E663-41E8-B3E3-F37DCCBF593F}"/>
    <cellStyle name="SAPBEXaggDataEmph 2 4" xfId="2394" xr:uid="{00000000-0005-0000-0000-0000CB090000}"/>
    <cellStyle name="SAPBEXaggDataEmph 2 4 2" xfId="3983" xr:uid="{BB39469C-6313-4D42-9FDB-A445BAADC17C}"/>
    <cellStyle name="SAPBEXaggDataEmph 3" xfId="1580" xr:uid="{00000000-0005-0000-0000-0000CC090000}"/>
    <cellStyle name="SAPBEXaggDataEmph 3 2" xfId="2157" xr:uid="{00000000-0005-0000-0000-0000CD090000}"/>
    <cellStyle name="SAPBEXaggDataEmph 3 2 2" xfId="3043" xr:uid="{00000000-0005-0000-0000-0000CE090000}"/>
    <cellStyle name="SAPBEXaggDataEmph 3 2 2 2" xfId="4616" xr:uid="{2C1B787F-158E-4C64-9B2D-D5556C39EECA}"/>
    <cellStyle name="SAPBEXaggDataEmph 3 2 3" xfId="3468" xr:uid="{00000000-0005-0000-0000-0000CF090000}"/>
    <cellStyle name="SAPBEXaggDataEmph 3 2 3 2" xfId="5039" xr:uid="{BFC173F3-3B23-4C52-9D6E-ED1D8B133096}"/>
    <cellStyle name="SAPBEXaggDataEmph 3 2 4" xfId="3774" xr:uid="{9A4B3E7E-D654-41C6-B568-954D48874154}"/>
    <cellStyle name="SAPBEXaggDataEmph 3 3" xfId="2707" xr:uid="{00000000-0005-0000-0000-0000D0090000}"/>
    <cellStyle name="SAPBEXaggDataEmph 3 3 2" xfId="4286" xr:uid="{F16CD635-2F2F-48FA-B404-CAE0B3ACE729}"/>
    <cellStyle name="SAPBEXaggDataEmph 3 4" xfId="2393" xr:uid="{00000000-0005-0000-0000-0000D1090000}"/>
    <cellStyle name="SAPBEXaggDataEmph 3 4 2" xfId="3982" xr:uid="{F3EFA390-0312-464D-BC00-8A636A072294}"/>
    <cellStyle name="SAPBEXaggDataEmph 4" xfId="1581" xr:uid="{00000000-0005-0000-0000-0000D2090000}"/>
    <cellStyle name="SAPBEXaggDataEmph 4 2" xfId="2158" xr:uid="{00000000-0005-0000-0000-0000D3090000}"/>
    <cellStyle name="SAPBEXaggDataEmph 4 2 2" xfId="3044" xr:uid="{00000000-0005-0000-0000-0000D4090000}"/>
    <cellStyle name="SAPBEXaggDataEmph 4 2 2 2" xfId="4617" xr:uid="{B82E430F-7F0A-45CA-B616-8592D2525AE5}"/>
    <cellStyle name="SAPBEXaggDataEmph 4 2 3" xfId="3469" xr:uid="{00000000-0005-0000-0000-0000D5090000}"/>
    <cellStyle name="SAPBEXaggDataEmph 4 2 3 2" xfId="5040" xr:uid="{886F7A6C-5F54-4A1D-9973-5616C7E649AF}"/>
    <cellStyle name="SAPBEXaggDataEmph 4 2 4" xfId="3775" xr:uid="{F97CDADA-0B17-4555-8718-7D6CA0C82A34}"/>
    <cellStyle name="SAPBEXaggDataEmph 4 3" xfId="2708" xr:uid="{00000000-0005-0000-0000-0000D6090000}"/>
    <cellStyle name="SAPBEXaggDataEmph 4 3 2" xfId="4287" xr:uid="{7170B1FA-DF75-4E6C-A11B-D6972E4172B7}"/>
    <cellStyle name="SAPBEXaggDataEmph 4 4" xfId="2392" xr:uid="{00000000-0005-0000-0000-0000D7090000}"/>
    <cellStyle name="SAPBEXaggDataEmph 4 4 2" xfId="3981" xr:uid="{0ED45B2D-A579-4888-ADE6-36C1311994C0}"/>
    <cellStyle name="SAPBEXaggDataEmph 5" xfId="2155" xr:uid="{00000000-0005-0000-0000-0000D8090000}"/>
    <cellStyle name="SAPBEXaggDataEmph 5 2" xfId="3041" xr:uid="{00000000-0005-0000-0000-0000D9090000}"/>
    <cellStyle name="SAPBEXaggDataEmph 5 2 2" xfId="4614" xr:uid="{B427F89A-91A2-4F9C-B5C4-4597986C9A75}"/>
    <cellStyle name="SAPBEXaggDataEmph 5 3" xfId="3466" xr:uid="{00000000-0005-0000-0000-0000DA090000}"/>
    <cellStyle name="SAPBEXaggDataEmph 5 3 2" xfId="5037" xr:uid="{5338352C-067A-455B-A43A-C8DC9224FD09}"/>
    <cellStyle name="SAPBEXaggDataEmph 5 4" xfId="3772" xr:uid="{C72F6978-468D-4B7F-A971-D536036356E6}"/>
    <cellStyle name="SAPBEXaggDataEmph 6" xfId="2705" xr:uid="{00000000-0005-0000-0000-0000DB090000}"/>
    <cellStyle name="SAPBEXaggDataEmph 6 2" xfId="4284" xr:uid="{2F9EA6CE-9C72-4E9D-AE0F-219A2577DEA3}"/>
    <cellStyle name="SAPBEXaggDataEmph 7" xfId="2395" xr:uid="{00000000-0005-0000-0000-0000DC090000}"/>
    <cellStyle name="SAPBEXaggDataEmph 7 2" xfId="3984" xr:uid="{329F4895-2F33-4B05-9A94-9AF746C7F16D}"/>
    <cellStyle name="SAPBEXaggItem" xfId="1582" xr:uid="{00000000-0005-0000-0000-0000DD090000}"/>
    <cellStyle name="SAPBEXaggItem 2" xfId="1583" xr:uid="{00000000-0005-0000-0000-0000DE090000}"/>
    <cellStyle name="SAPBEXaggItem 2 2" xfId="2160" xr:uid="{00000000-0005-0000-0000-0000DF090000}"/>
    <cellStyle name="SAPBEXaggItem 2 2 2" xfId="3046" xr:uid="{00000000-0005-0000-0000-0000E0090000}"/>
    <cellStyle name="SAPBEXaggItem 2 2 2 2" xfId="4619" xr:uid="{C16E1A69-9000-40B8-A3F5-AACB6666598B}"/>
    <cellStyle name="SAPBEXaggItem 2 2 3" xfId="3471" xr:uid="{00000000-0005-0000-0000-0000E1090000}"/>
    <cellStyle name="SAPBEXaggItem 2 2 3 2" xfId="5042" xr:uid="{B958DF4A-73E3-470E-969B-AD3ADA036199}"/>
    <cellStyle name="SAPBEXaggItem 2 2 4" xfId="3777" xr:uid="{D2F266F5-6273-4207-AD2A-AFE26729D8B8}"/>
    <cellStyle name="SAPBEXaggItem 2 3" xfId="2710" xr:uid="{00000000-0005-0000-0000-0000E2090000}"/>
    <cellStyle name="SAPBEXaggItem 2 3 2" xfId="4289" xr:uid="{20836048-B0E2-414B-98C4-7DCD97BDF5DF}"/>
    <cellStyle name="SAPBEXaggItem 2 4" xfId="2390" xr:uid="{00000000-0005-0000-0000-0000E3090000}"/>
    <cellStyle name="SAPBEXaggItem 2 4 2" xfId="3979" xr:uid="{B6E0A136-ADCA-4273-8A75-B32C1BFA0B08}"/>
    <cellStyle name="SAPBEXaggItem 3" xfId="1584" xr:uid="{00000000-0005-0000-0000-0000E4090000}"/>
    <cellStyle name="SAPBEXaggItem 3 2" xfId="2273" xr:uid="{00000000-0005-0000-0000-0000E5090000}"/>
    <cellStyle name="SAPBEXaggItem 3 2 2" xfId="3157" xr:uid="{00000000-0005-0000-0000-0000E6090000}"/>
    <cellStyle name="SAPBEXaggItem 3 2 2 2" xfId="4728" xr:uid="{BE3C87CC-8E56-4DB1-8231-D893269297D5}"/>
    <cellStyle name="SAPBEXaggItem 3 2 3" xfId="3581" xr:uid="{00000000-0005-0000-0000-0000E7090000}"/>
    <cellStyle name="SAPBEXaggItem 3 2 3 2" xfId="5151" xr:uid="{746E00C3-5F70-44B0-8E93-C947C35A57BE}"/>
    <cellStyle name="SAPBEXaggItem 3 2 4" xfId="3878" xr:uid="{A3D53C4B-9DA7-467A-A482-E18D025C9D0B}"/>
    <cellStyle name="SAPBEXaggItem 3 3" xfId="2711" xr:uid="{00000000-0005-0000-0000-0000E8090000}"/>
    <cellStyle name="SAPBEXaggItem 3 3 2" xfId="4290" xr:uid="{826C7F35-D701-4F29-A5BE-BAE3C67E7CEF}"/>
    <cellStyle name="SAPBEXaggItem 3 4" xfId="2389" xr:uid="{00000000-0005-0000-0000-0000E9090000}"/>
    <cellStyle name="SAPBEXaggItem 3 4 2" xfId="3978" xr:uid="{7A5BE90D-440E-4FC0-A063-92C9D087BDC2}"/>
    <cellStyle name="SAPBEXaggItem 4" xfId="1585" xr:uid="{00000000-0005-0000-0000-0000EA090000}"/>
    <cellStyle name="SAPBEXaggItem 4 2" xfId="2161" xr:uid="{00000000-0005-0000-0000-0000EB090000}"/>
    <cellStyle name="SAPBEXaggItem 4 2 2" xfId="3047" xr:uid="{00000000-0005-0000-0000-0000EC090000}"/>
    <cellStyle name="SAPBEXaggItem 4 2 2 2" xfId="4620" xr:uid="{D32B4B6C-F645-42AC-A875-C8BE1010A264}"/>
    <cellStyle name="SAPBEXaggItem 4 2 3" xfId="3472" xr:uid="{00000000-0005-0000-0000-0000ED090000}"/>
    <cellStyle name="SAPBEXaggItem 4 2 3 2" xfId="5043" xr:uid="{F028DDF8-1898-42BA-ACEA-2B35949F9F80}"/>
    <cellStyle name="SAPBEXaggItem 4 2 4" xfId="3778" xr:uid="{6FB1BBED-CA91-424A-AB2B-817171D7D7D2}"/>
    <cellStyle name="SAPBEXaggItem 4 3" xfId="2712" xr:uid="{00000000-0005-0000-0000-0000EE090000}"/>
    <cellStyle name="SAPBEXaggItem 4 3 2" xfId="4291" xr:uid="{2D4E2DF7-3F91-461C-AA83-49967EBEB6BD}"/>
    <cellStyle name="SAPBEXaggItem 4 4" xfId="2388" xr:uid="{00000000-0005-0000-0000-0000EF090000}"/>
    <cellStyle name="SAPBEXaggItem 4 4 2" xfId="3977" xr:uid="{C9F0383D-E4F1-4E5C-9F5A-BC6979438AEB}"/>
    <cellStyle name="SAPBEXaggItem 5" xfId="2159" xr:uid="{00000000-0005-0000-0000-0000F0090000}"/>
    <cellStyle name="SAPBEXaggItem 5 2" xfId="3045" xr:uid="{00000000-0005-0000-0000-0000F1090000}"/>
    <cellStyle name="SAPBEXaggItem 5 2 2" xfId="4618" xr:uid="{B7C734D2-301F-483F-BE25-7287A4D304B5}"/>
    <cellStyle name="SAPBEXaggItem 5 3" xfId="3470" xr:uid="{00000000-0005-0000-0000-0000F2090000}"/>
    <cellStyle name="SAPBEXaggItem 5 3 2" xfId="5041" xr:uid="{CF3CD823-310C-4921-941D-168A42CF13B9}"/>
    <cellStyle name="SAPBEXaggItem 5 4" xfId="3776" xr:uid="{498C8E84-DD13-4A99-B176-B258ECF5504C}"/>
    <cellStyle name="SAPBEXaggItem 6" xfId="2709" xr:uid="{00000000-0005-0000-0000-0000F3090000}"/>
    <cellStyle name="SAPBEXaggItem 6 2" xfId="4288" xr:uid="{5298ED9D-EA21-46B9-8AA2-B6C4F2647568}"/>
    <cellStyle name="SAPBEXaggItem 7" xfId="2391" xr:uid="{00000000-0005-0000-0000-0000F4090000}"/>
    <cellStyle name="SAPBEXaggItem 7 2" xfId="3980" xr:uid="{55B8C2BB-7094-4275-AA19-658D4B83197C}"/>
    <cellStyle name="SAPBEXaggItemX" xfId="1586" xr:uid="{00000000-0005-0000-0000-0000F5090000}"/>
    <cellStyle name="SAPBEXaggItemX 2" xfId="1587" xr:uid="{00000000-0005-0000-0000-0000F6090000}"/>
    <cellStyle name="SAPBEXaggItemX 2 2" xfId="2163" xr:uid="{00000000-0005-0000-0000-0000F7090000}"/>
    <cellStyle name="SAPBEXaggItemX 2 2 2" xfId="3049" xr:uid="{00000000-0005-0000-0000-0000F8090000}"/>
    <cellStyle name="SAPBEXaggItemX 2 2 2 2" xfId="4622" xr:uid="{B6A2AF07-68A7-4FE2-83D2-0D502180E179}"/>
    <cellStyle name="SAPBEXaggItemX 2 2 3" xfId="3474" xr:uid="{00000000-0005-0000-0000-0000F9090000}"/>
    <cellStyle name="SAPBEXaggItemX 2 2 3 2" xfId="5045" xr:uid="{186B5051-C2B8-40A3-A23E-CAC5F3DD340F}"/>
    <cellStyle name="SAPBEXaggItemX 2 2 4" xfId="3780" xr:uid="{0B35FC21-7D18-449C-8B35-51CB94B93EF6}"/>
    <cellStyle name="SAPBEXaggItemX 2 3" xfId="2714" xr:uid="{00000000-0005-0000-0000-0000FA090000}"/>
    <cellStyle name="SAPBEXaggItemX 2 3 2" xfId="4293" xr:uid="{DD31813D-76A0-4DA1-A37D-D2A7FA77F5F6}"/>
    <cellStyle name="SAPBEXaggItemX 2 4" xfId="2386" xr:uid="{00000000-0005-0000-0000-0000FB090000}"/>
    <cellStyle name="SAPBEXaggItemX 2 4 2" xfId="3975" xr:uid="{E46068B3-B832-45CF-9AC7-0228B574DE30}"/>
    <cellStyle name="SAPBEXaggItemX 3" xfId="1588" xr:uid="{00000000-0005-0000-0000-0000FC090000}"/>
    <cellStyle name="SAPBEXaggItemX 3 2" xfId="2274" xr:uid="{00000000-0005-0000-0000-0000FD090000}"/>
    <cellStyle name="SAPBEXaggItemX 3 2 2" xfId="3158" xr:uid="{00000000-0005-0000-0000-0000FE090000}"/>
    <cellStyle name="SAPBEXaggItemX 3 2 2 2" xfId="4729" xr:uid="{80EC6CB2-D41F-410A-91D4-80BAC8B08E84}"/>
    <cellStyle name="SAPBEXaggItemX 3 2 3" xfId="3582" xr:uid="{00000000-0005-0000-0000-0000FF090000}"/>
    <cellStyle name="SAPBEXaggItemX 3 2 3 2" xfId="5152" xr:uid="{DB9CD7EE-6B76-40B4-8F67-7AF4FF1B739B}"/>
    <cellStyle name="SAPBEXaggItemX 3 2 4" xfId="3879" xr:uid="{9CA69416-D07F-4834-99FC-8B067DE833B5}"/>
    <cellStyle name="SAPBEXaggItemX 3 3" xfId="2715" xr:uid="{00000000-0005-0000-0000-0000000A0000}"/>
    <cellStyle name="SAPBEXaggItemX 3 3 2" xfId="4294" xr:uid="{662A8E54-B210-440F-B7F2-182BD5D05F92}"/>
    <cellStyle name="SAPBEXaggItemX 3 4" xfId="2385" xr:uid="{00000000-0005-0000-0000-0000010A0000}"/>
    <cellStyle name="SAPBEXaggItemX 3 4 2" xfId="3974" xr:uid="{367F9EE1-0021-43DD-AC6F-FF87ACC3156F}"/>
    <cellStyle name="SAPBEXaggItemX 4" xfId="1589" xr:uid="{00000000-0005-0000-0000-0000020A0000}"/>
    <cellStyle name="SAPBEXaggItemX 4 2" xfId="2164" xr:uid="{00000000-0005-0000-0000-0000030A0000}"/>
    <cellStyle name="SAPBEXaggItemX 4 2 2" xfId="3050" xr:uid="{00000000-0005-0000-0000-0000040A0000}"/>
    <cellStyle name="SAPBEXaggItemX 4 2 2 2" xfId="4623" xr:uid="{5812DCC9-FCDC-4667-9C78-69F7E60728F2}"/>
    <cellStyle name="SAPBEXaggItemX 4 2 3" xfId="3475" xr:uid="{00000000-0005-0000-0000-0000050A0000}"/>
    <cellStyle name="SAPBEXaggItemX 4 2 3 2" xfId="5046" xr:uid="{43D2586C-1FB4-4FA4-83FF-CDD31EE496A8}"/>
    <cellStyle name="SAPBEXaggItemX 4 2 4" xfId="3781" xr:uid="{98F6C7A5-96CE-4DE9-9541-0C3348C0CFC6}"/>
    <cellStyle name="SAPBEXaggItemX 4 3" xfId="2716" xr:uid="{00000000-0005-0000-0000-0000060A0000}"/>
    <cellStyle name="SAPBEXaggItemX 4 3 2" xfId="4295" xr:uid="{EFB64DAD-E87F-41D5-A688-9C643D583438}"/>
    <cellStyle name="SAPBEXaggItemX 4 4" xfId="2384" xr:uid="{00000000-0005-0000-0000-0000070A0000}"/>
    <cellStyle name="SAPBEXaggItemX 4 4 2" xfId="3973" xr:uid="{302092BD-E161-4F84-AC42-8D7785894560}"/>
    <cellStyle name="SAPBEXaggItemX 5" xfId="2162" xr:uid="{00000000-0005-0000-0000-0000080A0000}"/>
    <cellStyle name="SAPBEXaggItemX 5 2" xfId="3048" xr:uid="{00000000-0005-0000-0000-0000090A0000}"/>
    <cellStyle name="SAPBEXaggItemX 5 2 2" xfId="4621" xr:uid="{367AA924-8BB8-4012-97F9-EEB0AE572683}"/>
    <cellStyle name="SAPBEXaggItemX 5 3" xfId="3473" xr:uid="{00000000-0005-0000-0000-00000A0A0000}"/>
    <cellStyle name="SAPBEXaggItemX 5 3 2" xfId="5044" xr:uid="{99BCF3A2-3E6C-4E3A-BEA8-E97F87E95F26}"/>
    <cellStyle name="SAPBEXaggItemX 5 4" xfId="3779" xr:uid="{AC4BFDB0-54F0-42D2-BCD9-6232F9925091}"/>
    <cellStyle name="SAPBEXaggItemX 6" xfId="2713" xr:uid="{00000000-0005-0000-0000-00000B0A0000}"/>
    <cellStyle name="SAPBEXaggItemX 6 2" xfId="4292" xr:uid="{E5DE30DB-2230-4C7A-95AC-BF4E1273C5F8}"/>
    <cellStyle name="SAPBEXaggItemX 7" xfId="2387" xr:uid="{00000000-0005-0000-0000-00000C0A0000}"/>
    <cellStyle name="SAPBEXaggItemX 7 2" xfId="3976" xr:uid="{EE088617-83C8-4840-A8C3-EBB94CBCF6B9}"/>
    <cellStyle name="SAPBEXchaText" xfId="1590" xr:uid="{00000000-0005-0000-0000-00000D0A0000}"/>
    <cellStyle name="SAPBEXexcBad7" xfId="1591" xr:uid="{00000000-0005-0000-0000-00000E0A0000}"/>
    <cellStyle name="SAPBEXexcBad7 2" xfId="1592" xr:uid="{00000000-0005-0000-0000-00000F0A0000}"/>
    <cellStyle name="SAPBEXexcBad7 2 2" xfId="2166" xr:uid="{00000000-0005-0000-0000-0000100A0000}"/>
    <cellStyle name="SAPBEXexcBad7 2 2 2" xfId="3052" xr:uid="{00000000-0005-0000-0000-0000110A0000}"/>
    <cellStyle name="SAPBEXexcBad7 2 2 2 2" xfId="4625" xr:uid="{C488B953-B6F0-49C0-ADC9-459153F19526}"/>
    <cellStyle name="SAPBEXexcBad7 2 2 3" xfId="3477" xr:uid="{00000000-0005-0000-0000-0000120A0000}"/>
    <cellStyle name="SAPBEXexcBad7 2 2 3 2" xfId="5048" xr:uid="{D7B95832-FF78-41DC-BC3B-824C11E86B46}"/>
    <cellStyle name="SAPBEXexcBad7 2 2 4" xfId="3783" xr:uid="{99527743-1646-45ED-A9E4-7B9CD298DC1D}"/>
    <cellStyle name="SAPBEXexcBad7 2 3" xfId="2718" xr:uid="{00000000-0005-0000-0000-0000130A0000}"/>
    <cellStyle name="SAPBEXexcBad7 2 3 2" xfId="4297" xr:uid="{A16E7B6D-C5A2-4D12-89BA-AA6DD23D435E}"/>
    <cellStyle name="SAPBEXexcBad7 2 4" xfId="2382" xr:uid="{00000000-0005-0000-0000-0000140A0000}"/>
    <cellStyle name="SAPBEXexcBad7 2 4 2" xfId="3971" xr:uid="{CA5CE4BA-FCBA-4AE8-941D-CE779FBE0099}"/>
    <cellStyle name="SAPBEXexcBad7 3" xfId="1593" xr:uid="{00000000-0005-0000-0000-0000150A0000}"/>
    <cellStyle name="SAPBEXexcBad7 3 2" xfId="2167" xr:uid="{00000000-0005-0000-0000-0000160A0000}"/>
    <cellStyle name="SAPBEXexcBad7 3 2 2" xfId="3053" xr:uid="{00000000-0005-0000-0000-0000170A0000}"/>
    <cellStyle name="SAPBEXexcBad7 3 2 2 2" xfId="4626" xr:uid="{A4305F17-DC03-486D-A144-AD743CD3FCF1}"/>
    <cellStyle name="SAPBEXexcBad7 3 2 3" xfId="3478" xr:uid="{00000000-0005-0000-0000-0000180A0000}"/>
    <cellStyle name="SAPBEXexcBad7 3 2 3 2" xfId="5049" xr:uid="{CD5E0F38-5BBE-4C1D-93D9-1A020E15C0EE}"/>
    <cellStyle name="SAPBEXexcBad7 3 2 4" xfId="3784" xr:uid="{22B401E7-A380-4510-88C5-B52FEE0F5F0D}"/>
    <cellStyle name="SAPBEXexcBad7 3 3" xfId="2719" xr:uid="{00000000-0005-0000-0000-0000190A0000}"/>
    <cellStyle name="SAPBEXexcBad7 3 3 2" xfId="4298" xr:uid="{EBD22C2F-8A55-4F36-A68B-69BFB5C5B93C}"/>
    <cellStyle name="SAPBEXexcBad7 3 4" xfId="2862" xr:uid="{00000000-0005-0000-0000-00001A0A0000}"/>
    <cellStyle name="SAPBEXexcBad7 3 4 2" xfId="4440" xr:uid="{863E4430-4144-4DAB-8F85-215326A62771}"/>
    <cellStyle name="SAPBEXexcBad7 4" xfId="1594" xr:uid="{00000000-0005-0000-0000-00001B0A0000}"/>
    <cellStyle name="SAPBEXexcBad7 4 2" xfId="2168" xr:uid="{00000000-0005-0000-0000-00001C0A0000}"/>
    <cellStyle name="SAPBEXexcBad7 4 2 2" xfId="3054" xr:uid="{00000000-0005-0000-0000-00001D0A0000}"/>
    <cellStyle name="SAPBEXexcBad7 4 2 2 2" xfId="4627" xr:uid="{F423C0D2-3C42-401B-BC0B-CB62261514AB}"/>
    <cellStyle name="SAPBEXexcBad7 4 2 3" xfId="3479" xr:uid="{00000000-0005-0000-0000-00001E0A0000}"/>
    <cellStyle name="SAPBEXexcBad7 4 2 3 2" xfId="5050" xr:uid="{5F01EFFD-3FE4-43A8-9670-63D0650FDE21}"/>
    <cellStyle name="SAPBEXexcBad7 4 2 4" xfId="3785" xr:uid="{0C254ADD-AE1C-4AB4-BF8F-71C2C913B27E}"/>
    <cellStyle name="SAPBEXexcBad7 4 3" xfId="2720" xr:uid="{00000000-0005-0000-0000-00001F0A0000}"/>
    <cellStyle name="SAPBEXexcBad7 4 3 2" xfId="4299" xr:uid="{3FEDE4EF-7747-4059-BE97-F93B85D382CA}"/>
    <cellStyle name="SAPBEXexcBad7 4 4" xfId="2381" xr:uid="{00000000-0005-0000-0000-0000200A0000}"/>
    <cellStyle name="SAPBEXexcBad7 4 4 2" xfId="3970" xr:uid="{EAA39228-BF95-4AD8-883E-EA388BA53737}"/>
    <cellStyle name="SAPBEXexcBad7 5" xfId="2165" xr:uid="{00000000-0005-0000-0000-0000210A0000}"/>
    <cellStyle name="SAPBEXexcBad7 5 2" xfId="3051" xr:uid="{00000000-0005-0000-0000-0000220A0000}"/>
    <cellStyle name="SAPBEXexcBad7 5 2 2" xfId="4624" xr:uid="{732EBC9E-DF26-47D7-9917-5557EAC01EB1}"/>
    <cellStyle name="SAPBEXexcBad7 5 3" xfId="3476" xr:uid="{00000000-0005-0000-0000-0000230A0000}"/>
    <cellStyle name="SAPBEXexcBad7 5 3 2" xfId="5047" xr:uid="{76443C85-DF38-4951-ABDD-DE1205B35C27}"/>
    <cellStyle name="SAPBEXexcBad7 5 4" xfId="3782" xr:uid="{B64F56B2-563A-4DBD-A0ED-0DB29CBB1085}"/>
    <cellStyle name="SAPBEXexcBad7 6" xfId="2717" xr:uid="{00000000-0005-0000-0000-0000240A0000}"/>
    <cellStyle name="SAPBEXexcBad7 6 2" xfId="4296" xr:uid="{FD7401D5-F2D4-4F1B-A767-64FAA4B9694A}"/>
    <cellStyle name="SAPBEXexcBad7 7" xfId="2383" xr:uid="{00000000-0005-0000-0000-0000250A0000}"/>
    <cellStyle name="SAPBEXexcBad7 7 2" xfId="3972" xr:uid="{367EF54E-2CE2-4C36-909C-7A6FD3A87582}"/>
    <cellStyle name="SAPBEXexcBad8" xfId="1595" xr:uid="{00000000-0005-0000-0000-0000260A0000}"/>
    <cellStyle name="SAPBEXexcBad8 2" xfId="1596" xr:uid="{00000000-0005-0000-0000-0000270A0000}"/>
    <cellStyle name="SAPBEXexcBad8 2 2" xfId="2170" xr:uid="{00000000-0005-0000-0000-0000280A0000}"/>
    <cellStyle name="SAPBEXexcBad8 2 2 2" xfId="3056" xr:uid="{00000000-0005-0000-0000-0000290A0000}"/>
    <cellStyle name="SAPBEXexcBad8 2 2 2 2" xfId="4629" xr:uid="{F0AD4F43-8644-40ED-BB5F-B4027643D1F3}"/>
    <cellStyle name="SAPBEXexcBad8 2 2 3" xfId="3481" xr:uid="{00000000-0005-0000-0000-00002A0A0000}"/>
    <cellStyle name="SAPBEXexcBad8 2 2 3 2" xfId="5052" xr:uid="{6E6C1914-0994-491E-9005-0D6EC1364189}"/>
    <cellStyle name="SAPBEXexcBad8 2 2 4" xfId="3787" xr:uid="{05008160-48A9-4083-A41B-636426A6F20D}"/>
    <cellStyle name="SAPBEXexcBad8 2 3" xfId="2722" xr:uid="{00000000-0005-0000-0000-00002B0A0000}"/>
    <cellStyle name="SAPBEXexcBad8 2 3 2" xfId="4301" xr:uid="{05C715BC-284E-4B6C-BF82-A2D2E94127F5}"/>
    <cellStyle name="SAPBEXexcBad8 2 4" xfId="2379" xr:uid="{00000000-0005-0000-0000-00002C0A0000}"/>
    <cellStyle name="SAPBEXexcBad8 2 4 2" xfId="3968" xr:uid="{B6064F60-F075-4DB0-AC75-B634D275C8DE}"/>
    <cellStyle name="SAPBEXexcBad8 3" xfId="1597" xr:uid="{00000000-0005-0000-0000-00002D0A0000}"/>
    <cellStyle name="SAPBEXexcBad8 3 2" xfId="2171" xr:uid="{00000000-0005-0000-0000-00002E0A0000}"/>
    <cellStyle name="SAPBEXexcBad8 3 2 2" xfId="3057" xr:uid="{00000000-0005-0000-0000-00002F0A0000}"/>
    <cellStyle name="SAPBEXexcBad8 3 2 2 2" xfId="4630" xr:uid="{1A7EECCD-27E8-4486-9478-E384A6CCBC90}"/>
    <cellStyle name="SAPBEXexcBad8 3 2 3" xfId="3482" xr:uid="{00000000-0005-0000-0000-0000300A0000}"/>
    <cellStyle name="SAPBEXexcBad8 3 2 3 2" xfId="5053" xr:uid="{E3CCBAFC-8ED7-43AF-B935-07A4E3E3FE54}"/>
    <cellStyle name="SAPBEXexcBad8 3 2 4" xfId="3788" xr:uid="{2DA5513E-655F-4A98-BAF9-9D691A6948FA}"/>
    <cellStyle name="SAPBEXexcBad8 3 3" xfId="2723" xr:uid="{00000000-0005-0000-0000-0000310A0000}"/>
    <cellStyle name="SAPBEXexcBad8 3 3 2" xfId="4302" xr:uid="{70CDB57C-9A99-458E-A558-15DACAA2B065}"/>
    <cellStyle name="SAPBEXexcBad8 3 4" xfId="2378" xr:uid="{00000000-0005-0000-0000-0000320A0000}"/>
    <cellStyle name="SAPBEXexcBad8 3 4 2" xfId="3967" xr:uid="{9C164168-4421-4C87-9D3D-AB4B706139CD}"/>
    <cellStyle name="SAPBEXexcBad8 4" xfId="1598" xr:uid="{00000000-0005-0000-0000-0000330A0000}"/>
    <cellStyle name="SAPBEXexcBad8 4 2" xfId="2172" xr:uid="{00000000-0005-0000-0000-0000340A0000}"/>
    <cellStyle name="SAPBEXexcBad8 4 2 2" xfId="3058" xr:uid="{00000000-0005-0000-0000-0000350A0000}"/>
    <cellStyle name="SAPBEXexcBad8 4 2 2 2" xfId="4631" xr:uid="{A1645015-76A3-4764-86C0-9BFEF10886BE}"/>
    <cellStyle name="SAPBEXexcBad8 4 2 3" xfId="3483" xr:uid="{00000000-0005-0000-0000-0000360A0000}"/>
    <cellStyle name="SAPBEXexcBad8 4 2 3 2" xfId="5054" xr:uid="{C872A925-09F2-4593-85EB-09DAF83BA299}"/>
    <cellStyle name="SAPBEXexcBad8 4 2 4" xfId="3789" xr:uid="{18A5DE7C-909C-48DC-9581-989DBCC050BF}"/>
    <cellStyle name="SAPBEXexcBad8 4 3" xfId="2724" xr:uid="{00000000-0005-0000-0000-0000370A0000}"/>
    <cellStyle name="SAPBEXexcBad8 4 3 2" xfId="4303" xr:uid="{30C948A1-E9E6-4FCF-81E2-30FEF1A60B1D}"/>
    <cellStyle name="SAPBEXexcBad8 4 4" xfId="2377" xr:uid="{00000000-0005-0000-0000-0000380A0000}"/>
    <cellStyle name="SAPBEXexcBad8 4 4 2" xfId="3966" xr:uid="{FBF0CB9F-A7AD-4EF3-9F22-1CD4250B1B78}"/>
    <cellStyle name="SAPBEXexcBad8 5" xfId="2169" xr:uid="{00000000-0005-0000-0000-0000390A0000}"/>
    <cellStyle name="SAPBEXexcBad8 5 2" xfId="3055" xr:uid="{00000000-0005-0000-0000-00003A0A0000}"/>
    <cellStyle name="SAPBEXexcBad8 5 2 2" xfId="4628" xr:uid="{15EF2E02-132B-4BB9-9A8B-44D8A4149B49}"/>
    <cellStyle name="SAPBEXexcBad8 5 3" xfId="3480" xr:uid="{00000000-0005-0000-0000-00003B0A0000}"/>
    <cellStyle name="SAPBEXexcBad8 5 3 2" xfId="5051" xr:uid="{9F3A687B-D92A-4750-A673-31A042E8903A}"/>
    <cellStyle name="SAPBEXexcBad8 5 4" xfId="3786" xr:uid="{44E8A852-4FB3-4790-99B4-5023293214A6}"/>
    <cellStyle name="SAPBEXexcBad8 6" xfId="2721" xr:uid="{00000000-0005-0000-0000-00003C0A0000}"/>
    <cellStyle name="SAPBEXexcBad8 6 2" xfId="4300" xr:uid="{84AB3D51-7B84-45A3-847B-56E747D68BFD}"/>
    <cellStyle name="SAPBEXexcBad8 7" xfId="2380" xr:uid="{00000000-0005-0000-0000-00003D0A0000}"/>
    <cellStyle name="SAPBEXexcBad8 7 2" xfId="3969" xr:uid="{553C572D-84C8-48B6-B12F-9E97395E8D46}"/>
    <cellStyle name="SAPBEXexcBad9" xfId="1599" xr:uid="{00000000-0005-0000-0000-00003E0A0000}"/>
    <cellStyle name="SAPBEXexcBad9 2" xfId="1600" xr:uid="{00000000-0005-0000-0000-00003F0A0000}"/>
    <cellStyle name="SAPBEXexcBad9 2 2" xfId="2174" xr:uid="{00000000-0005-0000-0000-0000400A0000}"/>
    <cellStyle name="SAPBEXexcBad9 2 2 2" xfId="3060" xr:uid="{00000000-0005-0000-0000-0000410A0000}"/>
    <cellStyle name="SAPBEXexcBad9 2 2 2 2" xfId="4633" xr:uid="{1A58EBDA-3F37-4238-8E1A-A94E2CE6E087}"/>
    <cellStyle name="SAPBEXexcBad9 2 2 3" xfId="3485" xr:uid="{00000000-0005-0000-0000-0000420A0000}"/>
    <cellStyle name="SAPBEXexcBad9 2 2 3 2" xfId="5056" xr:uid="{5A555012-F038-4AE7-A421-412E481DB8A5}"/>
    <cellStyle name="SAPBEXexcBad9 2 2 4" xfId="3791" xr:uid="{27255B07-B297-400A-A898-599B924BBEC0}"/>
    <cellStyle name="SAPBEXexcBad9 2 3" xfId="2726" xr:uid="{00000000-0005-0000-0000-0000430A0000}"/>
    <cellStyle name="SAPBEXexcBad9 2 3 2" xfId="4305" xr:uid="{692AEA8F-FC66-4B47-AD80-C03737CFE80D}"/>
    <cellStyle name="SAPBEXexcBad9 2 4" xfId="2375" xr:uid="{00000000-0005-0000-0000-0000440A0000}"/>
    <cellStyle name="SAPBEXexcBad9 2 4 2" xfId="3964" xr:uid="{4E9F067E-B81B-4B1C-97B3-90E0618FD70A}"/>
    <cellStyle name="SAPBEXexcBad9 3" xfId="1601" xr:uid="{00000000-0005-0000-0000-0000450A0000}"/>
    <cellStyle name="SAPBEXexcBad9 3 2" xfId="2175" xr:uid="{00000000-0005-0000-0000-0000460A0000}"/>
    <cellStyle name="SAPBEXexcBad9 3 2 2" xfId="3061" xr:uid="{00000000-0005-0000-0000-0000470A0000}"/>
    <cellStyle name="SAPBEXexcBad9 3 2 2 2" xfId="4634" xr:uid="{43F8C272-2320-4A94-B60B-FAF1B424380E}"/>
    <cellStyle name="SAPBEXexcBad9 3 2 3" xfId="3486" xr:uid="{00000000-0005-0000-0000-0000480A0000}"/>
    <cellStyle name="SAPBEXexcBad9 3 2 3 2" xfId="5057" xr:uid="{337D1A65-568A-4CBA-B4EE-8622B8E71747}"/>
    <cellStyle name="SAPBEXexcBad9 3 2 4" xfId="3792" xr:uid="{8425ADBD-234E-4D25-A92C-918DDA631E6B}"/>
    <cellStyle name="SAPBEXexcBad9 3 3" xfId="2727" xr:uid="{00000000-0005-0000-0000-0000490A0000}"/>
    <cellStyle name="SAPBEXexcBad9 3 3 2" xfId="4306" xr:uid="{94BF7DD3-A0EB-4C5F-B0A4-FDFD203675C0}"/>
    <cellStyle name="SAPBEXexcBad9 3 4" xfId="2374" xr:uid="{00000000-0005-0000-0000-00004A0A0000}"/>
    <cellStyle name="SAPBEXexcBad9 3 4 2" xfId="3963" xr:uid="{AC9D0F28-751D-4F72-B7C1-0B86CF7978BF}"/>
    <cellStyle name="SAPBEXexcBad9 4" xfId="1602" xr:uid="{00000000-0005-0000-0000-00004B0A0000}"/>
    <cellStyle name="SAPBEXexcBad9 4 2" xfId="2176" xr:uid="{00000000-0005-0000-0000-00004C0A0000}"/>
    <cellStyle name="SAPBEXexcBad9 4 2 2" xfId="3062" xr:uid="{00000000-0005-0000-0000-00004D0A0000}"/>
    <cellStyle name="SAPBEXexcBad9 4 2 2 2" xfId="4635" xr:uid="{906C5388-76FA-4B44-999A-253416A1BB34}"/>
    <cellStyle name="SAPBEXexcBad9 4 2 3" xfId="3487" xr:uid="{00000000-0005-0000-0000-00004E0A0000}"/>
    <cellStyle name="SAPBEXexcBad9 4 2 3 2" xfId="5058" xr:uid="{8BB332E3-F8C1-493A-8393-59535CF2CC58}"/>
    <cellStyle name="SAPBEXexcBad9 4 2 4" xfId="3793" xr:uid="{3190BB74-3195-4F57-8437-C9181092A5D3}"/>
    <cellStyle name="SAPBEXexcBad9 4 3" xfId="2728" xr:uid="{00000000-0005-0000-0000-00004F0A0000}"/>
    <cellStyle name="SAPBEXexcBad9 4 3 2" xfId="4307" xr:uid="{6E74A1F1-7FB3-44F9-A945-503F1AC725A7}"/>
    <cellStyle name="SAPBEXexcBad9 4 4" xfId="2373" xr:uid="{00000000-0005-0000-0000-0000500A0000}"/>
    <cellStyle name="SAPBEXexcBad9 4 4 2" xfId="3962" xr:uid="{86BE16B1-67DA-494E-935D-C15463A279D9}"/>
    <cellStyle name="SAPBEXexcBad9 5" xfId="2173" xr:uid="{00000000-0005-0000-0000-0000510A0000}"/>
    <cellStyle name="SAPBEXexcBad9 5 2" xfId="3059" xr:uid="{00000000-0005-0000-0000-0000520A0000}"/>
    <cellStyle name="SAPBEXexcBad9 5 2 2" xfId="4632" xr:uid="{322B1D77-1DD7-4293-AC2D-BB6FE729D224}"/>
    <cellStyle name="SAPBEXexcBad9 5 3" xfId="3484" xr:uid="{00000000-0005-0000-0000-0000530A0000}"/>
    <cellStyle name="SAPBEXexcBad9 5 3 2" xfId="5055" xr:uid="{F28E2D28-6405-46EF-8CA8-47413F11285F}"/>
    <cellStyle name="SAPBEXexcBad9 5 4" xfId="3790" xr:uid="{67FA5261-4C82-4D79-A8C7-86ED0F4599A6}"/>
    <cellStyle name="SAPBEXexcBad9 6" xfId="2725" xr:uid="{00000000-0005-0000-0000-0000540A0000}"/>
    <cellStyle name="SAPBEXexcBad9 6 2" xfId="4304" xr:uid="{025D2674-0E14-4CEE-B05F-5C913F64A6AC}"/>
    <cellStyle name="SAPBEXexcBad9 7" xfId="2376" xr:uid="{00000000-0005-0000-0000-0000550A0000}"/>
    <cellStyle name="SAPBEXexcBad9 7 2" xfId="3965" xr:uid="{835FD040-313B-4B35-9D24-8E07338E35C8}"/>
    <cellStyle name="SAPBEXexcCritical4" xfId="1603" xr:uid="{00000000-0005-0000-0000-0000560A0000}"/>
    <cellStyle name="SAPBEXexcCritical4 2" xfId="1604" xr:uid="{00000000-0005-0000-0000-0000570A0000}"/>
    <cellStyle name="SAPBEXexcCritical4 2 2" xfId="2178" xr:uid="{00000000-0005-0000-0000-0000580A0000}"/>
    <cellStyle name="SAPBEXexcCritical4 2 2 2" xfId="3064" xr:uid="{00000000-0005-0000-0000-0000590A0000}"/>
    <cellStyle name="SAPBEXexcCritical4 2 2 2 2" xfId="4637" xr:uid="{E2CFD42E-49D5-4928-A499-6B16C8929675}"/>
    <cellStyle name="SAPBEXexcCritical4 2 2 3" xfId="3489" xr:uid="{00000000-0005-0000-0000-00005A0A0000}"/>
    <cellStyle name="SAPBEXexcCritical4 2 2 3 2" xfId="5060" xr:uid="{41EAA581-FB27-4FBE-ABB5-DF132BFD3AE4}"/>
    <cellStyle name="SAPBEXexcCritical4 2 2 4" xfId="3795" xr:uid="{BBCDAB59-CCB6-4485-99E8-CF03C3AA4789}"/>
    <cellStyle name="SAPBEXexcCritical4 2 3" xfId="2730" xr:uid="{00000000-0005-0000-0000-00005B0A0000}"/>
    <cellStyle name="SAPBEXexcCritical4 2 3 2" xfId="4309" xr:uid="{8FD67692-E10E-411D-8343-F8E1740AFAE2}"/>
    <cellStyle name="SAPBEXexcCritical4 2 4" xfId="2371" xr:uid="{00000000-0005-0000-0000-00005C0A0000}"/>
    <cellStyle name="SAPBEXexcCritical4 2 4 2" xfId="3960" xr:uid="{028F2EE9-8ED8-4ECD-9D11-C6D920C3A519}"/>
    <cellStyle name="SAPBEXexcCritical4 3" xfId="1605" xr:uid="{00000000-0005-0000-0000-00005D0A0000}"/>
    <cellStyle name="SAPBEXexcCritical4 3 2" xfId="2179" xr:uid="{00000000-0005-0000-0000-00005E0A0000}"/>
    <cellStyle name="SAPBEXexcCritical4 3 2 2" xfId="3065" xr:uid="{00000000-0005-0000-0000-00005F0A0000}"/>
    <cellStyle name="SAPBEXexcCritical4 3 2 2 2" xfId="4638" xr:uid="{F73D74FA-47C5-424A-B13E-DDDB14B4C413}"/>
    <cellStyle name="SAPBEXexcCritical4 3 2 3" xfId="3490" xr:uid="{00000000-0005-0000-0000-0000600A0000}"/>
    <cellStyle name="SAPBEXexcCritical4 3 2 3 2" xfId="5061" xr:uid="{664CEE9B-48F7-4895-A780-1288EB0C29BB}"/>
    <cellStyle name="SAPBEXexcCritical4 3 2 4" xfId="3796" xr:uid="{34E890B4-8615-4EA0-8D82-C112E2E144EE}"/>
    <cellStyle name="SAPBEXexcCritical4 3 3" xfId="2731" xr:uid="{00000000-0005-0000-0000-0000610A0000}"/>
    <cellStyle name="SAPBEXexcCritical4 3 3 2" xfId="4310" xr:uid="{730D475E-B4DD-4612-A86C-603284074715}"/>
    <cellStyle name="SAPBEXexcCritical4 3 4" xfId="2370" xr:uid="{00000000-0005-0000-0000-0000620A0000}"/>
    <cellStyle name="SAPBEXexcCritical4 3 4 2" xfId="3959" xr:uid="{09D3BBE0-37F6-4378-9905-5C3BCC6F48B7}"/>
    <cellStyle name="SAPBEXexcCritical4 4" xfId="1606" xr:uid="{00000000-0005-0000-0000-0000630A0000}"/>
    <cellStyle name="SAPBEXexcCritical4 4 2" xfId="2180" xr:uid="{00000000-0005-0000-0000-0000640A0000}"/>
    <cellStyle name="SAPBEXexcCritical4 4 2 2" xfId="3066" xr:uid="{00000000-0005-0000-0000-0000650A0000}"/>
    <cellStyle name="SAPBEXexcCritical4 4 2 2 2" xfId="4639" xr:uid="{F5A414B3-1D03-4828-B427-76ACA74BBFB6}"/>
    <cellStyle name="SAPBEXexcCritical4 4 2 3" xfId="3491" xr:uid="{00000000-0005-0000-0000-0000660A0000}"/>
    <cellStyle name="SAPBEXexcCritical4 4 2 3 2" xfId="5062" xr:uid="{C601B6AF-8BF7-41D2-8887-7476195B78E8}"/>
    <cellStyle name="SAPBEXexcCritical4 4 2 4" xfId="3797" xr:uid="{00D44C7C-AE47-4F09-9F5D-6E1F2D7251AD}"/>
    <cellStyle name="SAPBEXexcCritical4 4 3" xfId="2732" xr:uid="{00000000-0005-0000-0000-0000670A0000}"/>
    <cellStyle name="SAPBEXexcCritical4 4 3 2" xfId="4311" xr:uid="{412BA3E5-AB62-4419-BF79-81EEE9CDD296}"/>
    <cellStyle name="SAPBEXexcCritical4 4 4" xfId="2369" xr:uid="{00000000-0005-0000-0000-0000680A0000}"/>
    <cellStyle name="SAPBEXexcCritical4 4 4 2" xfId="3958" xr:uid="{ADE21FFB-82E0-4613-8551-15D881AD17F7}"/>
    <cellStyle name="SAPBEXexcCritical4 5" xfId="2177" xr:uid="{00000000-0005-0000-0000-0000690A0000}"/>
    <cellStyle name="SAPBEXexcCritical4 5 2" xfId="3063" xr:uid="{00000000-0005-0000-0000-00006A0A0000}"/>
    <cellStyle name="SAPBEXexcCritical4 5 2 2" xfId="4636" xr:uid="{F6CC8E9B-8BFC-4D9C-872C-6174703B8CC2}"/>
    <cellStyle name="SAPBEXexcCritical4 5 3" xfId="3488" xr:uid="{00000000-0005-0000-0000-00006B0A0000}"/>
    <cellStyle name="SAPBEXexcCritical4 5 3 2" xfId="5059" xr:uid="{C3CEBB43-25F1-492B-AFA9-8F01D8358A50}"/>
    <cellStyle name="SAPBEXexcCritical4 5 4" xfId="3794" xr:uid="{96BBBDFB-E17B-4B63-8B23-A82F950F9067}"/>
    <cellStyle name="SAPBEXexcCritical4 6" xfId="2729" xr:uid="{00000000-0005-0000-0000-00006C0A0000}"/>
    <cellStyle name="SAPBEXexcCritical4 6 2" xfId="4308" xr:uid="{7BAF1234-F193-445E-93FB-E50E0B40EA0A}"/>
    <cellStyle name="SAPBEXexcCritical4 7" xfId="2372" xr:uid="{00000000-0005-0000-0000-00006D0A0000}"/>
    <cellStyle name="SAPBEXexcCritical4 7 2" xfId="3961" xr:uid="{E6AE6260-BB58-455E-9195-27C7C4B18AD4}"/>
    <cellStyle name="SAPBEXexcCritical5" xfId="1607" xr:uid="{00000000-0005-0000-0000-00006E0A0000}"/>
    <cellStyle name="SAPBEXexcCritical5 2" xfId="1608" xr:uid="{00000000-0005-0000-0000-00006F0A0000}"/>
    <cellStyle name="SAPBEXexcCritical5 2 2" xfId="2181" xr:uid="{00000000-0005-0000-0000-0000700A0000}"/>
    <cellStyle name="SAPBEXexcCritical5 2 2 2" xfId="3067" xr:uid="{00000000-0005-0000-0000-0000710A0000}"/>
    <cellStyle name="SAPBEXexcCritical5 2 2 2 2" xfId="4640" xr:uid="{AFC060D6-E0EC-4B76-8ADF-ABC445803913}"/>
    <cellStyle name="SAPBEXexcCritical5 2 2 3" xfId="3492" xr:uid="{00000000-0005-0000-0000-0000720A0000}"/>
    <cellStyle name="SAPBEXexcCritical5 2 2 3 2" xfId="5063" xr:uid="{05253C4D-0BAC-435C-AF83-A3BEA74E8A43}"/>
    <cellStyle name="SAPBEXexcCritical5 2 2 4" xfId="3798" xr:uid="{674B4E73-E902-450F-BF71-75E2E24FB457}"/>
    <cellStyle name="SAPBEXexcCritical5 2 3" xfId="2734" xr:uid="{00000000-0005-0000-0000-0000730A0000}"/>
    <cellStyle name="SAPBEXexcCritical5 2 3 2" xfId="4313" xr:uid="{BAF9332D-B4F4-41F3-9B02-0038AC268F02}"/>
    <cellStyle name="SAPBEXexcCritical5 2 4" xfId="2367" xr:uid="{00000000-0005-0000-0000-0000740A0000}"/>
    <cellStyle name="SAPBEXexcCritical5 2 4 2" xfId="3956" xr:uid="{18BB6BB1-C390-4358-BB66-2B9EADD82A38}"/>
    <cellStyle name="SAPBEXexcCritical5 3" xfId="1609" xr:uid="{00000000-0005-0000-0000-0000750A0000}"/>
    <cellStyle name="SAPBEXexcCritical5 3 2" xfId="2276" xr:uid="{00000000-0005-0000-0000-0000760A0000}"/>
    <cellStyle name="SAPBEXexcCritical5 3 2 2" xfId="3160" xr:uid="{00000000-0005-0000-0000-0000770A0000}"/>
    <cellStyle name="SAPBEXexcCritical5 3 2 2 2" xfId="4731" xr:uid="{A49791C6-7685-42DF-B4C2-77CAEE174CFE}"/>
    <cellStyle name="SAPBEXexcCritical5 3 2 3" xfId="3584" xr:uid="{00000000-0005-0000-0000-0000780A0000}"/>
    <cellStyle name="SAPBEXexcCritical5 3 2 3 2" xfId="5154" xr:uid="{C65DD517-C8A5-4918-8FD1-493B2D70776A}"/>
    <cellStyle name="SAPBEXexcCritical5 3 2 4" xfId="3881" xr:uid="{46B7B081-AE92-4AA7-9258-249091D512FB}"/>
    <cellStyle name="SAPBEXexcCritical5 3 3" xfId="2735" xr:uid="{00000000-0005-0000-0000-0000790A0000}"/>
    <cellStyle name="SAPBEXexcCritical5 3 3 2" xfId="4314" xr:uid="{7B7A51C8-A572-4F37-9342-A5A71DCCA205}"/>
    <cellStyle name="SAPBEXexcCritical5 3 4" xfId="2366" xr:uid="{00000000-0005-0000-0000-00007A0A0000}"/>
    <cellStyle name="SAPBEXexcCritical5 3 4 2" xfId="3955" xr:uid="{D435217E-8125-438D-ABFD-67FA3155B01A}"/>
    <cellStyle name="SAPBEXexcCritical5 4" xfId="1610" xr:uid="{00000000-0005-0000-0000-00007B0A0000}"/>
    <cellStyle name="SAPBEXexcCritical5 4 2" xfId="2182" xr:uid="{00000000-0005-0000-0000-00007C0A0000}"/>
    <cellStyle name="SAPBEXexcCritical5 4 2 2" xfId="3068" xr:uid="{00000000-0005-0000-0000-00007D0A0000}"/>
    <cellStyle name="SAPBEXexcCritical5 4 2 2 2" xfId="4641" xr:uid="{AF08A17F-EDE7-4E6E-AD59-63261F225E9A}"/>
    <cellStyle name="SAPBEXexcCritical5 4 2 3" xfId="3493" xr:uid="{00000000-0005-0000-0000-00007E0A0000}"/>
    <cellStyle name="SAPBEXexcCritical5 4 2 3 2" xfId="5064" xr:uid="{A92AFD3B-5750-4A20-A4EE-D68B244AB514}"/>
    <cellStyle name="SAPBEXexcCritical5 4 2 4" xfId="3799" xr:uid="{52B9B9D6-2C73-413C-A34A-C4BAC8E63C6A}"/>
    <cellStyle name="SAPBEXexcCritical5 4 3" xfId="2736" xr:uid="{00000000-0005-0000-0000-00007F0A0000}"/>
    <cellStyle name="SAPBEXexcCritical5 4 3 2" xfId="4315" xr:uid="{A336A684-A5E4-4E12-864E-5FA2869A53CA}"/>
    <cellStyle name="SAPBEXexcCritical5 4 4" xfId="2364" xr:uid="{00000000-0005-0000-0000-0000800A0000}"/>
    <cellStyle name="SAPBEXexcCritical5 4 4 2" xfId="3954" xr:uid="{F30FA9E9-7750-45C2-AF64-F898C240B1D2}"/>
    <cellStyle name="SAPBEXexcCritical5 5" xfId="2275" xr:uid="{00000000-0005-0000-0000-0000810A0000}"/>
    <cellStyle name="SAPBEXexcCritical5 5 2" xfId="3159" xr:uid="{00000000-0005-0000-0000-0000820A0000}"/>
    <cellStyle name="SAPBEXexcCritical5 5 2 2" xfId="4730" xr:uid="{EBCE608B-F95C-48D4-9232-6610B72C3A58}"/>
    <cellStyle name="SAPBEXexcCritical5 5 3" xfId="3583" xr:uid="{00000000-0005-0000-0000-0000830A0000}"/>
    <cellStyle name="SAPBEXexcCritical5 5 3 2" xfId="5153" xr:uid="{8EEA6FAD-CE72-4F02-8209-4207AC3DA938}"/>
    <cellStyle name="SAPBEXexcCritical5 5 4" xfId="3880" xr:uid="{1CA01BFC-D2E3-4BB1-AEBC-9B340F2492B1}"/>
    <cellStyle name="SAPBEXexcCritical5 6" xfId="2733" xr:uid="{00000000-0005-0000-0000-0000840A0000}"/>
    <cellStyle name="SAPBEXexcCritical5 6 2" xfId="4312" xr:uid="{F76B7330-71F5-4F16-8E8A-51721EB37057}"/>
    <cellStyle name="SAPBEXexcCritical5 7" xfId="2368" xr:uid="{00000000-0005-0000-0000-0000850A0000}"/>
    <cellStyle name="SAPBEXexcCritical5 7 2" xfId="3957" xr:uid="{0A03E6D7-1CBD-4248-BD81-B7DF2B1ABC50}"/>
    <cellStyle name="SAPBEXexcCritical6" xfId="1611" xr:uid="{00000000-0005-0000-0000-0000860A0000}"/>
    <cellStyle name="SAPBEXexcCritical6 2" xfId="1612" xr:uid="{00000000-0005-0000-0000-0000870A0000}"/>
    <cellStyle name="SAPBEXexcCritical6 2 2" xfId="2184" xr:uid="{00000000-0005-0000-0000-0000880A0000}"/>
    <cellStyle name="SAPBEXexcCritical6 2 2 2" xfId="3070" xr:uid="{00000000-0005-0000-0000-0000890A0000}"/>
    <cellStyle name="SAPBEXexcCritical6 2 2 2 2" xfId="4643" xr:uid="{66F2885D-E09E-4B7A-85A6-FFEB82B0D39F}"/>
    <cellStyle name="SAPBEXexcCritical6 2 2 3" xfId="3495" xr:uid="{00000000-0005-0000-0000-00008A0A0000}"/>
    <cellStyle name="SAPBEXexcCritical6 2 2 3 2" xfId="5066" xr:uid="{A15F26F6-E331-421A-9663-127BCFB4AEAE}"/>
    <cellStyle name="SAPBEXexcCritical6 2 2 4" xfId="3801" xr:uid="{6763B118-A480-47E3-B9B1-8121479E1BDE}"/>
    <cellStyle name="SAPBEXexcCritical6 2 3" xfId="2738" xr:uid="{00000000-0005-0000-0000-00008B0A0000}"/>
    <cellStyle name="SAPBEXexcCritical6 2 3 2" xfId="4317" xr:uid="{71F42105-671D-4215-9523-6B7FB1A98F11}"/>
    <cellStyle name="SAPBEXexcCritical6 2 4" xfId="2362" xr:uid="{00000000-0005-0000-0000-00008C0A0000}"/>
    <cellStyle name="SAPBEXexcCritical6 2 4 2" xfId="3952" xr:uid="{7772E5B8-1727-4D1E-8064-FF2F7D402F25}"/>
    <cellStyle name="SAPBEXexcCritical6 3" xfId="1613" xr:uid="{00000000-0005-0000-0000-00008D0A0000}"/>
    <cellStyle name="SAPBEXexcCritical6 3 2" xfId="2185" xr:uid="{00000000-0005-0000-0000-00008E0A0000}"/>
    <cellStyle name="SAPBEXexcCritical6 3 2 2" xfId="3071" xr:uid="{00000000-0005-0000-0000-00008F0A0000}"/>
    <cellStyle name="SAPBEXexcCritical6 3 2 2 2" xfId="4644" xr:uid="{47F855D1-05F7-4C78-8744-21E77DD9CB7A}"/>
    <cellStyle name="SAPBEXexcCritical6 3 2 3" xfId="3496" xr:uid="{00000000-0005-0000-0000-0000900A0000}"/>
    <cellStyle name="SAPBEXexcCritical6 3 2 3 2" xfId="5067" xr:uid="{B57CF252-CC53-4A2A-A3A5-6E50ED7DD8FE}"/>
    <cellStyle name="SAPBEXexcCritical6 3 2 4" xfId="3802" xr:uid="{2EF44CD9-62A0-4D29-8260-5BAA9D3F4677}"/>
    <cellStyle name="SAPBEXexcCritical6 3 3" xfId="2739" xr:uid="{00000000-0005-0000-0000-0000910A0000}"/>
    <cellStyle name="SAPBEXexcCritical6 3 3 2" xfId="4318" xr:uid="{971C7CFD-2BBF-425D-8D74-FA18517A387E}"/>
    <cellStyle name="SAPBEXexcCritical6 3 4" xfId="2361" xr:uid="{00000000-0005-0000-0000-0000920A0000}"/>
    <cellStyle name="SAPBEXexcCritical6 3 4 2" xfId="3951" xr:uid="{4EA9834A-FDAF-4B52-A3B2-B38A4BF15368}"/>
    <cellStyle name="SAPBEXexcCritical6 4" xfId="1614" xr:uid="{00000000-0005-0000-0000-0000930A0000}"/>
    <cellStyle name="SAPBEXexcCritical6 4 2" xfId="2186" xr:uid="{00000000-0005-0000-0000-0000940A0000}"/>
    <cellStyle name="SAPBEXexcCritical6 4 2 2" xfId="3072" xr:uid="{00000000-0005-0000-0000-0000950A0000}"/>
    <cellStyle name="SAPBEXexcCritical6 4 2 2 2" xfId="4645" xr:uid="{9D88DA22-AC5C-41D4-8889-90F27B4195D1}"/>
    <cellStyle name="SAPBEXexcCritical6 4 2 3" xfId="3497" xr:uid="{00000000-0005-0000-0000-0000960A0000}"/>
    <cellStyle name="SAPBEXexcCritical6 4 2 3 2" xfId="5068" xr:uid="{142EEC44-363F-4127-AEA5-4DD1C27B9AF5}"/>
    <cellStyle name="SAPBEXexcCritical6 4 2 4" xfId="3803" xr:uid="{C14451F1-C88E-45D9-A9F9-E873CFEF6F4C}"/>
    <cellStyle name="SAPBEXexcCritical6 4 3" xfId="2740" xr:uid="{00000000-0005-0000-0000-0000970A0000}"/>
    <cellStyle name="SAPBEXexcCritical6 4 3 2" xfId="4319" xr:uid="{8DB98126-A06E-4CD1-815C-35303DE200BB}"/>
    <cellStyle name="SAPBEXexcCritical6 4 4" xfId="2360" xr:uid="{00000000-0005-0000-0000-0000980A0000}"/>
    <cellStyle name="SAPBEXexcCritical6 4 4 2" xfId="3950" xr:uid="{EF1B8946-FB55-4A73-A5EA-69F1E83BF91E}"/>
    <cellStyle name="SAPBEXexcCritical6 5" xfId="2183" xr:uid="{00000000-0005-0000-0000-0000990A0000}"/>
    <cellStyle name="SAPBEXexcCritical6 5 2" xfId="3069" xr:uid="{00000000-0005-0000-0000-00009A0A0000}"/>
    <cellStyle name="SAPBEXexcCritical6 5 2 2" xfId="4642" xr:uid="{5D4EFEAE-D0C9-460C-B9CD-FE4FC402DCD9}"/>
    <cellStyle name="SAPBEXexcCritical6 5 3" xfId="3494" xr:uid="{00000000-0005-0000-0000-00009B0A0000}"/>
    <cellStyle name="SAPBEXexcCritical6 5 3 2" xfId="5065" xr:uid="{DDCF6F18-787F-45DF-9F25-76A4ACC28E6E}"/>
    <cellStyle name="SAPBEXexcCritical6 5 4" xfId="3800" xr:uid="{30A4B608-A1CA-4C43-A624-8D9984D9664B}"/>
    <cellStyle name="SAPBEXexcCritical6 6" xfId="2737" xr:uid="{00000000-0005-0000-0000-00009C0A0000}"/>
    <cellStyle name="SAPBEXexcCritical6 6 2" xfId="4316" xr:uid="{4C8780A3-9B27-4DCD-BB26-4F5701980636}"/>
    <cellStyle name="SAPBEXexcCritical6 7" xfId="2363" xr:uid="{00000000-0005-0000-0000-00009D0A0000}"/>
    <cellStyle name="SAPBEXexcCritical6 7 2" xfId="3953" xr:uid="{C32A72DC-9D08-457E-93E7-1EB91CE29A25}"/>
    <cellStyle name="SAPBEXexcGood1" xfId="1615" xr:uid="{00000000-0005-0000-0000-00009E0A0000}"/>
    <cellStyle name="SAPBEXexcGood1 2" xfId="1616" xr:uid="{00000000-0005-0000-0000-00009F0A0000}"/>
    <cellStyle name="SAPBEXexcGood1 2 2" xfId="2188" xr:uid="{00000000-0005-0000-0000-0000A00A0000}"/>
    <cellStyle name="SAPBEXexcGood1 2 2 2" xfId="3074" xr:uid="{00000000-0005-0000-0000-0000A10A0000}"/>
    <cellStyle name="SAPBEXexcGood1 2 2 2 2" xfId="4647" xr:uid="{B96BAEBC-9AC9-440A-B2AA-C9E570BB1A2A}"/>
    <cellStyle name="SAPBEXexcGood1 2 2 3" xfId="3499" xr:uid="{00000000-0005-0000-0000-0000A20A0000}"/>
    <cellStyle name="SAPBEXexcGood1 2 2 3 2" xfId="5070" xr:uid="{B2A1AE0B-45BE-4631-9834-0CD71C9171F0}"/>
    <cellStyle name="SAPBEXexcGood1 2 2 4" xfId="3805" xr:uid="{BB34F4E3-5E89-417C-822E-F4F617296A11}"/>
    <cellStyle name="SAPBEXexcGood1 2 3" xfId="2742" xr:uid="{00000000-0005-0000-0000-0000A30A0000}"/>
    <cellStyle name="SAPBEXexcGood1 2 3 2" xfId="4321" xr:uid="{7D510CA2-690C-4EA6-879B-DAA825825C9B}"/>
    <cellStyle name="SAPBEXexcGood1 2 4" xfId="2358" xr:uid="{00000000-0005-0000-0000-0000A40A0000}"/>
    <cellStyle name="SAPBEXexcGood1 2 4 2" xfId="3948" xr:uid="{2328C06D-1EAF-497C-86AC-FE9942703D20}"/>
    <cellStyle name="SAPBEXexcGood1 3" xfId="1617" xr:uid="{00000000-0005-0000-0000-0000A50A0000}"/>
    <cellStyle name="SAPBEXexcGood1 3 2" xfId="2189" xr:uid="{00000000-0005-0000-0000-0000A60A0000}"/>
    <cellStyle name="SAPBEXexcGood1 3 2 2" xfId="3075" xr:uid="{00000000-0005-0000-0000-0000A70A0000}"/>
    <cellStyle name="SAPBEXexcGood1 3 2 2 2" xfId="4648" xr:uid="{EA3BEADC-B541-454A-8E43-22F6A03263A5}"/>
    <cellStyle name="SAPBEXexcGood1 3 2 3" xfId="3500" xr:uid="{00000000-0005-0000-0000-0000A80A0000}"/>
    <cellStyle name="SAPBEXexcGood1 3 2 3 2" xfId="5071" xr:uid="{54AA11E5-F106-4ADF-B699-6E43A07B6E93}"/>
    <cellStyle name="SAPBEXexcGood1 3 2 4" xfId="3806" xr:uid="{E5FBCB0B-6CFC-4EA4-A4D7-EB53C95A3E9F}"/>
    <cellStyle name="SAPBEXexcGood1 3 3" xfId="2743" xr:uid="{00000000-0005-0000-0000-0000A90A0000}"/>
    <cellStyle name="SAPBEXexcGood1 3 3 2" xfId="4322" xr:uid="{0D71035D-C978-455E-A5C0-32453297A6E2}"/>
    <cellStyle name="SAPBEXexcGood1 3 4" xfId="2357" xr:uid="{00000000-0005-0000-0000-0000AA0A0000}"/>
    <cellStyle name="SAPBEXexcGood1 3 4 2" xfId="3947" xr:uid="{776FED11-9A0F-46E2-AB73-380015AD2D42}"/>
    <cellStyle name="SAPBEXexcGood1 4" xfId="1618" xr:uid="{00000000-0005-0000-0000-0000AB0A0000}"/>
    <cellStyle name="SAPBEXexcGood1 4 2" xfId="2190" xr:uid="{00000000-0005-0000-0000-0000AC0A0000}"/>
    <cellStyle name="SAPBEXexcGood1 4 2 2" xfId="3076" xr:uid="{00000000-0005-0000-0000-0000AD0A0000}"/>
    <cellStyle name="SAPBEXexcGood1 4 2 2 2" xfId="4649" xr:uid="{AF2F9FBB-006F-438A-8896-0AE54CFF75C9}"/>
    <cellStyle name="SAPBEXexcGood1 4 2 3" xfId="3501" xr:uid="{00000000-0005-0000-0000-0000AE0A0000}"/>
    <cellStyle name="SAPBEXexcGood1 4 2 3 2" xfId="5072" xr:uid="{30DC2003-4701-44D0-8D34-50D9FA06DCFD}"/>
    <cellStyle name="SAPBEXexcGood1 4 2 4" xfId="3807" xr:uid="{DC842A3E-8528-4093-BB42-471D4862479C}"/>
    <cellStyle name="SAPBEXexcGood1 4 3" xfId="2744" xr:uid="{00000000-0005-0000-0000-0000AF0A0000}"/>
    <cellStyle name="SAPBEXexcGood1 4 3 2" xfId="4323" xr:uid="{951C12B8-B2FE-4A68-93A1-AF4C46B2660C}"/>
    <cellStyle name="SAPBEXexcGood1 4 4" xfId="2356" xr:uid="{00000000-0005-0000-0000-0000B00A0000}"/>
    <cellStyle name="SAPBEXexcGood1 4 4 2" xfId="3946" xr:uid="{2EF0C9CE-FB59-40FF-B4B6-F78F15CC8C9D}"/>
    <cellStyle name="SAPBEXexcGood1 5" xfId="2187" xr:uid="{00000000-0005-0000-0000-0000B10A0000}"/>
    <cellStyle name="SAPBEXexcGood1 5 2" xfId="3073" xr:uid="{00000000-0005-0000-0000-0000B20A0000}"/>
    <cellStyle name="SAPBEXexcGood1 5 2 2" xfId="4646" xr:uid="{04F753E4-5906-4914-8526-28C8A0ACAD2F}"/>
    <cellStyle name="SAPBEXexcGood1 5 3" xfId="3498" xr:uid="{00000000-0005-0000-0000-0000B30A0000}"/>
    <cellStyle name="SAPBEXexcGood1 5 3 2" xfId="5069" xr:uid="{989964A4-889C-4D63-A216-7FDBE304465D}"/>
    <cellStyle name="SAPBEXexcGood1 5 4" xfId="3804" xr:uid="{80E1DFE3-A23B-4250-994A-372A0F5B07F1}"/>
    <cellStyle name="SAPBEXexcGood1 6" xfId="2741" xr:uid="{00000000-0005-0000-0000-0000B40A0000}"/>
    <cellStyle name="SAPBEXexcGood1 6 2" xfId="4320" xr:uid="{6D02240B-877E-40FB-9A22-EB115AA1E2CB}"/>
    <cellStyle name="SAPBEXexcGood1 7" xfId="2359" xr:uid="{00000000-0005-0000-0000-0000B50A0000}"/>
    <cellStyle name="SAPBEXexcGood1 7 2" xfId="3949" xr:uid="{DA3D8FE5-0204-476E-ACE7-738A8929FDA6}"/>
    <cellStyle name="SAPBEXexcGood2" xfId="1619" xr:uid="{00000000-0005-0000-0000-0000B60A0000}"/>
    <cellStyle name="SAPBEXexcGood2 2" xfId="1620" xr:uid="{00000000-0005-0000-0000-0000B70A0000}"/>
    <cellStyle name="SAPBEXexcGood2 2 2" xfId="2192" xr:uid="{00000000-0005-0000-0000-0000B80A0000}"/>
    <cellStyle name="SAPBEXexcGood2 2 2 2" xfId="3078" xr:uid="{00000000-0005-0000-0000-0000B90A0000}"/>
    <cellStyle name="SAPBEXexcGood2 2 2 2 2" xfId="4651" xr:uid="{CF3871F7-B679-4017-BED3-67663DB55EE1}"/>
    <cellStyle name="SAPBEXexcGood2 2 2 3" xfId="3503" xr:uid="{00000000-0005-0000-0000-0000BA0A0000}"/>
    <cellStyle name="SAPBEXexcGood2 2 2 3 2" xfId="5074" xr:uid="{55670D9B-7077-46A9-9649-85A267965178}"/>
    <cellStyle name="SAPBEXexcGood2 2 2 4" xfId="3809" xr:uid="{FEF68F8E-602A-40A8-B790-5CE6B95E7A07}"/>
    <cellStyle name="SAPBEXexcGood2 2 3" xfId="2746" xr:uid="{00000000-0005-0000-0000-0000BB0A0000}"/>
    <cellStyle name="SAPBEXexcGood2 2 3 2" xfId="4325" xr:uid="{E86EDE5E-B2BC-4FE7-9B3A-9335D0FADED7}"/>
    <cellStyle name="SAPBEXexcGood2 2 4" xfId="2354" xr:uid="{00000000-0005-0000-0000-0000BC0A0000}"/>
    <cellStyle name="SAPBEXexcGood2 2 4 2" xfId="3944" xr:uid="{8439A93D-C8AA-4135-9E13-4B64D45CE237}"/>
    <cellStyle name="SAPBEXexcGood2 3" xfId="1621" xr:uid="{00000000-0005-0000-0000-0000BD0A0000}"/>
    <cellStyle name="SAPBEXexcGood2 3 2" xfId="2193" xr:uid="{00000000-0005-0000-0000-0000BE0A0000}"/>
    <cellStyle name="SAPBEXexcGood2 3 2 2" xfId="3079" xr:uid="{00000000-0005-0000-0000-0000BF0A0000}"/>
    <cellStyle name="SAPBEXexcGood2 3 2 2 2" xfId="4652" xr:uid="{F7FE015E-1A62-49C4-B0B3-1306FBCF0BBD}"/>
    <cellStyle name="SAPBEXexcGood2 3 2 3" xfId="3504" xr:uid="{00000000-0005-0000-0000-0000C00A0000}"/>
    <cellStyle name="SAPBEXexcGood2 3 2 3 2" xfId="5075" xr:uid="{80727A73-2837-40B4-AE4E-7FAEF1BC10AB}"/>
    <cellStyle name="SAPBEXexcGood2 3 2 4" xfId="3810" xr:uid="{B0B6B2BE-8085-48F0-92DC-F2B466DD0ECD}"/>
    <cellStyle name="SAPBEXexcGood2 3 3" xfId="2747" xr:uid="{00000000-0005-0000-0000-0000C10A0000}"/>
    <cellStyle name="SAPBEXexcGood2 3 3 2" xfId="4326" xr:uid="{0C16FFCC-D20A-4724-B86B-E27EC52BB406}"/>
    <cellStyle name="SAPBEXexcGood2 3 4" xfId="2353" xr:uid="{00000000-0005-0000-0000-0000C20A0000}"/>
    <cellStyle name="SAPBEXexcGood2 3 4 2" xfId="3943" xr:uid="{464DC8A5-3BA3-47BC-9420-DDB3F2F2B6AD}"/>
    <cellStyle name="SAPBEXexcGood2 4" xfId="1622" xr:uid="{00000000-0005-0000-0000-0000C30A0000}"/>
    <cellStyle name="SAPBEXexcGood2 4 2" xfId="2194" xr:uid="{00000000-0005-0000-0000-0000C40A0000}"/>
    <cellStyle name="SAPBEXexcGood2 4 2 2" xfId="3080" xr:uid="{00000000-0005-0000-0000-0000C50A0000}"/>
    <cellStyle name="SAPBEXexcGood2 4 2 2 2" xfId="4653" xr:uid="{D0149597-15E3-4AD7-BE18-2163F03BA42C}"/>
    <cellStyle name="SAPBEXexcGood2 4 2 3" xfId="3505" xr:uid="{00000000-0005-0000-0000-0000C60A0000}"/>
    <cellStyle name="SAPBEXexcGood2 4 2 3 2" xfId="5076" xr:uid="{8C1FF965-373C-4E7B-8F96-36ECB2BDA262}"/>
    <cellStyle name="SAPBEXexcGood2 4 2 4" xfId="3811" xr:uid="{475902CD-2E46-453B-B235-83E4E27031CB}"/>
    <cellStyle name="SAPBEXexcGood2 4 3" xfId="2748" xr:uid="{00000000-0005-0000-0000-0000C70A0000}"/>
    <cellStyle name="SAPBEXexcGood2 4 3 2" xfId="4327" xr:uid="{26C5C967-8EAE-48BB-BA2D-4C7AB8E4ABB3}"/>
    <cellStyle name="SAPBEXexcGood2 4 4" xfId="2352" xr:uid="{00000000-0005-0000-0000-0000C80A0000}"/>
    <cellStyle name="SAPBEXexcGood2 4 4 2" xfId="3942" xr:uid="{AEE09741-344D-478A-A9EB-CF0F5B25FA72}"/>
    <cellStyle name="SAPBEXexcGood2 5" xfId="2191" xr:uid="{00000000-0005-0000-0000-0000C90A0000}"/>
    <cellStyle name="SAPBEXexcGood2 5 2" xfId="3077" xr:uid="{00000000-0005-0000-0000-0000CA0A0000}"/>
    <cellStyle name="SAPBEXexcGood2 5 2 2" xfId="4650" xr:uid="{25E5D767-20D8-4F28-AB66-9BCFA8CB9AAC}"/>
    <cellStyle name="SAPBEXexcGood2 5 3" xfId="3502" xr:uid="{00000000-0005-0000-0000-0000CB0A0000}"/>
    <cellStyle name="SAPBEXexcGood2 5 3 2" xfId="5073" xr:uid="{5AEA1B33-2347-469C-8DEF-F70B9070AFFF}"/>
    <cellStyle name="SAPBEXexcGood2 5 4" xfId="3808" xr:uid="{4641C6BA-818E-4C67-81F8-5692CABFA812}"/>
    <cellStyle name="SAPBEXexcGood2 6" xfId="2745" xr:uid="{00000000-0005-0000-0000-0000CC0A0000}"/>
    <cellStyle name="SAPBEXexcGood2 6 2" xfId="4324" xr:uid="{DC8C771E-CA77-4AF0-AE88-65FE6FA89BA1}"/>
    <cellStyle name="SAPBEXexcGood2 7" xfId="2355" xr:uid="{00000000-0005-0000-0000-0000CD0A0000}"/>
    <cellStyle name="SAPBEXexcGood2 7 2" xfId="3945" xr:uid="{0587C188-8250-4B83-8699-09769827A2E5}"/>
    <cellStyle name="SAPBEXexcGood3" xfId="1623" xr:uid="{00000000-0005-0000-0000-0000CE0A0000}"/>
    <cellStyle name="SAPBEXexcGood3 2" xfId="1624" xr:uid="{00000000-0005-0000-0000-0000CF0A0000}"/>
    <cellStyle name="SAPBEXexcGood3 2 2" xfId="2196" xr:uid="{00000000-0005-0000-0000-0000D00A0000}"/>
    <cellStyle name="SAPBEXexcGood3 2 2 2" xfId="3082" xr:uid="{00000000-0005-0000-0000-0000D10A0000}"/>
    <cellStyle name="SAPBEXexcGood3 2 2 2 2" xfId="4655" xr:uid="{7FE00954-AEB5-44F7-AE6E-25CA67092E2A}"/>
    <cellStyle name="SAPBEXexcGood3 2 2 3" xfId="3507" xr:uid="{00000000-0005-0000-0000-0000D20A0000}"/>
    <cellStyle name="SAPBEXexcGood3 2 2 3 2" xfId="5078" xr:uid="{F355B284-80CA-4420-A05A-2433DB3C7A7B}"/>
    <cellStyle name="SAPBEXexcGood3 2 2 4" xfId="3813" xr:uid="{BCD38B78-03B9-4FE0-A7A6-DD80017C32ED}"/>
    <cellStyle name="SAPBEXexcGood3 2 3" xfId="2750" xr:uid="{00000000-0005-0000-0000-0000D30A0000}"/>
    <cellStyle name="SAPBEXexcGood3 2 3 2" xfId="4329" xr:uid="{14FE4391-D143-4B9D-9176-398EE30160D3}"/>
    <cellStyle name="SAPBEXexcGood3 2 4" xfId="2350" xr:uid="{00000000-0005-0000-0000-0000D40A0000}"/>
    <cellStyle name="SAPBEXexcGood3 2 4 2" xfId="3940" xr:uid="{0C4343EE-0C50-4447-B7F5-D7754C0D1D9C}"/>
    <cellStyle name="SAPBEXexcGood3 3" xfId="1625" xr:uid="{00000000-0005-0000-0000-0000D50A0000}"/>
    <cellStyle name="SAPBEXexcGood3 3 2" xfId="2197" xr:uid="{00000000-0005-0000-0000-0000D60A0000}"/>
    <cellStyle name="SAPBEXexcGood3 3 2 2" xfId="3083" xr:uid="{00000000-0005-0000-0000-0000D70A0000}"/>
    <cellStyle name="SAPBEXexcGood3 3 2 2 2" xfId="4656" xr:uid="{7B1EA38B-97D8-46A2-B6AA-9B53A0FDBE90}"/>
    <cellStyle name="SAPBEXexcGood3 3 2 3" xfId="3508" xr:uid="{00000000-0005-0000-0000-0000D80A0000}"/>
    <cellStyle name="SAPBEXexcGood3 3 2 3 2" xfId="5079" xr:uid="{21A03480-A2AA-4AF9-9FA1-119FA64E3BD4}"/>
    <cellStyle name="SAPBEXexcGood3 3 2 4" xfId="3814" xr:uid="{FB4520AC-6924-4827-AF96-AF4F0CB59E2B}"/>
    <cellStyle name="SAPBEXexcGood3 3 3" xfId="2751" xr:uid="{00000000-0005-0000-0000-0000D90A0000}"/>
    <cellStyle name="SAPBEXexcGood3 3 3 2" xfId="4330" xr:uid="{EAC4B331-F51F-45AA-9CA2-ABEC697E33BF}"/>
    <cellStyle name="SAPBEXexcGood3 3 4" xfId="2349" xr:uid="{00000000-0005-0000-0000-0000DA0A0000}"/>
    <cellStyle name="SAPBEXexcGood3 3 4 2" xfId="3939" xr:uid="{96429A3E-B184-4178-8DED-5AF612F53071}"/>
    <cellStyle name="SAPBEXexcGood3 4" xfId="1626" xr:uid="{00000000-0005-0000-0000-0000DB0A0000}"/>
    <cellStyle name="SAPBEXexcGood3 4 2" xfId="2198" xr:uid="{00000000-0005-0000-0000-0000DC0A0000}"/>
    <cellStyle name="SAPBEXexcGood3 4 2 2" xfId="3084" xr:uid="{00000000-0005-0000-0000-0000DD0A0000}"/>
    <cellStyle name="SAPBEXexcGood3 4 2 2 2" xfId="4657" xr:uid="{A3952B80-08AF-4134-867E-5F60AFF88CE8}"/>
    <cellStyle name="SAPBEXexcGood3 4 2 3" xfId="3509" xr:uid="{00000000-0005-0000-0000-0000DE0A0000}"/>
    <cellStyle name="SAPBEXexcGood3 4 2 3 2" xfId="5080" xr:uid="{D41BE886-7049-4BB6-81D6-682A48C4FFC2}"/>
    <cellStyle name="SAPBEXexcGood3 4 2 4" xfId="3815" xr:uid="{80E15424-3940-431B-82E2-FE7FC8B88E65}"/>
    <cellStyle name="SAPBEXexcGood3 4 3" xfId="2752" xr:uid="{00000000-0005-0000-0000-0000DF0A0000}"/>
    <cellStyle name="SAPBEXexcGood3 4 3 2" xfId="4331" xr:uid="{62A5D6B8-117B-4B37-B0E5-9F9C1EB99103}"/>
    <cellStyle name="SAPBEXexcGood3 4 4" xfId="2348" xr:uid="{00000000-0005-0000-0000-0000E00A0000}"/>
    <cellStyle name="SAPBEXexcGood3 4 4 2" xfId="3938" xr:uid="{5C42A4E2-E549-46DD-A29B-C272154A3845}"/>
    <cellStyle name="SAPBEXexcGood3 5" xfId="2195" xr:uid="{00000000-0005-0000-0000-0000E10A0000}"/>
    <cellStyle name="SAPBEXexcGood3 5 2" xfId="3081" xr:uid="{00000000-0005-0000-0000-0000E20A0000}"/>
    <cellStyle name="SAPBEXexcGood3 5 2 2" xfId="4654" xr:uid="{689185FF-D555-45CD-8CB0-7D04A0FF2759}"/>
    <cellStyle name="SAPBEXexcGood3 5 3" xfId="3506" xr:uid="{00000000-0005-0000-0000-0000E30A0000}"/>
    <cellStyle name="SAPBEXexcGood3 5 3 2" xfId="5077" xr:uid="{10EEDBEE-5617-4D2E-B900-14A7F7F530E1}"/>
    <cellStyle name="SAPBEXexcGood3 5 4" xfId="3812" xr:uid="{A7AF7B55-4CD0-4435-955C-947DD56EDA8A}"/>
    <cellStyle name="SAPBEXexcGood3 6" xfId="2749" xr:uid="{00000000-0005-0000-0000-0000E40A0000}"/>
    <cellStyle name="SAPBEXexcGood3 6 2" xfId="4328" xr:uid="{81377176-0E22-4EE1-B8A3-AC1A8B730304}"/>
    <cellStyle name="SAPBEXexcGood3 7" xfId="2351" xr:uid="{00000000-0005-0000-0000-0000E50A0000}"/>
    <cellStyle name="SAPBEXexcGood3 7 2" xfId="3941" xr:uid="{DBD8534B-185D-47A5-9EB0-C1DDFBAD3860}"/>
    <cellStyle name="SAPBEXfilterDrill" xfId="1627" xr:uid="{00000000-0005-0000-0000-0000E60A0000}"/>
    <cellStyle name="SAPBEXfilterItem" xfId="1628" xr:uid="{00000000-0005-0000-0000-0000E70A0000}"/>
    <cellStyle name="SAPBEXfilterText" xfId="1629" xr:uid="{00000000-0005-0000-0000-0000E80A0000}"/>
    <cellStyle name="SAPBEXformats" xfId="1630" xr:uid="{00000000-0005-0000-0000-0000E90A0000}"/>
    <cellStyle name="SAPBEXformats 2" xfId="1631" xr:uid="{00000000-0005-0000-0000-0000EA0A0000}"/>
    <cellStyle name="SAPBEXformats 2 2" xfId="2200" xr:uid="{00000000-0005-0000-0000-0000EB0A0000}"/>
    <cellStyle name="SAPBEXformats 2 2 2" xfId="3086" xr:uid="{00000000-0005-0000-0000-0000EC0A0000}"/>
    <cellStyle name="SAPBEXformats 2 2 2 2" xfId="4659" xr:uid="{B6BF3205-E155-4AAF-BF97-27675238363A}"/>
    <cellStyle name="SAPBEXformats 2 2 3" xfId="3511" xr:uid="{00000000-0005-0000-0000-0000ED0A0000}"/>
    <cellStyle name="SAPBEXformats 2 2 3 2" xfId="5082" xr:uid="{46BFA55C-6723-47FD-A519-E0E21613CD22}"/>
    <cellStyle name="SAPBEXformats 2 2 4" xfId="3817" xr:uid="{4D77012C-47E5-4672-9A8D-4133BDE9CA72}"/>
    <cellStyle name="SAPBEXformats 2 3" xfId="2754" xr:uid="{00000000-0005-0000-0000-0000EE0A0000}"/>
    <cellStyle name="SAPBEXformats 2 3 2" xfId="4333" xr:uid="{AD051FBE-AFAB-4596-A839-2797CAD251D4}"/>
    <cellStyle name="SAPBEXformats 2 4" xfId="2346" xr:uid="{00000000-0005-0000-0000-0000EF0A0000}"/>
    <cellStyle name="SAPBEXformats 2 4 2" xfId="3936" xr:uid="{175F4819-2812-4638-9F03-8A4787C12172}"/>
    <cellStyle name="SAPBEXformats 3" xfId="1632" xr:uid="{00000000-0005-0000-0000-0000F00A0000}"/>
    <cellStyle name="SAPBEXformats 3 2" xfId="2201" xr:uid="{00000000-0005-0000-0000-0000F10A0000}"/>
    <cellStyle name="SAPBEXformats 3 2 2" xfId="3087" xr:uid="{00000000-0005-0000-0000-0000F20A0000}"/>
    <cellStyle name="SAPBEXformats 3 2 2 2" xfId="4660" xr:uid="{F6BCE8B5-939E-43C4-B16E-A9F2574B7AB8}"/>
    <cellStyle name="SAPBEXformats 3 2 3" xfId="3512" xr:uid="{00000000-0005-0000-0000-0000F30A0000}"/>
    <cellStyle name="SAPBEXformats 3 2 3 2" xfId="5083" xr:uid="{2A56625C-F84F-42E0-8152-F5EFA3CDBC3C}"/>
    <cellStyle name="SAPBEXformats 3 2 4" xfId="3818" xr:uid="{2BD7B34C-4051-479F-A131-70F3720CD247}"/>
    <cellStyle name="SAPBEXformats 3 3" xfId="2755" xr:uid="{00000000-0005-0000-0000-0000F40A0000}"/>
    <cellStyle name="SAPBEXformats 3 3 2" xfId="4334" xr:uid="{B47CCB64-D1CC-45D1-84AF-1802BE26BDF8}"/>
    <cellStyle name="SAPBEXformats 3 4" xfId="2345" xr:uid="{00000000-0005-0000-0000-0000F50A0000}"/>
    <cellStyle name="SAPBEXformats 3 4 2" xfId="3935" xr:uid="{12099E5F-3A78-4363-9E64-DE754C5B235B}"/>
    <cellStyle name="SAPBEXformats 4" xfId="1633" xr:uid="{00000000-0005-0000-0000-0000F60A0000}"/>
    <cellStyle name="SAPBEXformats 4 2" xfId="2202" xr:uid="{00000000-0005-0000-0000-0000F70A0000}"/>
    <cellStyle name="SAPBEXformats 4 2 2" xfId="3088" xr:uid="{00000000-0005-0000-0000-0000F80A0000}"/>
    <cellStyle name="SAPBEXformats 4 2 2 2" xfId="4661" xr:uid="{4AB8F733-50B9-42AE-9E2E-BCC80583513D}"/>
    <cellStyle name="SAPBEXformats 4 2 3" xfId="3513" xr:uid="{00000000-0005-0000-0000-0000F90A0000}"/>
    <cellStyle name="SAPBEXformats 4 2 3 2" xfId="5084" xr:uid="{654DFD64-B777-492B-AC8C-59B523DC4E11}"/>
    <cellStyle name="SAPBEXformats 4 2 4" xfId="3819" xr:uid="{CB80AB09-C2F5-4E51-A536-D4C2A054BB8A}"/>
    <cellStyle name="SAPBEXformats 4 3" xfId="2756" xr:uid="{00000000-0005-0000-0000-0000FA0A0000}"/>
    <cellStyle name="SAPBEXformats 4 3 2" xfId="4335" xr:uid="{7D5B18A9-19D8-4EBC-AC28-D9AB10EDB08C}"/>
    <cellStyle name="SAPBEXformats 4 4" xfId="2344" xr:uid="{00000000-0005-0000-0000-0000FB0A0000}"/>
    <cellStyle name="SAPBEXformats 4 4 2" xfId="3934" xr:uid="{48604C6F-A82D-4FF0-8CFB-B219F50BDFAF}"/>
    <cellStyle name="SAPBEXformats 5" xfId="2199" xr:uid="{00000000-0005-0000-0000-0000FC0A0000}"/>
    <cellStyle name="SAPBEXformats 5 2" xfId="3085" xr:uid="{00000000-0005-0000-0000-0000FD0A0000}"/>
    <cellStyle name="SAPBEXformats 5 2 2" xfId="4658" xr:uid="{927215B7-FB2C-48CB-82E1-099935CBEF92}"/>
    <cellStyle name="SAPBEXformats 5 3" xfId="3510" xr:uid="{00000000-0005-0000-0000-0000FE0A0000}"/>
    <cellStyle name="SAPBEXformats 5 3 2" xfId="5081" xr:uid="{AFB9BF96-05CC-429D-B615-E1233D433F72}"/>
    <cellStyle name="SAPBEXformats 5 4" xfId="3816" xr:uid="{A81E2ED3-BC89-4BDB-8BB7-84F359353FC1}"/>
    <cellStyle name="SAPBEXformats 6" xfId="2753" xr:uid="{00000000-0005-0000-0000-0000FF0A0000}"/>
    <cellStyle name="SAPBEXformats 6 2" xfId="4332" xr:uid="{91266CC9-C18B-4FE5-AE8F-ED67600B6EFF}"/>
    <cellStyle name="SAPBEXformats 7" xfId="2347" xr:uid="{00000000-0005-0000-0000-0000000B0000}"/>
    <cellStyle name="SAPBEXformats 7 2" xfId="3937" xr:uid="{D4397580-1A71-4DD0-A5DC-D56C690DB2A5}"/>
    <cellStyle name="SAPBEXheaderItem" xfId="1634" xr:uid="{00000000-0005-0000-0000-0000010B0000}"/>
    <cellStyle name="SAPBEXheaderText" xfId="1635" xr:uid="{00000000-0005-0000-0000-0000020B0000}"/>
    <cellStyle name="SAPBEXHLevel0" xfId="1636" xr:uid="{00000000-0005-0000-0000-0000030B0000}"/>
    <cellStyle name="SAPBEXHLevel0 2" xfId="1637" xr:uid="{00000000-0005-0000-0000-0000040B0000}"/>
    <cellStyle name="SAPBEXHLevel0 2 2" xfId="2204" xr:uid="{00000000-0005-0000-0000-0000050B0000}"/>
    <cellStyle name="SAPBEXHLevel0 2 2 2" xfId="3090" xr:uid="{00000000-0005-0000-0000-0000060B0000}"/>
    <cellStyle name="SAPBEXHLevel0 2 2 2 2" xfId="4663" xr:uid="{0FE8CBEF-223C-4913-9882-83D5E744B798}"/>
    <cellStyle name="SAPBEXHLevel0 2 2 3" xfId="3515" xr:uid="{00000000-0005-0000-0000-0000070B0000}"/>
    <cellStyle name="SAPBEXHLevel0 2 2 3 2" xfId="5086" xr:uid="{BF936862-AA38-4154-A6B1-ED7CDABF3553}"/>
    <cellStyle name="SAPBEXHLevel0 2 2 4" xfId="3821" xr:uid="{5F79491E-58D5-4833-A4BF-A556095D2A6D}"/>
    <cellStyle name="SAPBEXHLevel0 2 3" xfId="2758" xr:uid="{00000000-0005-0000-0000-0000080B0000}"/>
    <cellStyle name="SAPBEXHLevel0 2 3 2" xfId="4337" xr:uid="{4316EE83-ED21-405F-BDD2-0DAFFF3A50E4}"/>
    <cellStyle name="SAPBEXHLevel0 2 4" xfId="2342" xr:uid="{00000000-0005-0000-0000-0000090B0000}"/>
    <cellStyle name="SAPBEXHLevel0 2 4 2" xfId="3932" xr:uid="{DB749EA7-3B45-4530-9075-A1EE5A648C02}"/>
    <cellStyle name="SAPBEXHLevel0 3" xfId="1638" xr:uid="{00000000-0005-0000-0000-00000A0B0000}"/>
    <cellStyle name="SAPBEXHLevel0 3 2" xfId="2205" xr:uid="{00000000-0005-0000-0000-00000B0B0000}"/>
    <cellStyle name="SAPBEXHLevel0 3 2 2" xfId="3091" xr:uid="{00000000-0005-0000-0000-00000C0B0000}"/>
    <cellStyle name="SAPBEXHLevel0 3 2 2 2" xfId="4664" xr:uid="{234253E1-FC1A-4C91-8FC7-EC7E9D18D563}"/>
    <cellStyle name="SAPBEXHLevel0 3 2 3" xfId="3516" xr:uid="{00000000-0005-0000-0000-00000D0B0000}"/>
    <cellStyle name="SAPBEXHLevel0 3 2 3 2" xfId="5087" xr:uid="{E5C76AB0-0947-4EAE-8359-82A82ABFA931}"/>
    <cellStyle name="SAPBEXHLevel0 3 2 4" xfId="3822" xr:uid="{B5CB69E0-BE55-41A0-9672-A99DD3B8E53A}"/>
    <cellStyle name="SAPBEXHLevel0 3 3" xfId="2759" xr:uid="{00000000-0005-0000-0000-00000E0B0000}"/>
    <cellStyle name="SAPBEXHLevel0 3 3 2" xfId="4338" xr:uid="{D2D2D324-548D-4DD9-8566-A62A56C1BD86}"/>
    <cellStyle name="SAPBEXHLevel0 3 4" xfId="2341" xr:uid="{00000000-0005-0000-0000-00000F0B0000}"/>
    <cellStyle name="SAPBEXHLevel0 3 4 2" xfId="3931" xr:uid="{2E0DEA43-E4A6-48E9-B8AE-64674BBAAD12}"/>
    <cellStyle name="SAPBEXHLevel0 4" xfId="1639" xr:uid="{00000000-0005-0000-0000-0000100B0000}"/>
    <cellStyle name="SAPBEXHLevel0 4 2" xfId="2206" xr:uid="{00000000-0005-0000-0000-0000110B0000}"/>
    <cellStyle name="SAPBEXHLevel0 4 2 2" xfId="3092" xr:uid="{00000000-0005-0000-0000-0000120B0000}"/>
    <cellStyle name="SAPBEXHLevel0 4 2 2 2" xfId="4665" xr:uid="{A4046A6E-6BBD-4CD1-94DF-2773A4BAFB8D}"/>
    <cellStyle name="SAPBEXHLevel0 4 2 3" xfId="3517" xr:uid="{00000000-0005-0000-0000-0000130B0000}"/>
    <cellStyle name="SAPBEXHLevel0 4 2 3 2" xfId="5088" xr:uid="{990350C8-FBC4-474E-9064-D48AA33376DD}"/>
    <cellStyle name="SAPBEXHLevel0 4 2 4" xfId="3823" xr:uid="{7E1FDF63-37FF-4233-8B6B-4CCD6674CBF1}"/>
    <cellStyle name="SAPBEXHLevel0 4 3" xfId="2760" xr:uid="{00000000-0005-0000-0000-0000140B0000}"/>
    <cellStyle name="SAPBEXHLevel0 4 3 2" xfId="4339" xr:uid="{117E8E6D-2D0C-4BEE-82DB-21330CD5642E}"/>
    <cellStyle name="SAPBEXHLevel0 4 4" xfId="2340" xr:uid="{00000000-0005-0000-0000-0000150B0000}"/>
    <cellStyle name="SAPBEXHLevel0 4 4 2" xfId="3930" xr:uid="{81B448C5-D9B3-4432-804B-92996221F0CC}"/>
    <cellStyle name="SAPBEXHLevel0 5" xfId="2203" xr:uid="{00000000-0005-0000-0000-0000160B0000}"/>
    <cellStyle name="SAPBEXHLevel0 5 2" xfId="3089" xr:uid="{00000000-0005-0000-0000-0000170B0000}"/>
    <cellStyle name="SAPBEXHLevel0 5 2 2" xfId="4662" xr:uid="{A16F7E02-02FB-41E1-9F2E-E7202B39CCA6}"/>
    <cellStyle name="SAPBEXHLevel0 5 3" xfId="3514" xr:uid="{00000000-0005-0000-0000-0000180B0000}"/>
    <cellStyle name="SAPBEXHLevel0 5 3 2" xfId="5085" xr:uid="{15C45589-DF31-4656-B045-345F484CF6E4}"/>
    <cellStyle name="SAPBEXHLevel0 5 4" xfId="3820" xr:uid="{574E1261-1F4A-4544-8AF8-F95B667F8541}"/>
    <cellStyle name="SAPBEXHLevel0 6" xfId="2757" xr:uid="{00000000-0005-0000-0000-0000190B0000}"/>
    <cellStyle name="SAPBEXHLevel0 6 2" xfId="4336" xr:uid="{058A94B8-FED4-43B4-AA9F-8A9A1D6DCEBB}"/>
    <cellStyle name="SAPBEXHLevel0 7" xfId="2343" xr:uid="{00000000-0005-0000-0000-00001A0B0000}"/>
    <cellStyle name="SAPBEXHLevel0 7 2" xfId="3933" xr:uid="{A170D3D3-733E-45B1-A546-3B52DD7B59B1}"/>
    <cellStyle name="SAPBEXHLevel1" xfId="1640" xr:uid="{00000000-0005-0000-0000-00001B0B0000}"/>
    <cellStyle name="SAPBEXHLevel1 2" xfId="1641" xr:uid="{00000000-0005-0000-0000-00001C0B0000}"/>
    <cellStyle name="SAPBEXHLevel1 2 2" xfId="2208" xr:uid="{00000000-0005-0000-0000-00001D0B0000}"/>
    <cellStyle name="SAPBEXHLevel1 2 2 2" xfId="3094" xr:uid="{00000000-0005-0000-0000-00001E0B0000}"/>
    <cellStyle name="SAPBEXHLevel1 2 2 2 2" xfId="4667" xr:uid="{0D7B4A83-10D5-459A-927D-9DD2423682A6}"/>
    <cellStyle name="SAPBEXHLevel1 2 2 3" xfId="3519" xr:uid="{00000000-0005-0000-0000-00001F0B0000}"/>
    <cellStyle name="SAPBEXHLevel1 2 2 3 2" xfId="5090" xr:uid="{B38802FC-6630-4119-AFB8-DFABF82ECB07}"/>
    <cellStyle name="SAPBEXHLevel1 2 2 4" xfId="3825" xr:uid="{21AA7127-B34D-4588-8401-FA7246CECD18}"/>
    <cellStyle name="SAPBEXHLevel1 2 3" xfId="2762" xr:uid="{00000000-0005-0000-0000-0000200B0000}"/>
    <cellStyle name="SAPBEXHLevel1 2 3 2" xfId="4341" xr:uid="{F545B49C-9F4E-4900-856A-CF6F8BBBD43B}"/>
    <cellStyle name="SAPBEXHLevel1 2 4" xfId="2858" xr:uid="{00000000-0005-0000-0000-0000210B0000}"/>
    <cellStyle name="SAPBEXHLevel1 2 4 2" xfId="4437" xr:uid="{422FD9BF-60C0-4F2B-854C-BFC79DB5EA8A}"/>
    <cellStyle name="SAPBEXHLevel1 3" xfId="1642" xr:uid="{00000000-0005-0000-0000-0000220B0000}"/>
    <cellStyle name="SAPBEXHLevel1 3 2" xfId="2209" xr:uid="{00000000-0005-0000-0000-0000230B0000}"/>
    <cellStyle name="SAPBEXHLevel1 3 2 2" xfId="3095" xr:uid="{00000000-0005-0000-0000-0000240B0000}"/>
    <cellStyle name="SAPBEXHLevel1 3 2 2 2" xfId="4668" xr:uid="{550BF661-2CA8-4AD9-AE14-02DA03A3ABB1}"/>
    <cellStyle name="SAPBEXHLevel1 3 2 3" xfId="3520" xr:uid="{00000000-0005-0000-0000-0000250B0000}"/>
    <cellStyle name="SAPBEXHLevel1 3 2 3 2" xfId="5091" xr:uid="{B6A8547B-4FF4-4EFF-859A-B7E7D9B52329}"/>
    <cellStyle name="SAPBEXHLevel1 3 2 4" xfId="3826" xr:uid="{FCED9F2E-1E86-45D8-91CF-CC65947ACE5E}"/>
    <cellStyle name="SAPBEXHLevel1 3 3" xfId="2763" xr:uid="{00000000-0005-0000-0000-0000260B0000}"/>
    <cellStyle name="SAPBEXHLevel1 3 3 2" xfId="4342" xr:uid="{E9CC8E14-FDE2-49C8-9C2A-1D6389268B44}"/>
    <cellStyle name="SAPBEXHLevel1 3 4" xfId="2859" xr:uid="{00000000-0005-0000-0000-0000270B0000}"/>
    <cellStyle name="SAPBEXHLevel1 3 4 2" xfId="4438" xr:uid="{6BF469D4-AD48-46A1-98E4-A35502D14765}"/>
    <cellStyle name="SAPBEXHLevel1 4" xfId="1643" xr:uid="{00000000-0005-0000-0000-0000280B0000}"/>
    <cellStyle name="SAPBEXHLevel1 4 2" xfId="2210" xr:uid="{00000000-0005-0000-0000-0000290B0000}"/>
    <cellStyle name="SAPBEXHLevel1 4 2 2" xfId="3096" xr:uid="{00000000-0005-0000-0000-00002A0B0000}"/>
    <cellStyle name="SAPBEXHLevel1 4 2 2 2" xfId="4669" xr:uid="{224BFAD6-0ED8-4D2E-B407-526EA7789449}"/>
    <cellStyle name="SAPBEXHLevel1 4 2 3" xfId="3521" xr:uid="{00000000-0005-0000-0000-00002B0B0000}"/>
    <cellStyle name="SAPBEXHLevel1 4 2 3 2" xfId="5092" xr:uid="{9C76682B-2D24-47D5-AE78-6F901450782F}"/>
    <cellStyle name="SAPBEXHLevel1 4 2 4" xfId="3827" xr:uid="{50A72822-FDD9-4421-9E53-F1A08BC2AA18}"/>
    <cellStyle name="SAPBEXHLevel1 4 3" xfId="2764" xr:uid="{00000000-0005-0000-0000-00002C0B0000}"/>
    <cellStyle name="SAPBEXHLevel1 4 3 2" xfId="4343" xr:uid="{345B9117-C75D-4ED7-8C28-97D60D2DF8E6}"/>
    <cellStyle name="SAPBEXHLevel1 4 4" xfId="2338" xr:uid="{00000000-0005-0000-0000-00002D0B0000}"/>
    <cellStyle name="SAPBEXHLevel1 4 4 2" xfId="3928" xr:uid="{06A21ACE-BA3B-4987-80F6-8DDDC7B237A0}"/>
    <cellStyle name="SAPBEXHLevel1 5" xfId="2207" xr:uid="{00000000-0005-0000-0000-00002E0B0000}"/>
    <cellStyle name="SAPBEXHLevel1 5 2" xfId="3093" xr:uid="{00000000-0005-0000-0000-00002F0B0000}"/>
    <cellStyle name="SAPBEXHLevel1 5 2 2" xfId="4666" xr:uid="{CD4EAFEB-941C-4DDA-9436-DF1DEF4430EF}"/>
    <cellStyle name="SAPBEXHLevel1 5 3" xfId="3518" xr:uid="{00000000-0005-0000-0000-0000300B0000}"/>
    <cellStyle name="SAPBEXHLevel1 5 3 2" xfId="5089" xr:uid="{42531DD5-C30D-4782-8D83-164758037ED2}"/>
    <cellStyle name="SAPBEXHLevel1 5 4" xfId="3824" xr:uid="{9F78E6E8-4BA4-4024-87C6-D2C346185FAA}"/>
    <cellStyle name="SAPBEXHLevel1 6" xfId="2761" xr:uid="{00000000-0005-0000-0000-0000310B0000}"/>
    <cellStyle name="SAPBEXHLevel1 6 2" xfId="4340" xr:uid="{476D9B5D-2B28-487D-8303-23C799062D0A}"/>
    <cellStyle name="SAPBEXHLevel1 7" xfId="2339" xr:uid="{00000000-0005-0000-0000-0000320B0000}"/>
    <cellStyle name="SAPBEXHLevel1 7 2" xfId="3929" xr:uid="{E1EB026E-2C5B-40E6-9269-31DA354C814A}"/>
    <cellStyle name="SAPBEXHLevel2" xfId="1644" xr:uid="{00000000-0005-0000-0000-0000330B0000}"/>
    <cellStyle name="SAPBEXHLevel2 2" xfId="1645" xr:uid="{00000000-0005-0000-0000-0000340B0000}"/>
    <cellStyle name="SAPBEXHLevel2 2 2" xfId="2212" xr:uid="{00000000-0005-0000-0000-0000350B0000}"/>
    <cellStyle name="SAPBEXHLevel2 2 2 2" xfId="3098" xr:uid="{00000000-0005-0000-0000-0000360B0000}"/>
    <cellStyle name="SAPBEXHLevel2 2 2 2 2" xfId="4671" xr:uid="{D9DB4703-340B-475D-940E-B09EE3A6BFE0}"/>
    <cellStyle name="SAPBEXHLevel2 2 2 3" xfId="3523" xr:uid="{00000000-0005-0000-0000-0000370B0000}"/>
    <cellStyle name="SAPBEXHLevel2 2 2 3 2" xfId="5094" xr:uid="{493FC6B3-B0CB-4F70-B8FC-8F81EEC1423C}"/>
    <cellStyle name="SAPBEXHLevel2 2 2 4" xfId="3829" xr:uid="{FA5C81FC-B36E-4CBD-80E3-932260921101}"/>
    <cellStyle name="SAPBEXHLevel2 2 3" xfId="2766" xr:uid="{00000000-0005-0000-0000-0000380B0000}"/>
    <cellStyle name="SAPBEXHLevel2 2 3 2" xfId="4345" xr:uid="{DD8AFBAE-9C2B-4A2D-B356-1F1BD7D8BE44}"/>
    <cellStyle name="SAPBEXHLevel2 2 4" xfId="3210" xr:uid="{00000000-0005-0000-0000-0000390B0000}"/>
    <cellStyle name="SAPBEXHLevel2 2 4 2" xfId="4781" xr:uid="{96FA9482-5F85-4935-9308-7538427AF605}"/>
    <cellStyle name="SAPBEXHLevel2 3" xfId="1646" xr:uid="{00000000-0005-0000-0000-00003A0B0000}"/>
    <cellStyle name="SAPBEXHLevel2 3 2" xfId="2213" xr:uid="{00000000-0005-0000-0000-00003B0B0000}"/>
    <cellStyle name="SAPBEXHLevel2 3 2 2" xfId="3099" xr:uid="{00000000-0005-0000-0000-00003C0B0000}"/>
    <cellStyle name="SAPBEXHLevel2 3 2 2 2" xfId="4672" xr:uid="{D3CA0ED9-E528-487F-A5BC-C42107EB93A1}"/>
    <cellStyle name="SAPBEXHLevel2 3 2 3" xfId="3524" xr:uid="{00000000-0005-0000-0000-00003D0B0000}"/>
    <cellStyle name="SAPBEXHLevel2 3 2 3 2" xfId="5095" xr:uid="{DEBF02AE-D120-49A7-88DD-258BE8017933}"/>
    <cellStyle name="SAPBEXHLevel2 3 2 4" xfId="3830" xr:uid="{8CB707EF-8E04-4C45-AD8F-40480F5AA433}"/>
    <cellStyle name="SAPBEXHLevel2 3 3" xfId="2767" xr:uid="{00000000-0005-0000-0000-00003E0B0000}"/>
    <cellStyle name="SAPBEXHLevel2 3 3 2" xfId="4346" xr:uid="{D565AC03-C57C-4E26-9B7F-7D374C02DB65}"/>
    <cellStyle name="SAPBEXHLevel2 3 4" xfId="3211" xr:uid="{00000000-0005-0000-0000-00003F0B0000}"/>
    <cellStyle name="SAPBEXHLevel2 3 4 2" xfId="4782" xr:uid="{725888A0-8367-4D5D-B435-C007E19E6EBD}"/>
    <cellStyle name="SAPBEXHLevel2 4" xfId="1647" xr:uid="{00000000-0005-0000-0000-0000400B0000}"/>
    <cellStyle name="SAPBEXHLevel2 4 2" xfId="2214" xr:uid="{00000000-0005-0000-0000-0000410B0000}"/>
    <cellStyle name="SAPBEXHLevel2 4 2 2" xfId="3100" xr:uid="{00000000-0005-0000-0000-0000420B0000}"/>
    <cellStyle name="SAPBEXHLevel2 4 2 2 2" xfId="4673" xr:uid="{DAC6414F-156B-41C0-B8AD-98E75837C6C1}"/>
    <cellStyle name="SAPBEXHLevel2 4 2 3" xfId="3525" xr:uid="{00000000-0005-0000-0000-0000430B0000}"/>
    <cellStyle name="SAPBEXHLevel2 4 2 3 2" xfId="5096" xr:uid="{C4BF2E0A-8772-4011-9A7B-E8F2CD5DC890}"/>
    <cellStyle name="SAPBEXHLevel2 4 2 4" xfId="3831" xr:uid="{16DA3BF4-218C-41E6-A877-826EDA54B541}"/>
    <cellStyle name="SAPBEXHLevel2 4 3" xfId="2768" xr:uid="{00000000-0005-0000-0000-0000440B0000}"/>
    <cellStyle name="SAPBEXHLevel2 4 3 2" xfId="4347" xr:uid="{25E3B59A-12ED-4418-94B2-190827238397}"/>
    <cellStyle name="SAPBEXHLevel2 4 4" xfId="3212" xr:uid="{00000000-0005-0000-0000-0000450B0000}"/>
    <cellStyle name="SAPBEXHLevel2 4 4 2" xfId="4783" xr:uid="{E22C58D6-FB12-4749-A802-774F7E6C4A63}"/>
    <cellStyle name="SAPBEXHLevel2 5" xfId="2211" xr:uid="{00000000-0005-0000-0000-0000460B0000}"/>
    <cellStyle name="SAPBEXHLevel2 5 2" xfId="3097" xr:uid="{00000000-0005-0000-0000-0000470B0000}"/>
    <cellStyle name="SAPBEXHLevel2 5 2 2" xfId="4670" xr:uid="{77FD7650-C696-4A23-A4B9-60BD41A7BA37}"/>
    <cellStyle name="SAPBEXHLevel2 5 3" xfId="3522" xr:uid="{00000000-0005-0000-0000-0000480B0000}"/>
    <cellStyle name="SAPBEXHLevel2 5 3 2" xfId="5093" xr:uid="{12DC9DF9-3F30-47BA-83CB-0A7654A6BD95}"/>
    <cellStyle name="SAPBEXHLevel2 5 4" xfId="3828" xr:uid="{E4B4046A-3A5D-4180-9789-5BB8D0CC3F1A}"/>
    <cellStyle name="SAPBEXHLevel2 6" xfId="2765" xr:uid="{00000000-0005-0000-0000-0000490B0000}"/>
    <cellStyle name="SAPBEXHLevel2 6 2" xfId="4344" xr:uid="{D17708AF-2A4B-442D-A4AE-1B8990F19866}"/>
    <cellStyle name="SAPBEXHLevel2 7" xfId="3209" xr:uid="{00000000-0005-0000-0000-00004A0B0000}"/>
    <cellStyle name="SAPBEXHLevel2 7 2" xfId="4780" xr:uid="{885829E5-1EF5-49F6-8F37-80E9FA5895A1}"/>
    <cellStyle name="SAPBEXHLevel3" xfId="1648" xr:uid="{00000000-0005-0000-0000-00004B0B0000}"/>
    <cellStyle name="SAPBEXHLevel3 2" xfId="1649" xr:uid="{00000000-0005-0000-0000-00004C0B0000}"/>
    <cellStyle name="SAPBEXHLevel3 2 2" xfId="2216" xr:uid="{00000000-0005-0000-0000-00004D0B0000}"/>
    <cellStyle name="SAPBEXHLevel3 2 2 2" xfId="3102" xr:uid="{00000000-0005-0000-0000-00004E0B0000}"/>
    <cellStyle name="SAPBEXHLevel3 2 2 2 2" xfId="4675" xr:uid="{F8413B04-5BEF-44C7-8ACF-D75C4F00DA40}"/>
    <cellStyle name="SAPBEXHLevel3 2 2 3" xfId="3527" xr:uid="{00000000-0005-0000-0000-00004F0B0000}"/>
    <cellStyle name="SAPBEXHLevel3 2 2 3 2" xfId="5098" xr:uid="{ED3B6A4A-10BC-4D1C-9345-0E40250282EB}"/>
    <cellStyle name="SAPBEXHLevel3 2 2 4" xfId="3833" xr:uid="{DF6BB8DE-0C0D-40FD-98CD-2558BE7A5F8B}"/>
    <cellStyle name="SAPBEXHLevel3 2 3" xfId="2770" xr:uid="{00000000-0005-0000-0000-0000500B0000}"/>
    <cellStyle name="SAPBEXHLevel3 2 3 2" xfId="4349" xr:uid="{4945098B-1A5D-4FE3-A5E7-566E207AF4CB}"/>
    <cellStyle name="SAPBEXHLevel3 2 4" xfId="3214" xr:uid="{00000000-0005-0000-0000-0000510B0000}"/>
    <cellStyle name="SAPBEXHLevel3 2 4 2" xfId="4785" xr:uid="{B467FCE0-F31A-45DA-8FA4-317DCB0A960B}"/>
    <cellStyle name="SAPBEXHLevel3 3" xfId="1650" xr:uid="{00000000-0005-0000-0000-0000520B0000}"/>
    <cellStyle name="SAPBEXHLevel3 3 2" xfId="2217" xr:uid="{00000000-0005-0000-0000-0000530B0000}"/>
    <cellStyle name="SAPBEXHLevel3 3 2 2" xfId="3103" xr:uid="{00000000-0005-0000-0000-0000540B0000}"/>
    <cellStyle name="SAPBEXHLevel3 3 2 2 2" xfId="4676" xr:uid="{D17B2107-EC2E-4AEB-B234-F67B6DE35450}"/>
    <cellStyle name="SAPBEXHLevel3 3 2 3" xfId="3528" xr:uid="{00000000-0005-0000-0000-0000550B0000}"/>
    <cellStyle name="SAPBEXHLevel3 3 2 3 2" xfId="5099" xr:uid="{D1228023-2F8C-43E0-91D2-317F7630AF6B}"/>
    <cellStyle name="SAPBEXHLevel3 3 2 4" xfId="3834" xr:uid="{4FB4CE31-CBB7-4B61-998A-F5DEDE0ED89E}"/>
    <cellStyle name="SAPBEXHLevel3 3 3" xfId="2771" xr:uid="{00000000-0005-0000-0000-0000560B0000}"/>
    <cellStyle name="SAPBEXHLevel3 3 3 2" xfId="4350" xr:uid="{3C056DD4-70B7-49C4-A92C-2CF76D958732}"/>
    <cellStyle name="SAPBEXHLevel3 3 4" xfId="3215" xr:uid="{00000000-0005-0000-0000-0000570B0000}"/>
    <cellStyle name="SAPBEXHLevel3 3 4 2" xfId="4786" xr:uid="{8075894D-D576-4690-A3F9-4A7E5DD441AF}"/>
    <cellStyle name="SAPBEXHLevel3 4" xfId="1651" xr:uid="{00000000-0005-0000-0000-0000580B0000}"/>
    <cellStyle name="SAPBEXHLevel3 4 2" xfId="2218" xr:uid="{00000000-0005-0000-0000-0000590B0000}"/>
    <cellStyle name="SAPBEXHLevel3 4 2 2" xfId="3104" xr:uid="{00000000-0005-0000-0000-00005A0B0000}"/>
    <cellStyle name="SAPBEXHLevel3 4 2 2 2" xfId="4677" xr:uid="{04F14342-8120-488E-958C-CABE5453DAEA}"/>
    <cellStyle name="SAPBEXHLevel3 4 2 3" xfId="3529" xr:uid="{00000000-0005-0000-0000-00005B0B0000}"/>
    <cellStyle name="SAPBEXHLevel3 4 2 3 2" xfId="5100" xr:uid="{C09CF208-031A-4946-B748-0A0350463918}"/>
    <cellStyle name="SAPBEXHLevel3 4 2 4" xfId="3835" xr:uid="{19EF5731-511C-4390-B41C-159150184F9B}"/>
    <cellStyle name="SAPBEXHLevel3 4 3" xfId="2772" xr:uid="{00000000-0005-0000-0000-00005C0B0000}"/>
    <cellStyle name="SAPBEXHLevel3 4 3 2" xfId="4351" xr:uid="{90E09D5E-B7DA-4DAC-BD64-332EC526C6D1}"/>
    <cellStyle name="SAPBEXHLevel3 4 4" xfId="3216" xr:uid="{00000000-0005-0000-0000-00005D0B0000}"/>
    <cellStyle name="SAPBEXHLevel3 4 4 2" xfId="4787" xr:uid="{BC17A284-D11D-45DD-8414-CAE488285EC6}"/>
    <cellStyle name="SAPBEXHLevel3 5" xfId="2215" xr:uid="{00000000-0005-0000-0000-00005E0B0000}"/>
    <cellStyle name="SAPBEXHLevel3 5 2" xfId="3101" xr:uid="{00000000-0005-0000-0000-00005F0B0000}"/>
    <cellStyle name="SAPBEXHLevel3 5 2 2" xfId="4674" xr:uid="{EA0BD337-B564-4D7F-9546-7A6E52EAB400}"/>
    <cellStyle name="SAPBEXHLevel3 5 3" xfId="3526" xr:uid="{00000000-0005-0000-0000-0000600B0000}"/>
    <cellStyle name="SAPBEXHLevel3 5 3 2" xfId="5097" xr:uid="{B4DD6C40-61C2-416F-8247-79C1917175C4}"/>
    <cellStyle name="SAPBEXHLevel3 5 4" xfId="3832" xr:uid="{3F6FB95B-0BC7-42C6-92A6-09A230D6D80C}"/>
    <cellStyle name="SAPBEXHLevel3 6" xfId="2769" xr:uid="{00000000-0005-0000-0000-0000610B0000}"/>
    <cellStyle name="SAPBEXHLevel3 6 2" xfId="4348" xr:uid="{DA8C2E4A-5ECB-4312-9694-68C636B58E76}"/>
    <cellStyle name="SAPBEXHLevel3 7" xfId="3213" xr:uid="{00000000-0005-0000-0000-0000620B0000}"/>
    <cellStyle name="SAPBEXHLevel3 7 2" xfId="4784" xr:uid="{988358B2-3016-45AB-9D6B-43BDF5F2BB47}"/>
    <cellStyle name="SAPBEXresData" xfId="1652" xr:uid="{00000000-0005-0000-0000-0000630B0000}"/>
    <cellStyle name="SAPBEXresData 2" xfId="1653" xr:uid="{00000000-0005-0000-0000-0000640B0000}"/>
    <cellStyle name="SAPBEXresData 2 2" xfId="2220" xr:uid="{00000000-0005-0000-0000-0000650B0000}"/>
    <cellStyle name="SAPBEXresData 2 2 2" xfId="3106" xr:uid="{00000000-0005-0000-0000-0000660B0000}"/>
    <cellStyle name="SAPBEXresData 2 2 2 2" xfId="4679" xr:uid="{D65F7B52-839A-4A51-BDCB-7E650AE2F97E}"/>
    <cellStyle name="SAPBEXresData 2 2 3" xfId="3531" xr:uid="{00000000-0005-0000-0000-0000670B0000}"/>
    <cellStyle name="SAPBEXresData 2 2 3 2" xfId="5102" xr:uid="{8AE9C1C0-8298-4A35-AFBC-672B9D6DC768}"/>
    <cellStyle name="SAPBEXresData 2 2 4" xfId="3837" xr:uid="{704201F8-F1DA-41B5-9AF1-FE2BE129B847}"/>
    <cellStyle name="SAPBEXresData 2 3" xfId="2774" xr:uid="{00000000-0005-0000-0000-0000680B0000}"/>
    <cellStyle name="SAPBEXresData 2 3 2" xfId="4353" xr:uid="{1D4D1BEE-CB97-4B0D-9150-F7B8E9A59CEF}"/>
    <cellStyle name="SAPBEXresData 2 4" xfId="3218" xr:uid="{00000000-0005-0000-0000-0000690B0000}"/>
    <cellStyle name="SAPBEXresData 2 4 2" xfId="4789" xr:uid="{1E7C7272-85A2-4B10-8DE9-8E8C16970AB7}"/>
    <cellStyle name="SAPBEXresData 3" xfId="1654" xr:uid="{00000000-0005-0000-0000-00006A0B0000}"/>
    <cellStyle name="SAPBEXresData 3 2" xfId="2221" xr:uid="{00000000-0005-0000-0000-00006B0B0000}"/>
    <cellStyle name="SAPBEXresData 3 2 2" xfId="3107" xr:uid="{00000000-0005-0000-0000-00006C0B0000}"/>
    <cellStyle name="SAPBEXresData 3 2 2 2" xfId="4680" xr:uid="{033F16D4-D270-4EDC-A0A3-3D0E7861158B}"/>
    <cellStyle name="SAPBEXresData 3 2 3" xfId="3532" xr:uid="{00000000-0005-0000-0000-00006D0B0000}"/>
    <cellStyle name="SAPBEXresData 3 2 3 2" xfId="5103" xr:uid="{E957DF67-4717-4D67-9B1B-37AC252369B7}"/>
    <cellStyle name="SAPBEXresData 3 2 4" xfId="3838" xr:uid="{B0D74A1F-1E39-4238-8968-0795FCE6E2E2}"/>
    <cellStyle name="SAPBEXresData 3 3" xfId="2775" xr:uid="{00000000-0005-0000-0000-00006E0B0000}"/>
    <cellStyle name="SAPBEXresData 3 3 2" xfId="4354" xr:uid="{094A3857-202D-4E5E-83B6-9E9EF81F4024}"/>
    <cellStyle name="SAPBEXresData 3 4" xfId="3219" xr:uid="{00000000-0005-0000-0000-00006F0B0000}"/>
    <cellStyle name="SAPBEXresData 3 4 2" xfId="4790" xr:uid="{802BFDCC-36F2-4644-986F-B87729109FB5}"/>
    <cellStyle name="SAPBEXresData 4" xfId="1655" xr:uid="{00000000-0005-0000-0000-0000700B0000}"/>
    <cellStyle name="SAPBEXresData 4 2" xfId="2222" xr:uid="{00000000-0005-0000-0000-0000710B0000}"/>
    <cellStyle name="SAPBEXresData 4 2 2" xfId="3108" xr:uid="{00000000-0005-0000-0000-0000720B0000}"/>
    <cellStyle name="SAPBEXresData 4 2 2 2" xfId="4681" xr:uid="{89B5F3BC-DB62-4B4F-B5E0-27BCB7274BB8}"/>
    <cellStyle name="SAPBEXresData 4 2 3" xfId="3533" xr:uid="{00000000-0005-0000-0000-0000730B0000}"/>
    <cellStyle name="SAPBEXresData 4 2 3 2" xfId="5104" xr:uid="{2D2D5B3D-9279-4916-91FB-784D977EB12E}"/>
    <cellStyle name="SAPBEXresData 4 2 4" xfId="3839" xr:uid="{00FBF58D-1579-45F6-9323-F496D1C48CB3}"/>
    <cellStyle name="SAPBEXresData 4 3" xfId="2776" xr:uid="{00000000-0005-0000-0000-0000740B0000}"/>
    <cellStyle name="SAPBEXresData 4 3 2" xfId="4355" xr:uid="{C3316C75-6966-4550-87D9-47E4D7B403D8}"/>
    <cellStyle name="SAPBEXresData 4 4" xfId="3220" xr:uid="{00000000-0005-0000-0000-0000750B0000}"/>
    <cellStyle name="SAPBEXresData 4 4 2" xfId="4791" xr:uid="{CA5516CB-A22F-4D27-98E7-A698422A1F88}"/>
    <cellStyle name="SAPBEXresData 5" xfId="2219" xr:uid="{00000000-0005-0000-0000-0000760B0000}"/>
    <cellStyle name="SAPBEXresData 5 2" xfId="3105" xr:uid="{00000000-0005-0000-0000-0000770B0000}"/>
    <cellStyle name="SAPBEXresData 5 2 2" xfId="4678" xr:uid="{3BE710F7-43FA-4B8A-8514-FBB19F9DA581}"/>
    <cellStyle name="SAPBEXresData 5 3" xfId="3530" xr:uid="{00000000-0005-0000-0000-0000780B0000}"/>
    <cellStyle name="SAPBEXresData 5 3 2" xfId="5101" xr:uid="{6B7BDFE2-C8DB-4908-A3A7-60964C6BDF1F}"/>
    <cellStyle name="SAPBEXresData 5 4" xfId="3836" xr:uid="{1C47EFA0-0A29-4DC5-9621-48EE5DC4878B}"/>
    <cellStyle name="SAPBEXresData 6" xfId="2773" xr:uid="{00000000-0005-0000-0000-0000790B0000}"/>
    <cellStyle name="SAPBEXresData 6 2" xfId="4352" xr:uid="{71A52C35-1D25-4040-8A92-EA0AC6067316}"/>
    <cellStyle name="SAPBEXresData 7" xfId="3217" xr:uid="{00000000-0005-0000-0000-00007A0B0000}"/>
    <cellStyle name="SAPBEXresData 7 2" xfId="4788" xr:uid="{346568F8-47BA-4C02-813B-41554DDE983B}"/>
    <cellStyle name="SAPBEXresDataEmph" xfId="1656" xr:uid="{00000000-0005-0000-0000-00007B0B0000}"/>
    <cellStyle name="SAPBEXresDataEmph 2" xfId="1657" xr:uid="{00000000-0005-0000-0000-00007C0B0000}"/>
    <cellStyle name="SAPBEXresDataEmph 2 2" xfId="2224" xr:uid="{00000000-0005-0000-0000-00007D0B0000}"/>
    <cellStyle name="SAPBEXresDataEmph 2 2 2" xfId="3110" xr:uid="{00000000-0005-0000-0000-00007E0B0000}"/>
    <cellStyle name="SAPBEXresDataEmph 2 2 2 2" xfId="4683" xr:uid="{68954918-AF36-4751-A1B1-28E4215C6F2B}"/>
    <cellStyle name="SAPBEXresDataEmph 2 2 3" xfId="3535" xr:uid="{00000000-0005-0000-0000-00007F0B0000}"/>
    <cellStyle name="SAPBEXresDataEmph 2 2 3 2" xfId="5106" xr:uid="{C6920267-5DC7-4FDD-AE78-6E8873816DD4}"/>
    <cellStyle name="SAPBEXresDataEmph 2 2 4" xfId="3841" xr:uid="{02F0215B-CCCE-466F-B894-43CDBFA6C7F6}"/>
    <cellStyle name="SAPBEXresDataEmph 2 3" xfId="2778" xr:uid="{00000000-0005-0000-0000-0000800B0000}"/>
    <cellStyle name="SAPBEXresDataEmph 2 3 2" xfId="4357" xr:uid="{0AC6AE6C-9B3D-40CA-8269-0EE2341B66BD}"/>
    <cellStyle name="SAPBEXresDataEmph 2 4" xfId="3222" xr:uid="{00000000-0005-0000-0000-0000810B0000}"/>
    <cellStyle name="SAPBEXresDataEmph 2 4 2" xfId="4793" xr:uid="{9F2F83D3-2F33-41EE-A1A4-B84346E1BBC4}"/>
    <cellStyle name="SAPBEXresDataEmph 3" xfId="1658" xr:uid="{00000000-0005-0000-0000-0000820B0000}"/>
    <cellStyle name="SAPBEXresDataEmph 3 2" xfId="2225" xr:uid="{00000000-0005-0000-0000-0000830B0000}"/>
    <cellStyle name="SAPBEXresDataEmph 3 2 2" xfId="3111" xr:uid="{00000000-0005-0000-0000-0000840B0000}"/>
    <cellStyle name="SAPBEXresDataEmph 3 2 2 2" xfId="4684" xr:uid="{77CF66DF-7158-4C88-B87D-7E8754ED279A}"/>
    <cellStyle name="SAPBEXresDataEmph 3 2 3" xfId="3536" xr:uid="{00000000-0005-0000-0000-0000850B0000}"/>
    <cellStyle name="SAPBEXresDataEmph 3 2 3 2" xfId="5107" xr:uid="{31CA1C4F-6CFA-4D1F-814C-51BB89CC0379}"/>
    <cellStyle name="SAPBEXresDataEmph 3 2 4" xfId="3842" xr:uid="{5F68E046-6851-4F79-9560-D4006A029AEC}"/>
    <cellStyle name="SAPBEXresDataEmph 3 3" xfId="2779" xr:uid="{00000000-0005-0000-0000-0000860B0000}"/>
    <cellStyle name="SAPBEXresDataEmph 3 3 2" xfId="4358" xr:uid="{CB836BB0-0D1A-4E1F-9394-97B501F53C63}"/>
    <cellStyle name="SAPBEXresDataEmph 3 4" xfId="3223" xr:uid="{00000000-0005-0000-0000-0000870B0000}"/>
    <cellStyle name="SAPBEXresDataEmph 3 4 2" xfId="4794" xr:uid="{4EDE71B7-42AF-4E1B-8E52-470C2C75A7D1}"/>
    <cellStyle name="SAPBEXresDataEmph 4" xfId="1659" xr:uid="{00000000-0005-0000-0000-0000880B0000}"/>
    <cellStyle name="SAPBEXresDataEmph 4 2" xfId="2226" xr:uid="{00000000-0005-0000-0000-0000890B0000}"/>
    <cellStyle name="SAPBEXresDataEmph 4 2 2" xfId="3112" xr:uid="{00000000-0005-0000-0000-00008A0B0000}"/>
    <cellStyle name="SAPBEXresDataEmph 4 2 2 2" xfId="4685" xr:uid="{A03350F8-A2BA-4239-B0E6-9DB504FF8E72}"/>
    <cellStyle name="SAPBEXresDataEmph 4 2 3" xfId="3537" xr:uid="{00000000-0005-0000-0000-00008B0B0000}"/>
    <cellStyle name="SAPBEXresDataEmph 4 2 3 2" xfId="5108" xr:uid="{9EB2BA12-A98E-40AF-A824-273D5DE83422}"/>
    <cellStyle name="SAPBEXresDataEmph 4 2 4" xfId="3843" xr:uid="{2A196F69-490E-4F7F-8053-74A42D527CDA}"/>
    <cellStyle name="SAPBEXresDataEmph 4 3" xfId="2780" xr:uid="{00000000-0005-0000-0000-00008C0B0000}"/>
    <cellStyle name="SAPBEXresDataEmph 4 3 2" xfId="4359" xr:uid="{79473065-E9D2-438C-8695-613106B018F9}"/>
    <cellStyle name="SAPBEXresDataEmph 4 4" xfId="3224" xr:uid="{00000000-0005-0000-0000-00008D0B0000}"/>
    <cellStyle name="SAPBEXresDataEmph 4 4 2" xfId="4795" xr:uid="{CDC61EA6-FC0A-42B9-AC7B-0C9C1CE4ACDC}"/>
    <cellStyle name="SAPBEXresDataEmph 5" xfId="2223" xr:uid="{00000000-0005-0000-0000-00008E0B0000}"/>
    <cellStyle name="SAPBEXresDataEmph 5 2" xfId="3109" xr:uid="{00000000-0005-0000-0000-00008F0B0000}"/>
    <cellStyle name="SAPBEXresDataEmph 5 2 2" xfId="4682" xr:uid="{967AC084-208B-494D-B65E-EE7532B81ABF}"/>
    <cellStyle name="SAPBEXresDataEmph 5 3" xfId="3534" xr:uid="{00000000-0005-0000-0000-0000900B0000}"/>
    <cellStyle name="SAPBEXresDataEmph 5 3 2" xfId="5105" xr:uid="{FDB76DBE-5A9A-4322-8EB5-5343B1F0788D}"/>
    <cellStyle name="SAPBEXresDataEmph 5 4" xfId="3840" xr:uid="{235DC811-9E67-4587-BFC9-2D4DB9823890}"/>
    <cellStyle name="SAPBEXresDataEmph 6" xfId="2777" xr:uid="{00000000-0005-0000-0000-0000910B0000}"/>
    <cellStyle name="SAPBEXresDataEmph 6 2" xfId="4356" xr:uid="{CEC26BBC-8353-4B50-9835-7B2A6653FD9E}"/>
    <cellStyle name="SAPBEXresDataEmph 7" xfId="3221" xr:uid="{00000000-0005-0000-0000-0000920B0000}"/>
    <cellStyle name="SAPBEXresDataEmph 7 2" xfId="4792" xr:uid="{97A0D8C3-09AA-4686-A1BE-5EF04826FD16}"/>
    <cellStyle name="SAPBEXresItem" xfId="1660" xr:uid="{00000000-0005-0000-0000-0000930B0000}"/>
    <cellStyle name="SAPBEXresItem 2" xfId="1661" xr:uid="{00000000-0005-0000-0000-0000940B0000}"/>
    <cellStyle name="SAPBEXresItem 2 2" xfId="2228" xr:uid="{00000000-0005-0000-0000-0000950B0000}"/>
    <cellStyle name="SAPBEXresItem 2 2 2" xfId="3114" xr:uid="{00000000-0005-0000-0000-0000960B0000}"/>
    <cellStyle name="SAPBEXresItem 2 2 2 2" xfId="4687" xr:uid="{95899C7B-FA99-4710-8D92-E7A51298F37F}"/>
    <cellStyle name="SAPBEXresItem 2 2 3" xfId="3539" xr:uid="{00000000-0005-0000-0000-0000970B0000}"/>
    <cellStyle name="SAPBEXresItem 2 2 3 2" xfId="5110" xr:uid="{D3B0C0DE-6566-4C0A-A4B6-BB7AD6E56830}"/>
    <cellStyle name="SAPBEXresItem 2 2 4" xfId="3845" xr:uid="{3FDEA7CF-131A-408B-B56E-9E52A0DF434A}"/>
    <cellStyle name="SAPBEXresItem 2 3" xfId="2782" xr:uid="{00000000-0005-0000-0000-0000980B0000}"/>
    <cellStyle name="SAPBEXresItem 2 3 2" xfId="4361" xr:uid="{F646267F-9385-48BB-B4A8-B93424AD65F8}"/>
    <cellStyle name="SAPBEXresItem 2 4" xfId="3226" xr:uid="{00000000-0005-0000-0000-0000990B0000}"/>
    <cellStyle name="SAPBEXresItem 2 4 2" xfId="4797" xr:uid="{F5208160-62A8-4974-90D2-F81F2B819274}"/>
    <cellStyle name="SAPBEXresItem 3" xfId="1662" xr:uid="{00000000-0005-0000-0000-00009A0B0000}"/>
    <cellStyle name="SAPBEXresItem 3 2" xfId="2229" xr:uid="{00000000-0005-0000-0000-00009B0B0000}"/>
    <cellStyle name="SAPBEXresItem 3 2 2" xfId="3115" xr:uid="{00000000-0005-0000-0000-00009C0B0000}"/>
    <cellStyle name="SAPBEXresItem 3 2 2 2" xfId="4688" xr:uid="{49DC1A40-9FE8-427C-9AFE-6E1076A99F05}"/>
    <cellStyle name="SAPBEXresItem 3 2 3" xfId="3540" xr:uid="{00000000-0005-0000-0000-00009D0B0000}"/>
    <cellStyle name="SAPBEXresItem 3 2 3 2" xfId="5111" xr:uid="{2321EDA9-8D89-4016-AC0C-D45200378668}"/>
    <cellStyle name="SAPBEXresItem 3 2 4" xfId="3846" xr:uid="{A7372A5E-B820-4179-9B5C-0B5F9CADC82C}"/>
    <cellStyle name="SAPBEXresItem 3 3" xfId="2783" xr:uid="{00000000-0005-0000-0000-00009E0B0000}"/>
    <cellStyle name="SAPBEXresItem 3 3 2" xfId="4362" xr:uid="{96022B0B-08A9-45C4-8633-2E0596E5739F}"/>
    <cellStyle name="SAPBEXresItem 3 4" xfId="3227" xr:uid="{00000000-0005-0000-0000-00009F0B0000}"/>
    <cellStyle name="SAPBEXresItem 3 4 2" xfId="4798" xr:uid="{FEE71C1C-4413-41A4-9442-36A7D7F7921F}"/>
    <cellStyle name="SAPBEXresItem 4" xfId="1663" xr:uid="{00000000-0005-0000-0000-0000A00B0000}"/>
    <cellStyle name="SAPBEXresItem 4 2" xfId="2230" xr:uid="{00000000-0005-0000-0000-0000A10B0000}"/>
    <cellStyle name="SAPBEXresItem 4 2 2" xfId="3116" xr:uid="{00000000-0005-0000-0000-0000A20B0000}"/>
    <cellStyle name="SAPBEXresItem 4 2 2 2" xfId="4689" xr:uid="{53F4D5C6-0F0C-4CA8-841D-1C7713D37C8B}"/>
    <cellStyle name="SAPBEXresItem 4 2 3" xfId="3541" xr:uid="{00000000-0005-0000-0000-0000A30B0000}"/>
    <cellStyle name="SAPBEXresItem 4 2 3 2" xfId="5112" xr:uid="{378A3AF9-E65F-409E-AD85-346343D390C1}"/>
    <cellStyle name="SAPBEXresItem 4 2 4" xfId="3847" xr:uid="{75551699-C9DE-4E1F-A811-3D6C217D10EA}"/>
    <cellStyle name="SAPBEXresItem 4 3" xfId="2784" xr:uid="{00000000-0005-0000-0000-0000A40B0000}"/>
    <cellStyle name="SAPBEXresItem 4 3 2" xfId="4363" xr:uid="{E915AFFE-E0C1-4138-9072-660A014D226B}"/>
    <cellStyle name="SAPBEXresItem 4 4" xfId="3228" xr:uid="{00000000-0005-0000-0000-0000A50B0000}"/>
    <cellStyle name="SAPBEXresItem 4 4 2" xfId="4799" xr:uid="{96F7CA27-40C0-4BF6-972B-35488A201B0E}"/>
    <cellStyle name="SAPBEXresItem 5" xfId="2227" xr:uid="{00000000-0005-0000-0000-0000A60B0000}"/>
    <cellStyle name="SAPBEXresItem 5 2" xfId="3113" xr:uid="{00000000-0005-0000-0000-0000A70B0000}"/>
    <cellStyle name="SAPBEXresItem 5 2 2" xfId="4686" xr:uid="{C1E576BB-38F6-4778-98AC-B8CAD6F0DDA4}"/>
    <cellStyle name="SAPBEXresItem 5 3" xfId="3538" xr:uid="{00000000-0005-0000-0000-0000A80B0000}"/>
    <cellStyle name="SAPBEXresItem 5 3 2" xfId="5109" xr:uid="{D6020CD5-8BA0-4204-8890-1C6E40ED4FFA}"/>
    <cellStyle name="SAPBEXresItem 5 4" xfId="3844" xr:uid="{7F08DC0B-E9B8-47F7-A958-D3E3F4E8AA79}"/>
    <cellStyle name="SAPBEXresItem 6" xfId="2781" xr:uid="{00000000-0005-0000-0000-0000A90B0000}"/>
    <cellStyle name="SAPBEXresItem 6 2" xfId="4360" xr:uid="{CB06A749-0AFF-4ED5-9EA7-9C87F35587F6}"/>
    <cellStyle name="SAPBEXresItem 7" xfId="3225" xr:uid="{00000000-0005-0000-0000-0000AA0B0000}"/>
    <cellStyle name="SAPBEXresItem 7 2" xfId="4796" xr:uid="{CC606C4E-93A8-4A2B-B027-E409ADD9F4D5}"/>
    <cellStyle name="SAPBEXresItemX" xfId="1664" xr:uid="{00000000-0005-0000-0000-0000AB0B0000}"/>
    <cellStyle name="SAPBEXresItemX 2" xfId="1665" xr:uid="{00000000-0005-0000-0000-0000AC0B0000}"/>
    <cellStyle name="SAPBEXresItemX 2 2" xfId="2232" xr:uid="{00000000-0005-0000-0000-0000AD0B0000}"/>
    <cellStyle name="SAPBEXresItemX 2 2 2" xfId="3118" xr:uid="{00000000-0005-0000-0000-0000AE0B0000}"/>
    <cellStyle name="SAPBEXresItemX 2 2 2 2" xfId="4691" xr:uid="{B8A0684A-CA66-49EC-A611-FB99C6DF5B10}"/>
    <cellStyle name="SAPBEXresItemX 2 2 3" xfId="3543" xr:uid="{00000000-0005-0000-0000-0000AF0B0000}"/>
    <cellStyle name="SAPBEXresItemX 2 2 3 2" xfId="5114" xr:uid="{2DF43864-3DCF-4AF3-AF4D-388EAA80FABC}"/>
    <cellStyle name="SAPBEXresItemX 2 2 4" xfId="3849" xr:uid="{559829F8-33E0-49D8-B5FE-C4C0A4558993}"/>
    <cellStyle name="SAPBEXresItemX 2 3" xfId="2786" xr:uid="{00000000-0005-0000-0000-0000B00B0000}"/>
    <cellStyle name="SAPBEXresItemX 2 3 2" xfId="4365" xr:uid="{D1206EAF-C1AC-42F3-A6D0-89E6A3AD0D48}"/>
    <cellStyle name="SAPBEXresItemX 2 4" xfId="3230" xr:uid="{00000000-0005-0000-0000-0000B10B0000}"/>
    <cellStyle name="SAPBEXresItemX 2 4 2" xfId="4801" xr:uid="{4E70424A-961F-4703-8682-749E8ADDF944}"/>
    <cellStyle name="SAPBEXresItemX 3" xfId="1666" xr:uid="{00000000-0005-0000-0000-0000B20B0000}"/>
    <cellStyle name="SAPBEXresItemX 3 2" xfId="2233" xr:uid="{00000000-0005-0000-0000-0000B30B0000}"/>
    <cellStyle name="SAPBEXresItemX 3 2 2" xfId="3119" xr:uid="{00000000-0005-0000-0000-0000B40B0000}"/>
    <cellStyle name="SAPBEXresItemX 3 2 2 2" xfId="4692" xr:uid="{B1778189-2424-4374-A2EB-A46D15DE1E84}"/>
    <cellStyle name="SAPBEXresItemX 3 2 3" xfId="3544" xr:uid="{00000000-0005-0000-0000-0000B50B0000}"/>
    <cellStyle name="SAPBEXresItemX 3 2 3 2" xfId="5115" xr:uid="{E5004592-C4D3-4EBF-8118-8E40000461E8}"/>
    <cellStyle name="SAPBEXresItemX 3 2 4" xfId="3850" xr:uid="{1B87F8F3-988A-4A6D-B8D4-E33DDF9C453C}"/>
    <cellStyle name="SAPBEXresItemX 3 3" xfId="2787" xr:uid="{00000000-0005-0000-0000-0000B60B0000}"/>
    <cellStyle name="SAPBEXresItemX 3 3 2" xfId="4366" xr:uid="{092D3603-4DB8-4891-BE18-68B59D46B966}"/>
    <cellStyle name="SAPBEXresItemX 3 4" xfId="3231" xr:uid="{00000000-0005-0000-0000-0000B70B0000}"/>
    <cellStyle name="SAPBEXresItemX 3 4 2" xfId="4802" xr:uid="{244FE689-708C-49EA-A5FE-E26AB6925AD0}"/>
    <cellStyle name="SAPBEXresItemX 4" xfId="1667" xr:uid="{00000000-0005-0000-0000-0000B80B0000}"/>
    <cellStyle name="SAPBEXresItemX 4 2" xfId="2234" xr:uid="{00000000-0005-0000-0000-0000B90B0000}"/>
    <cellStyle name="SAPBEXresItemX 4 2 2" xfId="3120" xr:uid="{00000000-0005-0000-0000-0000BA0B0000}"/>
    <cellStyle name="SAPBEXresItemX 4 2 2 2" xfId="4693" xr:uid="{F9946553-B927-477A-ADE0-32742C717931}"/>
    <cellStyle name="SAPBEXresItemX 4 2 3" xfId="3545" xr:uid="{00000000-0005-0000-0000-0000BB0B0000}"/>
    <cellStyle name="SAPBEXresItemX 4 2 3 2" xfId="5116" xr:uid="{9D54AD8E-B8AB-4183-8590-77D0206F9C56}"/>
    <cellStyle name="SAPBEXresItemX 4 2 4" xfId="3851" xr:uid="{C34BA3A0-396E-4C74-985C-0B29ACD6AC52}"/>
    <cellStyle name="SAPBEXresItemX 4 3" xfId="2788" xr:uid="{00000000-0005-0000-0000-0000BC0B0000}"/>
    <cellStyle name="SAPBEXresItemX 4 3 2" xfId="4367" xr:uid="{29286E80-C7F6-4682-8307-F0B2D3D585E6}"/>
    <cellStyle name="SAPBEXresItemX 4 4" xfId="3232" xr:uid="{00000000-0005-0000-0000-0000BD0B0000}"/>
    <cellStyle name="SAPBEXresItemX 4 4 2" xfId="4803" xr:uid="{E8C35D7D-C933-406F-B064-8B83FB066BD7}"/>
    <cellStyle name="SAPBEXresItemX 5" xfId="2231" xr:uid="{00000000-0005-0000-0000-0000BE0B0000}"/>
    <cellStyle name="SAPBEXresItemX 5 2" xfId="3117" xr:uid="{00000000-0005-0000-0000-0000BF0B0000}"/>
    <cellStyle name="SAPBEXresItemX 5 2 2" xfId="4690" xr:uid="{0C3DB309-B68E-413B-B88F-10A9BD8FB458}"/>
    <cellStyle name="SAPBEXresItemX 5 3" xfId="3542" xr:uid="{00000000-0005-0000-0000-0000C00B0000}"/>
    <cellStyle name="SAPBEXresItemX 5 3 2" xfId="5113" xr:uid="{B895D6B0-B813-44FC-B772-54551FEF1BDD}"/>
    <cellStyle name="SAPBEXresItemX 5 4" xfId="3848" xr:uid="{27D2B1C8-8CC8-4216-AFAF-F42146D8BACF}"/>
    <cellStyle name="SAPBEXresItemX 6" xfId="2785" xr:uid="{00000000-0005-0000-0000-0000C10B0000}"/>
    <cellStyle name="SAPBEXresItemX 6 2" xfId="4364" xr:uid="{527B642D-31D3-48FD-996E-6DE861A2C67E}"/>
    <cellStyle name="SAPBEXresItemX 7" xfId="3229" xr:uid="{00000000-0005-0000-0000-0000C20B0000}"/>
    <cellStyle name="SAPBEXresItemX 7 2" xfId="4800" xr:uid="{B6531DFD-53AF-482C-B644-EB4C47DD7DE6}"/>
    <cellStyle name="SAPBEXstdData" xfId="1668" xr:uid="{00000000-0005-0000-0000-0000C30B0000}"/>
    <cellStyle name="SAPBEXstdData 2" xfId="1669" xr:uid="{00000000-0005-0000-0000-0000C40B0000}"/>
    <cellStyle name="SAPBEXstdData 2 2" xfId="2236" xr:uid="{00000000-0005-0000-0000-0000C50B0000}"/>
    <cellStyle name="SAPBEXstdData 2 2 2" xfId="3122" xr:uid="{00000000-0005-0000-0000-0000C60B0000}"/>
    <cellStyle name="SAPBEXstdData 2 2 2 2" xfId="4695" xr:uid="{92D60D6A-3EA4-4654-B77B-AE7EB714715F}"/>
    <cellStyle name="SAPBEXstdData 2 2 3" xfId="3547" xr:uid="{00000000-0005-0000-0000-0000C70B0000}"/>
    <cellStyle name="SAPBEXstdData 2 2 3 2" xfId="5118" xr:uid="{F849861D-6D8D-46E1-9C6B-755C03C5CCDF}"/>
    <cellStyle name="SAPBEXstdData 2 2 4" xfId="3853" xr:uid="{083CE259-4308-4A95-B396-14757542689D}"/>
    <cellStyle name="SAPBEXstdData 2 3" xfId="2790" xr:uid="{00000000-0005-0000-0000-0000C80B0000}"/>
    <cellStyle name="SAPBEXstdData 2 3 2" xfId="4369" xr:uid="{2421F4AF-475A-4149-AABD-70EA708167AF}"/>
    <cellStyle name="SAPBEXstdData 2 4" xfId="3234" xr:uid="{00000000-0005-0000-0000-0000C90B0000}"/>
    <cellStyle name="SAPBEXstdData 2 4 2" xfId="4805" xr:uid="{E2422911-BB6D-454E-9748-D078C6D3D57A}"/>
    <cellStyle name="SAPBEXstdData 3" xfId="1670" xr:uid="{00000000-0005-0000-0000-0000CA0B0000}"/>
    <cellStyle name="SAPBEXstdData 3 2" xfId="2237" xr:uid="{00000000-0005-0000-0000-0000CB0B0000}"/>
    <cellStyle name="SAPBEXstdData 3 2 2" xfId="3123" xr:uid="{00000000-0005-0000-0000-0000CC0B0000}"/>
    <cellStyle name="SAPBEXstdData 3 2 2 2" xfId="4696" xr:uid="{1C12C4CD-D812-4AF2-82B0-5827FFAEE1A3}"/>
    <cellStyle name="SAPBEXstdData 3 2 3" xfId="3548" xr:uid="{00000000-0005-0000-0000-0000CD0B0000}"/>
    <cellStyle name="SAPBEXstdData 3 2 3 2" xfId="5119" xr:uid="{736BD6B7-D2A8-48A1-99E6-68DD3AD30F25}"/>
    <cellStyle name="SAPBEXstdData 3 2 4" xfId="3854" xr:uid="{840BD40A-04D4-494E-BA73-0FFE7C2D6445}"/>
    <cellStyle name="SAPBEXstdData 3 3" xfId="2791" xr:uid="{00000000-0005-0000-0000-0000CE0B0000}"/>
    <cellStyle name="SAPBEXstdData 3 3 2" xfId="4370" xr:uid="{6C88D683-F845-4D3F-BF00-F66336A21A58}"/>
    <cellStyle name="SAPBEXstdData 3 4" xfId="3235" xr:uid="{00000000-0005-0000-0000-0000CF0B0000}"/>
    <cellStyle name="SAPBEXstdData 3 4 2" xfId="4806" xr:uid="{053473F7-3C77-4B84-AE2A-2EF5CAC964D7}"/>
    <cellStyle name="SAPBEXstdData 4" xfId="1671" xr:uid="{00000000-0005-0000-0000-0000D00B0000}"/>
    <cellStyle name="SAPBEXstdData 4 2" xfId="2238" xr:uid="{00000000-0005-0000-0000-0000D10B0000}"/>
    <cellStyle name="SAPBEXstdData 4 2 2" xfId="3124" xr:uid="{00000000-0005-0000-0000-0000D20B0000}"/>
    <cellStyle name="SAPBEXstdData 4 2 2 2" xfId="4697" xr:uid="{161E34D0-DC79-4D44-BA6A-779736568DA0}"/>
    <cellStyle name="SAPBEXstdData 4 2 3" xfId="3549" xr:uid="{00000000-0005-0000-0000-0000D30B0000}"/>
    <cellStyle name="SAPBEXstdData 4 2 3 2" xfId="5120" xr:uid="{7D2F05F2-07EE-4B9B-A858-60FBA0F4AB39}"/>
    <cellStyle name="SAPBEXstdData 4 2 4" xfId="3855" xr:uid="{3FCC593C-6247-4BEE-A1DC-3EFD4443C855}"/>
    <cellStyle name="SAPBEXstdData 4 3" xfId="2792" xr:uid="{00000000-0005-0000-0000-0000D40B0000}"/>
    <cellStyle name="SAPBEXstdData 4 3 2" xfId="4371" xr:uid="{8635D3EE-4A37-42E2-98ED-BB8F31E81247}"/>
    <cellStyle name="SAPBEXstdData 4 4" xfId="3236" xr:uid="{00000000-0005-0000-0000-0000D50B0000}"/>
    <cellStyle name="SAPBEXstdData 4 4 2" xfId="4807" xr:uid="{FC74EAA6-B390-48D8-A330-6D3F8B587F64}"/>
    <cellStyle name="SAPBEXstdData 5" xfId="2235" xr:uid="{00000000-0005-0000-0000-0000D60B0000}"/>
    <cellStyle name="SAPBEXstdData 5 2" xfId="3121" xr:uid="{00000000-0005-0000-0000-0000D70B0000}"/>
    <cellStyle name="SAPBEXstdData 5 2 2" xfId="4694" xr:uid="{94605CBB-CD23-4702-B602-5C52AFA3A222}"/>
    <cellStyle name="SAPBEXstdData 5 3" xfId="3546" xr:uid="{00000000-0005-0000-0000-0000D80B0000}"/>
    <cellStyle name="SAPBEXstdData 5 3 2" xfId="5117" xr:uid="{1B5E0561-C2A8-4C7A-9B88-BFE666C2CEE8}"/>
    <cellStyle name="SAPBEXstdData 5 4" xfId="3852" xr:uid="{8D519CE0-6D4A-4D60-B74D-95C2026EB876}"/>
    <cellStyle name="SAPBEXstdData 6" xfId="2789" xr:uid="{00000000-0005-0000-0000-0000D90B0000}"/>
    <cellStyle name="SAPBEXstdData 6 2" xfId="4368" xr:uid="{C506BA05-4966-477C-9067-E1D944768A9A}"/>
    <cellStyle name="SAPBEXstdData 7" xfId="3233" xr:uid="{00000000-0005-0000-0000-0000DA0B0000}"/>
    <cellStyle name="SAPBEXstdData 7 2" xfId="4804" xr:uid="{D5D18AA7-75D1-4FC4-98F5-7D09464C486E}"/>
    <cellStyle name="SAPBEXstdDataEmph" xfId="1672" xr:uid="{00000000-0005-0000-0000-0000DB0B0000}"/>
    <cellStyle name="SAPBEXstdDataEmph 2" xfId="1673" xr:uid="{00000000-0005-0000-0000-0000DC0B0000}"/>
    <cellStyle name="SAPBEXstdDataEmph 2 2" xfId="2260" xr:uid="{00000000-0005-0000-0000-0000DD0B0000}"/>
    <cellStyle name="SAPBEXstdDataEmph 2 2 2" xfId="3146" xr:uid="{00000000-0005-0000-0000-0000DE0B0000}"/>
    <cellStyle name="SAPBEXstdDataEmph 2 2 2 2" xfId="4719" xr:uid="{F22D7945-394D-4BC9-A4E7-734C00C5059C}"/>
    <cellStyle name="SAPBEXstdDataEmph 2 2 3" xfId="3571" xr:uid="{00000000-0005-0000-0000-0000DF0B0000}"/>
    <cellStyle name="SAPBEXstdDataEmph 2 2 3 2" xfId="5142" xr:uid="{7A4D707F-994B-4FF5-9D1E-C0AA8792232A}"/>
    <cellStyle name="SAPBEXstdDataEmph 2 2 4" xfId="3872" xr:uid="{1C0BBE70-2D3D-4F1C-AFA0-8F3B87E78DE0}"/>
    <cellStyle name="SAPBEXstdDataEmph 2 3" xfId="2794" xr:uid="{00000000-0005-0000-0000-0000E00B0000}"/>
    <cellStyle name="SAPBEXstdDataEmph 2 3 2" xfId="4373" xr:uid="{0990B518-0CE6-4621-B327-28ACEC62AFCF}"/>
    <cellStyle name="SAPBEXstdDataEmph 2 4" xfId="3238" xr:uid="{00000000-0005-0000-0000-0000E10B0000}"/>
    <cellStyle name="SAPBEXstdDataEmph 2 4 2" xfId="4809" xr:uid="{F622CE79-08EE-4968-B3B3-DE3287AB4C87}"/>
    <cellStyle name="SAPBEXstdDataEmph 3" xfId="1674" xr:uid="{00000000-0005-0000-0000-0000E20B0000}"/>
    <cellStyle name="SAPBEXstdDataEmph 3 2" xfId="2240" xr:uid="{00000000-0005-0000-0000-0000E30B0000}"/>
    <cellStyle name="SAPBEXstdDataEmph 3 2 2" xfId="3126" xr:uid="{00000000-0005-0000-0000-0000E40B0000}"/>
    <cellStyle name="SAPBEXstdDataEmph 3 2 2 2" xfId="4699" xr:uid="{9916843C-623B-4565-9E52-5B8DF6B56BB8}"/>
    <cellStyle name="SAPBEXstdDataEmph 3 2 3" xfId="3551" xr:uid="{00000000-0005-0000-0000-0000E50B0000}"/>
    <cellStyle name="SAPBEXstdDataEmph 3 2 3 2" xfId="5122" xr:uid="{26BF43BB-1A0B-4D8B-8ACE-AB114C7E3E17}"/>
    <cellStyle name="SAPBEXstdDataEmph 3 2 4" xfId="3857" xr:uid="{C03F2A84-17F5-4A05-9E3E-D1CDE48B70CC}"/>
    <cellStyle name="SAPBEXstdDataEmph 3 3" xfId="2795" xr:uid="{00000000-0005-0000-0000-0000E60B0000}"/>
    <cellStyle name="SAPBEXstdDataEmph 3 3 2" xfId="4374" xr:uid="{43163D0A-4EED-4DD3-AD93-AD1BACD58AD7}"/>
    <cellStyle name="SAPBEXstdDataEmph 3 4" xfId="3239" xr:uid="{00000000-0005-0000-0000-0000E70B0000}"/>
    <cellStyle name="SAPBEXstdDataEmph 3 4 2" xfId="4810" xr:uid="{66382136-39F3-4F17-8180-ABDFB94AF8CC}"/>
    <cellStyle name="SAPBEXstdDataEmph 4" xfId="1675" xr:uid="{00000000-0005-0000-0000-0000E80B0000}"/>
    <cellStyle name="SAPBEXstdDataEmph 4 2" xfId="2241" xr:uid="{00000000-0005-0000-0000-0000E90B0000}"/>
    <cellStyle name="SAPBEXstdDataEmph 4 2 2" xfId="3127" xr:uid="{00000000-0005-0000-0000-0000EA0B0000}"/>
    <cellStyle name="SAPBEXstdDataEmph 4 2 2 2" xfId="4700" xr:uid="{A10D9256-3428-471D-969B-D073AF4D5331}"/>
    <cellStyle name="SAPBEXstdDataEmph 4 2 3" xfId="3552" xr:uid="{00000000-0005-0000-0000-0000EB0B0000}"/>
    <cellStyle name="SAPBEXstdDataEmph 4 2 3 2" xfId="5123" xr:uid="{95FAC425-54CF-45BA-AF33-555FB898CB75}"/>
    <cellStyle name="SAPBEXstdDataEmph 4 2 4" xfId="3858" xr:uid="{A0628C1D-2BAF-4AA0-A1E5-0DF73CE28060}"/>
    <cellStyle name="SAPBEXstdDataEmph 4 3" xfId="2796" xr:uid="{00000000-0005-0000-0000-0000EC0B0000}"/>
    <cellStyle name="SAPBEXstdDataEmph 4 3 2" xfId="4375" xr:uid="{A7EED1B5-D173-4957-807D-992CA8ECD41A}"/>
    <cellStyle name="SAPBEXstdDataEmph 4 4" xfId="3240" xr:uid="{00000000-0005-0000-0000-0000ED0B0000}"/>
    <cellStyle name="SAPBEXstdDataEmph 4 4 2" xfId="4811" xr:uid="{FF154CB2-E957-409C-B023-BE8F89663CE3}"/>
    <cellStyle name="SAPBEXstdDataEmph 5" xfId="2239" xr:uid="{00000000-0005-0000-0000-0000EE0B0000}"/>
    <cellStyle name="SAPBEXstdDataEmph 5 2" xfId="3125" xr:uid="{00000000-0005-0000-0000-0000EF0B0000}"/>
    <cellStyle name="SAPBEXstdDataEmph 5 2 2" xfId="4698" xr:uid="{22F0A587-D575-4F9D-A0E9-0D9690D03350}"/>
    <cellStyle name="SAPBEXstdDataEmph 5 3" xfId="3550" xr:uid="{00000000-0005-0000-0000-0000F00B0000}"/>
    <cellStyle name="SAPBEXstdDataEmph 5 3 2" xfId="5121" xr:uid="{7E0BFFBC-BFAE-4124-B11D-D7BD1D85AA1F}"/>
    <cellStyle name="SAPBEXstdDataEmph 5 4" xfId="3856" xr:uid="{A3ADDB8D-0C72-467F-8D7F-ABFA81B9F260}"/>
    <cellStyle name="SAPBEXstdDataEmph 6" xfId="2793" xr:uid="{00000000-0005-0000-0000-0000F10B0000}"/>
    <cellStyle name="SAPBEXstdDataEmph 6 2" xfId="4372" xr:uid="{671999E9-B175-4679-862B-7AF74F6DFEEF}"/>
    <cellStyle name="SAPBEXstdDataEmph 7" xfId="3237" xr:uid="{00000000-0005-0000-0000-0000F20B0000}"/>
    <cellStyle name="SAPBEXstdDataEmph 7 2" xfId="4808" xr:uid="{F3EBC1DE-ED31-4F25-BD35-D3588D2E4CCA}"/>
    <cellStyle name="SAPBEXstdItem" xfId="1676" xr:uid="{00000000-0005-0000-0000-0000F30B0000}"/>
    <cellStyle name="SAPBEXstdItem 2" xfId="1677" xr:uid="{00000000-0005-0000-0000-0000F40B0000}"/>
    <cellStyle name="SAPBEXstdItem 2 2" xfId="2243" xr:uid="{00000000-0005-0000-0000-0000F50B0000}"/>
    <cellStyle name="SAPBEXstdItem 2 2 2" xfId="3129" xr:uid="{00000000-0005-0000-0000-0000F60B0000}"/>
    <cellStyle name="SAPBEXstdItem 2 2 2 2" xfId="4702" xr:uid="{52D3A33C-B3DB-43A0-BC11-DED9FF747A0F}"/>
    <cellStyle name="SAPBEXstdItem 2 2 3" xfId="3554" xr:uid="{00000000-0005-0000-0000-0000F70B0000}"/>
    <cellStyle name="SAPBEXstdItem 2 2 3 2" xfId="5125" xr:uid="{133CBD90-4559-46CB-80CD-6C5C691048BA}"/>
    <cellStyle name="SAPBEXstdItem 2 2 4" xfId="3860" xr:uid="{4412EFF2-17F2-4831-9EF6-A008911C383D}"/>
    <cellStyle name="SAPBEXstdItem 2 3" xfId="2798" xr:uid="{00000000-0005-0000-0000-0000F80B0000}"/>
    <cellStyle name="SAPBEXstdItem 2 3 2" xfId="4377" xr:uid="{B0838A2A-2AB5-449C-9B82-4D95EBDEAF5D}"/>
    <cellStyle name="SAPBEXstdItem 2 4" xfId="3242" xr:uid="{00000000-0005-0000-0000-0000F90B0000}"/>
    <cellStyle name="SAPBEXstdItem 2 4 2" xfId="4813" xr:uid="{308CC0B0-53F8-40B4-A758-5BFDA4606D46}"/>
    <cellStyle name="SAPBEXstdItem 3" xfId="1678" xr:uid="{00000000-0005-0000-0000-0000FA0B0000}"/>
    <cellStyle name="SAPBEXstdItem 3 2" xfId="2244" xr:uid="{00000000-0005-0000-0000-0000FB0B0000}"/>
    <cellStyle name="SAPBEXstdItem 3 2 2" xfId="3130" xr:uid="{00000000-0005-0000-0000-0000FC0B0000}"/>
    <cellStyle name="SAPBEXstdItem 3 2 2 2" xfId="4703" xr:uid="{CE6CABD6-EF1D-4CCD-B8D6-4533E4A0DAE7}"/>
    <cellStyle name="SAPBEXstdItem 3 2 3" xfId="3555" xr:uid="{00000000-0005-0000-0000-0000FD0B0000}"/>
    <cellStyle name="SAPBEXstdItem 3 2 3 2" xfId="5126" xr:uid="{30AA28B8-AFDA-49C9-83D1-B8F1C8D2445D}"/>
    <cellStyle name="SAPBEXstdItem 3 2 4" xfId="3861" xr:uid="{DEB0EFEA-DF26-40BB-8E6E-76A3F22C332A}"/>
    <cellStyle name="SAPBEXstdItem 3 3" xfId="2799" xr:uid="{00000000-0005-0000-0000-0000FE0B0000}"/>
    <cellStyle name="SAPBEXstdItem 3 3 2" xfId="4378" xr:uid="{8CA24ECD-CC4F-4E9E-BF09-10FC5BB0FE13}"/>
    <cellStyle name="SAPBEXstdItem 3 4" xfId="3243" xr:uid="{00000000-0005-0000-0000-0000FF0B0000}"/>
    <cellStyle name="SAPBEXstdItem 3 4 2" xfId="4814" xr:uid="{22070479-EB9F-40FF-8F78-2CA975258687}"/>
    <cellStyle name="SAPBEXstdItem 4" xfId="1679" xr:uid="{00000000-0005-0000-0000-0000000C0000}"/>
    <cellStyle name="SAPBEXstdItem 4 2" xfId="2245" xr:uid="{00000000-0005-0000-0000-0000010C0000}"/>
    <cellStyle name="SAPBEXstdItem 4 2 2" xfId="3131" xr:uid="{00000000-0005-0000-0000-0000020C0000}"/>
    <cellStyle name="SAPBEXstdItem 4 2 2 2" xfId="4704" xr:uid="{8B5A0ABC-04FF-460C-B517-62475C8B358B}"/>
    <cellStyle name="SAPBEXstdItem 4 2 3" xfId="3556" xr:uid="{00000000-0005-0000-0000-0000030C0000}"/>
    <cellStyle name="SAPBEXstdItem 4 2 3 2" xfId="5127" xr:uid="{F8DC289C-5B20-4917-9F58-8D4DCBF0D0CB}"/>
    <cellStyle name="SAPBEXstdItem 4 2 4" xfId="3862" xr:uid="{8540D787-E353-47D7-A602-FE13B6E6D907}"/>
    <cellStyle name="SAPBEXstdItem 4 3" xfId="2800" xr:uid="{00000000-0005-0000-0000-0000040C0000}"/>
    <cellStyle name="SAPBEXstdItem 4 3 2" xfId="4379" xr:uid="{3C4F1A60-3945-4059-88BE-82994923F837}"/>
    <cellStyle name="SAPBEXstdItem 4 4" xfId="3244" xr:uid="{00000000-0005-0000-0000-0000050C0000}"/>
    <cellStyle name="SAPBEXstdItem 4 4 2" xfId="4815" xr:uid="{AA885DF6-7766-40B0-8369-8F844C959ABA}"/>
    <cellStyle name="SAPBEXstdItem 5" xfId="2242" xr:uid="{00000000-0005-0000-0000-0000060C0000}"/>
    <cellStyle name="SAPBEXstdItem 5 2" xfId="3128" xr:uid="{00000000-0005-0000-0000-0000070C0000}"/>
    <cellStyle name="SAPBEXstdItem 5 2 2" xfId="4701" xr:uid="{B471A647-0093-49B1-B022-AEFEB7DA831C}"/>
    <cellStyle name="SAPBEXstdItem 5 3" xfId="3553" xr:uid="{00000000-0005-0000-0000-0000080C0000}"/>
    <cellStyle name="SAPBEXstdItem 5 3 2" xfId="5124" xr:uid="{376EC735-562A-45F6-A223-CA2DB6867C4A}"/>
    <cellStyle name="SAPBEXstdItem 5 4" xfId="3859" xr:uid="{E171FF40-8E76-43C9-BFD0-40AC2396EDE8}"/>
    <cellStyle name="SAPBEXstdItem 6" xfId="2797" xr:uid="{00000000-0005-0000-0000-0000090C0000}"/>
    <cellStyle name="SAPBEXstdItem 6 2" xfId="4376" xr:uid="{22194F62-15C1-485B-BD75-3F10E10AC307}"/>
    <cellStyle name="SAPBEXstdItem 7" xfId="3241" xr:uid="{00000000-0005-0000-0000-00000A0C0000}"/>
    <cellStyle name="SAPBEXstdItem 7 2" xfId="4812" xr:uid="{EBB0E973-4170-45F3-A99F-549DFE754ADC}"/>
    <cellStyle name="SAPBEXtitle" xfId="1680" xr:uid="{00000000-0005-0000-0000-00000B0C0000}"/>
    <cellStyle name="SAPBEXtitle 2" xfId="1681" xr:uid="{00000000-0005-0000-0000-00000C0C0000}"/>
    <cellStyle name="SAPBEXtitle 2 2" xfId="2246" xr:uid="{00000000-0005-0000-0000-00000D0C0000}"/>
    <cellStyle name="SAPBEXtitle 2 2 2" xfId="3132" xr:uid="{00000000-0005-0000-0000-00000E0C0000}"/>
    <cellStyle name="SAPBEXtitle 2 2 2 2" xfId="4705" xr:uid="{5387B09C-8C4E-4F6E-A2B5-59DD01994925}"/>
    <cellStyle name="SAPBEXtitle 2 2 3" xfId="3557" xr:uid="{00000000-0005-0000-0000-00000F0C0000}"/>
    <cellStyle name="SAPBEXtitle 2 2 3 2" xfId="5128" xr:uid="{1FC115BC-BFC9-4B7D-AB58-7138AAAA2086}"/>
    <cellStyle name="SAPBEXtitle 2 2 4" xfId="3863" xr:uid="{24502FB5-20F8-46D6-BDAB-CBDD1E76E0EC}"/>
    <cellStyle name="SAPBEXtitle 2 3" xfId="2802" xr:uid="{00000000-0005-0000-0000-0000100C0000}"/>
    <cellStyle name="SAPBEXtitle 2 3 2" xfId="4381" xr:uid="{26091A1C-C75A-46E9-902C-49C885121771}"/>
    <cellStyle name="SAPBEXtitle 2 4" xfId="3246" xr:uid="{00000000-0005-0000-0000-0000110C0000}"/>
    <cellStyle name="SAPBEXtitle 2 4 2" xfId="4817" xr:uid="{33BA6CF2-2F47-45F6-BB40-C1141A6877FF}"/>
    <cellStyle name="SAPBEXtitle 3" xfId="1682" xr:uid="{00000000-0005-0000-0000-0000120C0000}"/>
    <cellStyle name="SAPBEXtitle 3 2" xfId="2247" xr:uid="{00000000-0005-0000-0000-0000130C0000}"/>
    <cellStyle name="SAPBEXtitle 3 2 2" xfId="3133" xr:uid="{00000000-0005-0000-0000-0000140C0000}"/>
    <cellStyle name="SAPBEXtitle 3 2 2 2" xfId="4706" xr:uid="{258B808D-5C7F-4264-BCD6-58A0170DE377}"/>
    <cellStyle name="SAPBEXtitle 3 2 3" xfId="3558" xr:uid="{00000000-0005-0000-0000-0000150C0000}"/>
    <cellStyle name="SAPBEXtitle 3 2 3 2" xfId="5129" xr:uid="{5F1E5FFD-22E5-4868-8C8E-5E2F90F833BB}"/>
    <cellStyle name="SAPBEXtitle 3 2 4" xfId="3864" xr:uid="{C44417EA-2B1E-4686-BEF4-6A13F3B7413F}"/>
    <cellStyle name="SAPBEXtitle 3 3" xfId="2803" xr:uid="{00000000-0005-0000-0000-0000160C0000}"/>
    <cellStyle name="SAPBEXtitle 3 3 2" xfId="4382" xr:uid="{5B119244-85C3-4C44-BB25-66C1431C6626}"/>
    <cellStyle name="SAPBEXtitle 3 4" xfId="3247" xr:uid="{00000000-0005-0000-0000-0000170C0000}"/>
    <cellStyle name="SAPBEXtitle 3 4 2" xfId="4818" xr:uid="{974D3ECF-2A77-4226-8B21-DA4B5C5C078A}"/>
    <cellStyle name="SAPBEXtitle 4" xfId="1683" xr:uid="{00000000-0005-0000-0000-0000180C0000}"/>
    <cellStyle name="SAPBEXtitle 4 2" xfId="2248" xr:uid="{00000000-0005-0000-0000-0000190C0000}"/>
    <cellStyle name="SAPBEXtitle 4 2 2" xfId="3134" xr:uid="{00000000-0005-0000-0000-00001A0C0000}"/>
    <cellStyle name="SAPBEXtitle 4 2 2 2" xfId="4707" xr:uid="{7303EB7E-67AE-4766-AD77-14495EB6AED5}"/>
    <cellStyle name="SAPBEXtitle 4 2 3" xfId="3559" xr:uid="{00000000-0005-0000-0000-00001B0C0000}"/>
    <cellStyle name="SAPBEXtitle 4 2 3 2" xfId="5130" xr:uid="{76221CEA-0A0B-4C6F-B7F9-B7F089C13BDD}"/>
    <cellStyle name="SAPBEXtitle 4 2 4" xfId="3865" xr:uid="{DB77C225-2FD5-41EC-BFB1-364F1E012CDD}"/>
    <cellStyle name="SAPBEXtitle 4 3" xfId="2804" xr:uid="{00000000-0005-0000-0000-00001C0C0000}"/>
    <cellStyle name="SAPBEXtitle 4 3 2" xfId="4383" xr:uid="{5C77CB17-86D1-431D-9326-1CFDA3D9F1B5}"/>
    <cellStyle name="SAPBEXtitle 4 4" xfId="3248" xr:uid="{00000000-0005-0000-0000-00001D0C0000}"/>
    <cellStyle name="SAPBEXtitle 4 4 2" xfId="4819" xr:uid="{1176C3C7-535D-446A-8045-781B336254F7}"/>
    <cellStyle name="SAPBEXtitle 5" xfId="2265" xr:uid="{00000000-0005-0000-0000-00001E0C0000}"/>
    <cellStyle name="SAPBEXtitle 5 2" xfId="3151" xr:uid="{00000000-0005-0000-0000-00001F0C0000}"/>
    <cellStyle name="SAPBEXtitle 5 2 2" xfId="4724" xr:uid="{FEBF04ED-3625-440D-B4AE-45C8D13D51D0}"/>
    <cellStyle name="SAPBEXtitle 5 3" xfId="3576" xr:uid="{00000000-0005-0000-0000-0000200C0000}"/>
    <cellStyle name="SAPBEXtitle 5 3 2" xfId="5147" xr:uid="{7809C695-C4C0-495A-8035-D71E1D66DDCB}"/>
    <cellStyle name="SAPBEXtitle 5 4" xfId="3876" xr:uid="{178B1FE5-3E53-4B55-BBFF-60E5AA61447C}"/>
    <cellStyle name="SAPBEXtitle 6" xfId="2801" xr:uid="{00000000-0005-0000-0000-0000210C0000}"/>
    <cellStyle name="SAPBEXtitle 6 2" xfId="4380" xr:uid="{FCF723C2-051D-48CD-AFAD-BEC27073656E}"/>
    <cellStyle name="SAPBEXtitle 7" xfId="3245" xr:uid="{00000000-0005-0000-0000-0000220C0000}"/>
    <cellStyle name="SAPBEXtitle 7 2" xfId="4816" xr:uid="{AC6AA6BD-96D2-45F2-AD89-EBBF88DAE025}"/>
    <cellStyle name="SAPBEXundefined" xfId="1684" xr:uid="{00000000-0005-0000-0000-0000230C0000}"/>
    <cellStyle name="SAPBEXundefined 2" xfId="1685" xr:uid="{00000000-0005-0000-0000-0000240C0000}"/>
    <cellStyle name="SAPBEXundefined 2 2" xfId="2250" xr:uid="{00000000-0005-0000-0000-0000250C0000}"/>
    <cellStyle name="SAPBEXundefined 2 2 2" xfId="3136" xr:uid="{00000000-0005-0000-0000-0000260C0000}"/>
    <cellStyle name="SAPBEXundefined 2 2 2 2" xfId="4709" xr:uid="{E6D3F0C4-362C-4C4F-B2B7-20F295821786}"/>
    <cellStyle name="SAPBEXundefined 2 2 3" xfId="3561" xr:uid="{00000000-0005-0000-0000-0000270C0000}"/>
    <cellStyle name="SAPBEXundefined 2 2 3 2" xfId="5132" xr:uid="{68F5BE49-E3E1-4775-B406-56E74F6579FF}"/>
    <cellStyle name="SAPBEXundefined 2 2 4" xfId="3867" xr:uid="{090B778C-4C94-4639-A0DC-DD32E74879D9}"/>
    <cellStyle name="SAPBEXundefined 2 3" xfId="2806" xr:uid="{00000000-0005-0000-0000-0000280C0000}"/>
    <cellStyle name="SAPBEXundefined 2 3 2" xfId="4385" xr:uid="{BC1CDA02-55F8-477D-8BE3-9C1AEB6495C1}"/>
    <cellStyle name="SAPBEXundefined 2 4" xfId="3250" xr:uid="{00000000-0005-0000-0000-0000290C0000}"/>
    <cellStyle name="SAPBEXundefined 2 4 2" xfId="4821" xr:uid="{E4DB6359-3541-46A6-A482-C6AB3221069A}"/>
    <cellStyle name="SAPBEXundefined 3" xfId="1686" xr:uid="{00000000-0005-0000-0000-00002A0C0000}"/>
    <cellStyle name="SAPBEXundefined 3 2" xfId="2251" xr:uid="{00000000-0005-0000-0000-00002B0C0000}"/>
    <cellStyle name="SAPBEXundefined 3 2 2" xfId="3137" xr:uid="{00000000-0005-0000-0000-00002C0C0000}"/>
    <cellStyle name="SAPBEXundefined 3 2 2 2" xfId="4710" xr:uid="{5CE90851-0A37-4BA2-A776-03D9DF353BCE}"/>
    <cellStyle name="SAPBEXundefined 3 2 3" xfId="3562" xr:uid="{00000000-0005-0000-0000-00002D0C0000}"/>
    <cellStyle name="SAPBEXundefined 3 2 3 2" xfId="5133" xr:uid="{BC75AC3A-BEC7-40EA-A10C-F3B24DA2E55D}"/>
    <cellStyle name="SAPBEXundefined 3 2 4" xfId="3868" xr:uid="{8C176897-6B80-4D55-8781-4F4944D1FF6A}"/>
    <cellStyle name="SAPBEXundefined 3 3" xfId="2807" xr:uid="{00000000-0005-0000-0000-00002E0C0000}"/>
    <cellStyle name="SAPBEXundefined 3 3 2" xfId="4386" xr:uid="{C13FC767-DF62-4767-84E3-3378904DC915}"/>
    <cellStyle name="SAPBEXundefined 3 4" xfId="3251" xr:uid="{00000000-0005-0000-0000-00002F0C0000}"/>
    <cellStyle name="SAPBEXundefined 3 4 2" xfId="4822" xr:uid="{2AE2CFC1-F083-4510-B813-F1CA675533F4}"/>
    <cellStyle name="SAPBEXundefined 4" xfId="1687" xr:uid="{00000000-0005-0000-0000-0000300C0000}"/>
    <cellStyle name="SAPBEXundefined 4 2" xfId="2252" xr:uid="{00000000-0005-0000-0000-0000310C0000}"/>
    <cellStyle name="SAPBEXundefined 4 2 2" xfId="3138" xr:uid="{00000000-0005-0000-0000-0000320C0000}"/>
    <cellStyle name="SAPBEXundefined 4 2 2 2" xfId="4711" xr:uid="{83DD479E-FC75-42DC-B55C-17A52527C275}"/>
    <cellStyle name="SAPBEXundefined 4 2 3" xfId="3563" xr:uid="{00000000-0005-0000-0000-0000330C0000}"/>
    <cellStyle name="SAPBEXundefined 4 2 3 2" xfId="5134" xr:uid="{E13D6E8F-5F96-4A83-BA93-638592500FB0}"/>
    <cellStyle name="SAPBEXundefined 4 2 4" xfId="3869" xr:uid="{F5993295-939A-4D1A-94E7-91FAAC9BAFC4}"/>
    <cellStyle name="SAPBEXundefined 4 3" xfId="2808" xr:uid="{00000000-0005-0000-0000-0000340C0000}"/>
    <cellStyle name="SAPBEXundefined 4 3 2" xfId="4387" xr:uid="{F54639F3-4821-4D7A-B628-A714D35FFB00}"/>
    <cellStyle name="SAPBEXundefined 4 4" xfId="3252" xr:uid="{00000000-0005-0000-0000-0000350C0000}"/>
    <cellStyle name="SAPBEXundefined 4 4 2" xfId="4823" xr:uid="{F45E0801-3498-40C8-908E-1C6D42620B51}"/>
    <cellStyle name="SAPBEXundefined 5" xfId="2249" xr:uid="{00000000-0005-0000-0000-0000360C0000}"/>
    <cellStyle name="SAPBEXundefined 5 2" xfId="3135" xr:uid="{00000000-0005-0000-0000-0000370C0000}"/>
    <cellStyle name="SAPBEXundefined 5 2 2" xfId="4708" xr:uid="{4D2469BA-2FB6-497F-A526-9A1CB506FF75}"/>
    <cellStyle name="SAPBEXundefined 5 3" xfId="3560" xr:uid="{00000000-0005-0000-0000-0000380C0000}"/>
    <cellStyle name="SAPBEXundefined 5 3 2" xfId="5131" xr:uid="{8EA5F45E-FFFD-43A9-B34E-17423BB58139}"/>
    <cellStyle name="SAPBEXundefined 5 4" xfId="3866" xr:uid="{6261528A-9F37-4841-B23B-2D71435FF368}"/>
    <cellStyle name="SAPBEXundefined 6" xfId="2805" xr:uid="{00000000-0005-0000-0000-0000390C0000}"/>
    <cellStyle name="SAPBEXundefined 6 2" xfId="4384" xr:uid="{04575969-4604-46F2-A781-E0939436C06D}"/>
    <cellStyle name="SAPBEXundefined 7" xfId="3249" xr:uid="{00000000-0005-0000-0000-00003A0C0000}"/>
    <cellStyle name="SAPBEXundefined 7 2" xfId="4820" xr:uid="{E0BED167-7DBF-4842-B311-F06F8FD60A1F}"/>
    <cellStyle name="SAPOutput" xfId="1688" xr:uid="{00000000-0005-0000-0000-00003B0C0000}"/>
    <cellStyle name="schwarzgrau" xfId="1689" xr:uid="{00000000-0005-0000-0000-00003C0C0000}"/>
    <cellStyle name="schwarzgrau 2" xfId="1690" xr:uid="{00000000-0005-0000-0000-00003D0C0000}"/>
    <cellStyle name="ScripFactor" xfId="1691" xr:uid="{00000000-0005-0000-0000-00003E0C0000}"/>
    <cellStyle name="Section Heading" xfId="1692" xr:uid="{00000000-0005-0000-0000-00003F0C0000}"/>
    <cellStyle name="Section name" xfId="1693" xr:uid="{00000000-0005-0000-0000-0000400C0000}"/>
    <cellStyle name="Section Title no wrap" xfId="1694" xr:uid="{00000000-0005-0000-0000-0000410C0000}"/>
    <cellStyle name="Section Title wrap" xfId="1695" xr:uid="{00000000-0005-0000-0000-0000420C0000}"/>
    <cellStyle name="SectionHeading" xfId="1696" xr:uid="{00000000-0005-0000-0000-0000430C0000}"/>
    <cellStyle name="SectionHeading 2" xfId="1697" xr:uid="{00000000-0005-0000-0000-0000440C0000}"/>
    <cellStyle name="SectionHeading 2 2" xfId="2253" xr:uid="{00000000-0005-0000-0000-0000450C0000}"/>
    <cellStyle name="SectionHeading 2 2 2" xfId="3139" xr:uid="{00000000-0005-0000-0000-0000460C0000}"/>
    <cellStyle name="SectionHeading 2 2 2 2" xfId="4712" xr:uid="{CB005EEB-651E-4A4F-A1A6-2DBF25CD4B23}"/>
    <cellStyle name="SectionHeading 2 2 3" xfId="3564" xr:uid="{00000000-0005-0000-0000-0000470C0000}"/>
    <cellStyle name="SectionHeading 2 2 3 2" xfId="5135" xr:uid="{602CA4ED-E011-4B6B-BE39-AB1C8ABAAB85}"/>
    <cellStyle name="SectionHeading 2 3" xfId="2810" xr:uid="{00000000-0005-0000-0000-0000480C0000}"/>
    <cellStyle name="SectionHeading 2 3 2" xfId="4389" xr:uid="{8BC06BE9-2296-41C0-AF55-BFA177761E14}"/>
    <cellStyle name="SectionHeading 3" xfId="2263" xr:uid="{00000000-0005-0000-0000-0000490C0000}"/>
    <cellStyle name="SectionHeading 3 2" xfId="3149" xr:uid="{00000000-0005-0000-0000-00004A0C0000}"/>
    <cellStyle name="SectionHeading 3 2 2" xfId="4722" xr:uid="{623A2A5A-FF3A-44AC-B944-F3B4CFEC2FBB}"/>
    <cellStyle name="SectionHeading 3 3" xfId="3574" xr:uid="{00000000-0005-0000-0000-00004B0C0000}"/>
    <cellStyle name="SectionHeading 3 3 2" xfId="5145" xr:uid="{68B4851C-0005-469D-8A48-C1660B7E94B2}"/>
    <cellStyle name="SectionHeading 4" xfId="2809" xr:uid="{00000000-0005-0000-0000-00004C0C0000}"/>
    <cellStyle name="SectionHeading 4 2" xfId="4388" xr:uid="{411EE57D-FBC5-4888-A476-659F37B8AFFE}"/>
    <cellStyle name="sh0 -SideHeading" xfId="1698" xr:uid="{00000000-0005-0000-0000-00004D0C0000}"/>
    <cellStyle name="sh1 -SideHeading" xfId="1699" xr:uid="{00000000-0005-0000-0000-00004E0C0000}"/>
    <cellStyle name="sh2 -SideHeading" xfId="1700" xr:uid="{00000000-0005-0000-0000-00004F0C0000}"/>
    <cellStyle name="sh3 -SideHeading" xfId="1701" xr:uid="{00000000-0005-0000-0000-0000500C0000}"/>
    <cellStyle name="Shade" xfId="1702" xr:uid="{00000000-0005-0000-0000-0000510C0000}"/>
    <cellStyle name="Shaded" xfId="1703" xr:uid="{00000000-0005-0000-0000-0000520C0000}"/>
    <cellStyle name="sheet background" xfId="1704" xr:uid="{00000000-0005-0000-0000-0000530C0000}"/>
    <cellStyle name="sheet title" xfId="1705" xr:uid="{00000000-0005-0000-0000-0000540C0000}"/>
    <cellStyle name="sheet title 2" xfId="1706" xr:uid="{00000000-0005-0000-0000-0000550C0000}"/>
    <cellStyle name="sheet title 2 2" xfId="1971" xr:uid="{00000000-0005-0000-0000-0000560C0000}"/>
    <cellStyle name="sheet title 3" xfId="1707" xr:uid="{00000000-0005-0000-0000-0000570C0000}"/>
    <cellStyle name="sheet title 3 2" xfId="1972" xr:uid="{00000000-0005-0000-0000-0000580C0000}"/>
    <cellStyle name="sheet title 4" xfId="1970" xr:uid="{00000000-0005-0000-0000-0000590C0000}"/>
    <cellStyle name="Short Date" xfId="1708" xr:uid="{00000000-0005-0000-0000-00005A0C0000}"/>
    <cellStyle name="Short Date 2" xfId="1973" xr:uid="{00000000-0005-0000-0000-00005B0C0000}"/>
    <cellStyle name="sin nada" xfId="1709" xr:uid="{00000000-0005-0000-0000-00005C0C0000}"/>
    <cellStyle name="Single Accounting" xfId="1710" xr:uid="{00000000-0005-0000-0000-00005D0C0000}"/>
    <cellStyle name="SingleLineAcctgn" xfId="1711" xr:uid="{00000000-0005-0000-0000-00005E0C0000}"/>
    <cellStyle name="SingleLineAcctgn 2" xfId="3651" xr:uid="{B5BB3B1E-D0C3-4EC6-B8B2-0CB1742B7712}"/>
    <cellStyle name="SingleLinePercent" xfId="1712" xr:uid="{00000000-0005-0000-0000-00005F0C0000}"/>
    <cellStyle name="Small number" xfId="1713" xr:uid="{00000000-0005-0000-0000-0000600C0000}"/>
    <cellStyle name="Small percentage" xfId="1714" xr:uid="{00000000-0005-0000-0000-0000610C0000}"/>
    <cellStyle name="SN" xfId="1715" xr:uid="{00000000-0005-0000-0000-0000620C0000}"/>
    <cellStyle name="Source Line" xfId="1716" xr:uid="{00000000-0005-0000-0000-0000630C0000}"/>
    <cellStyle name="SPOl" xfId="1717" xr:uid="{00000000-0005-0000-0000-0000640C0000}"/>
    <cellStyle name="Spreadsheet title" xfId="1718" xr:uid="{00000000-0005-0000-0000-0000650C0000}"/>
    <cellStyle name="st0 -SideText" xfId="1719" xr:uid="{00000000-0005-0000-0000-0000660C0000}"/>
    <cellStyle name="st1 -SideText" xfId="1720" xr:uid="{00000000-0005-0000-0000-0000670C0000}"/>
    <cellStyle name="st2 -SideText" xfId="1721" xr:uid="{00000000-0005-0000-0000-0000680C0000}"/>
    <cellStyle name="st3 -SideText" xfId="1722" xr:uid="{00000000-0005-0000-0000-0000690C0000}"/>
    <cellStyle name="st4 -SideText" xfId="1723" xr:uid="{00000000-0005-0000-0000-00006A0C0000}"/>
    <cellStyle name="Standaard_ABBA version 1.4 dd 27-06-2000" xfId="1724" xr:uid="{00000000-0005-0000-0000-00006B0C0000}"/>
    <cellStyle name="Standard" xfId="1974" xr:uid="{00000000-0005-0000-0000-00006C0C0000}"/>
    <cellStyle name="Standard 2" xfId="1725" xr:uid="{00000000-0005-0000-0000-00006D0C0000}"/>
    <cellStyle name="Standard1_OS" xfId="1726" xr:uid="{00000000-0005-0000-0000-00006E0C0000}"/>
    <cellStyle name="Strikethrough" xfId="1727" xr:uid="{00000000-0005-0000-0000-00006F0C0000}"/>
    <cellStyle name="Strikethrough 2" xfId="1975" xr:uid="{00000000-0005-0000-0000-0000700C0000}"/>
    <cellStyle name="Strikethrough 2 2" xfId="2323" xr:uid="{00000000-0005-0000-0000-0000710C0000}"/>
    <cellStyle name="Strikethrough 2 2 2" xfId="3206" xr:uid="{00000000-0005-0000-0000-0000720C0000}"/>
    <cellStyle name="Strikethrough 2 2 2 2" xfId="4777" xr:uid="{E91A6736-D48D-4C7C-A3FB-E13F5C4BF8F4}"/>
    <cellStyle name="Strikethrough 2 2 3" xfId="3630" xr:uid="{00000000-0005-0000-0000-0000730C0000}"/>
    <cellStyle name="Strikethrough 2 2 3 2" xfId="5200" xr:uid="{5AECF4EE-7F12-4C54-A306-E774480BC27F}"/>
    <cellStyle name="Strikethrough 2 2 4" xfId="3921" xr:uid="{7FD429D7-BBBC-4CA1-B357-4B84FC56023B}"/>
    <cellStyle name="Strikethrough 2 3" xfId="2870" xr:uid="{00000000-0005-0000-0000-0000740C0000}"/>
    <cellStyle name="Strikethrough 2 3 2" xfId="4443" xr:uid="{72BD7E8D-4F61-4F16-86C4-E0D720AA3404}"/>
    <cellStyle name="Strikethrough 2 4" xfId="3295" xr:uid="{00000000-0005-0000-0000-0000750C0000}"/>
    <cellStyle name="Strikethrough 2 4 2" xfId="4866" xr:uid="{53EDB35C-2882-4B9D-9CBE-8BFC1650FEBF}"/>
    <cellStyle name="Strikethrough 3" xfId="2256" xr:uid="{00000000-0005-0000-0000-0000760C0000}"/>
    <cellStyle name="Strikethrough 3 2" xfId="3142" xr:uid="{00000000-0005-0000-0000-0000770C0000}"/>
    <cellStyle name="Strikethrough 3 2 2" xfId="4715" xr:uid="{3CC4E0BD-7C78-46BD-A1AE-0AB5E9B8BA6F}"/>
    <cellStyle name="Strikethrough 3 3" xfId="3567" xr:uid="{00000000-0005-0000-0000-0000780C0000}"/>
    <cellStyle name="Strikethrough 3 3 2" xfId="5138" xr:uid="{42C52D1C-3E7E-4CFE-AC96-A11289AC5637}"/>
    <cellStyle name="Strikethrough 3 4" xfId="3870" xr:uid="{8DFF51E1-6B47-48DB-96F8-E9721A7C5727}"/>
    <cellStyle name="Strikethrough 4" xfId="2811" xr:uid="{00000000-0005-0000-0000-0000790C0000}"/>
    <cellStyle name="Strikethrough 4 2" xfId="4390" xr:uid="{FD81D295-2D0D-4123-934B-1276721CC2A9}"/>
    <cellStyle name="Strikethrough 5" xfId="3253" xr:uid="{00000000-0005-0000-0000-00007A0C0000}"/>
    <cellStyle name="Strikethrough 5 2" xfId="4824" xr:uid="{99CEC1D0-AF65-4285-86BE-ABB2FB070EF5}"/>
    <cellStyle name="String point input" xfId="1728" xr:uid="{00000000-0005-0000-0000-00007B0C0000}"/>
    <cellStyle name="String point input 2" xfId="1729" xr:uid="{00000000-0005-0000-0000-00007C0C0000}"/>
    <cellStyle name="String point input 2 2" xfId="2258" xr:uid="{00000000-0005-0000-0000-00007D0C0000}"/>
    <cellStyle name="String point input 2 2 2" xfId="3144" xr:uid="{00000000-0005-0000-0000-00007E0C0000}"/>
    <cellStyle name="String point input 2 2 2 2" xfId="4717" xr:uid="{F7021B64-C5E3-49EB-8DB6-C3F0FC8FCB1A}"/>
    <cellStyle name="String point input 2 2 3" xfId="3569" xr:uid="{00000000-0005-0000-0000-00007F0C0000}"/>
    <cellStyle name="String point input 2 2 3 2" xfId="5140" xr:uid="{2C476906-1FDE-4464-99ED-BCFA786CF457}"/>
    <cellStyle name="String point input 2 3" xfId="2813" xr:uid="{00000000-0005-0000-0000-0000800C0000}"/>
    <cellStyle name="String point input 2 3 2" xfId="4392" xr:uid="{2ECE8AEC-4C8F-4203-951F-52385CBA8C51}"/>
    <cellStyle name="String point input 3" xfId="2257" xr:uid="{00000000-0005-0000-0000-0000810C0000}"/>
    <cellStyle name="String point input 3 2" xfId="3143" xr:uid="{00000000-0005-0000-0000-0000820C0000}"/>
    <cellStyle name="String point input 3 2 2" xfId="4716" xr:uid="{FB483CF0-8D11-4408-89D2-E62E8E156F68}"/>
    <cellStyle name="String point input 3 3" xfId="3568" xr:uid="{00000000-0005-0000-0000-0000830C0000}"/>
    <cellStyle name="String point input 3 3 2" xfId="5139" xr:uid="{ECB593FF-CB3B-4A6D-A159-AE957DA238EC}"/>
    <cellStyle name="String point input 4" xfId="2812" xr:uid="{00000000-0005-0000-0000-0000840C0000}"/>
    <cellStyle name="String point input 4 2" xfId="4391" xr:uid="{C55A854B-E9A2-425D-91EA-453E21987820}"/>
    <cellStyle name="Style 1" xfId="1730" xr:uid="{00000000-0005-0000-0000-0000850C0000}"/>
    <cellStyle name="Style 1 2" xfId="1731" xr:uid="{00000000-0005-0000-0000-0000860C0000}"/>
    <cellStyle name="Style 2" xfId="1732" xr:uid="{00000000-0005-0000-0000-0000870C0000}"/>
    <cellStyle name="Sub heading" xfId="1733" xr:uid="{00000000-0005-0000-0000-0000880C0000}"/>
    <cellStyle name="subhead" xfId="1734" xr:uid="{00000000-0005-0000-0000-0000890C0000}"/>
    <cellStyle name="SubHeading 1" xfId="1735" xr:uid="{00000000-0005-0000-0000-00008A0C0000}"/>
    <cellStyle name="SubHeading1" xfId="1736" xr:uid="{00000000-0005-0000-0000-00008B0C0000}"/>
    <cellStyle name="SubHeading2" xfId="1737" xr:uid="{00000000-0005-0000-0000-00008C0C0000}"/>
    <cellStyle name="Subsection Heading" xfId="1738" xr:uid="{00000000-0005-0000-0000-00008D0C0000}"/>
    <cellStyle name="Sub-section heading" xfId="1739" xr:uid="{00000000-0005-0000-0000-00008E0C0000}"/>
    <cellStyle name="subtitle" xfId="1740" xr:uid="{00000000-0005-0000-0000-00008F0C0000}"/>
    <cellStyle name="subtitle 2" xfId="1741" xr:uid="{00000000-0005-0000-0000-0000900C0000}"/>
    <cellStyle name="Sub-titulo" xfId="1742" xr:uid="{00000000-0005-0000-0000-0000910C0000}"/>
    <cellStyle name="Sub-titulo 2" xfId="1743" xr:uid="{00000000-0005-0000-0000-0000920C0000}"/>
    <cellStyle name="Subtotal" xfId="1744" xr:uid="{00000000-0005-0000-0000-0000930C0000}"/>
    <cellStyle name="Sub-total" xfId="1745" xr:uid="{00000000-0005-0000-0000-0000940C0000}"/>
    <cellStyle name="Sub-total 2" xfId="1976" xr:uid="{00000000-0005-0000-0000-0000950C0000}"/>
    <cellStyle name="Sub-total 2 2" xfId="2324" xr:uid="{00000000-0005-0000-0000-0000960C0000}"/>
    <cellStyle name="Sub-total 2 2 2" xfId="3207" xr:uid="{00000000-0005-0000-0000-0000970C0000}"/>
    <cellStyle name="Sub-total 2 2 2 2" xfId="4778" xr:uid="{387F3E13-5357-4630-AE80-0B2B9E8A139F}"/>
    <cellStyle name="Sub-total 2 2 3" xfId="3631" xr:uid="{00000000-0005-0000-0000-0000980C0000}"/>
    <cellStyle name="Sub-total 2 2 3 2" xfId="5201" xr:uid="{F1E4AE7C-3EC9-40EE-9FCF-5868C868C8A7}"/>
    <cellStyle name="Sub-total 2 2 4" xfId="3922" xr:uid="{57C6F86E-6724-4432-BB0F-6994705DDE6D}"/>
    <cellStyle name="Sub-total 2 3" xfId="2871" xr:uid="{00000000-0005-0000-0000-0000990C0000}"/>
    <cellStyle name="Sub-total 2 3 2" xfId="4444" xr:uid="{8EB8FF1A-F499-43D4-BA19-E6D50D3D052B}"/>
    <cellStyle name="Sub-total 2 4" xfId="3296" xr:uid="{00000000-0005-0000-0000-00009A0C0000}"/>
    <cellStyle name="Sub-total 2 4 2" xfId="4867" xr:uid="{6AEF7782-064B-4B7D-8A3A-B7309C63B860}"/>
    <cellStyle name="Sub-total 3" xfId="2259" xr:uid="{00000000-0005-0000-0000-00009B0C0000}"/>
    <cellStyle name="Sub-total 3 2" xfId="3145" xr:uid="{00000000-0005-0000-0000-00009C0C0000}"/>
    <cellStyle name="Sub-total 3 2 2" xfId="4718" xr:uid="{FD1E82BD-9C4A-4B97-953B-61FB715FF6A9}"/>
    <cellStyle name="Sub-total 3 3" xfId="3570" xr:uid="{00000000-0005-0000-0000-00009D0C0000}"/>
    <cellStyle name="Sub-total 3 3 2" xfId="5141" xr:uid="{6BFEAAFB-B689-4A13-A917-B8AEE7AA3426}"/>
    <cellStyle name="Sub-total 3 4" xfId="3871" xr:uid="{D758085C-0202-4E3B-96DA-E473C8A68644}"/>
    <cellStyle name="Sub-total 4" xfId="2814" xr:uid="{00000000-0005-0000-0000-00009E0C0000}"/>
    <cellStyle name="Sub-total 4 2" xfId="4393" xr:uid="{2B0C0139-B573-40F2-9C9D-DF32285D9A93}"/>
    <cellStyle name="Sub-total 5" xfId="3254" xr:uid="{00000000-0005-0000-0000-00009F0C0000}"/>
    <cellStyle name="Sub-total 5 2" xfId="4825" xr:uid="{02EAF5F2-3849-492D-89E8-9756B5AA630E}"/>
    <cellStyle name="Sub-total row" xfId="1746" xr:uid="{00000000-0005-0000-0000-0000A00C0000}"/>
    <cellStyle name="Subtotal_Assumption update Sept 2005 v1" xfId="1977" xr:uid="{00000000-0005-0000-0000-0000A10C0000}"/>
    <cellStyle name="Sub-total_DSL v2" xfId="1747" xr:uid="{00000000-0005-0000-0000-0000A20C0000}"/>
    <cellStyle name="Summe" xfId="1748" xr:uid="{00000000-0005-0000-0000-0000A30C0000}"/>
    <cellStyle name="Symbol" xfId="1749" xr:uid="{00000000-0005-0000-0000-0000A40C0000}"/>
    <cellStyle name="System_Text" xfId="1750" xr:uid="{00000000-0005-0000-0000-0000A50C0000}"/>
    <cellStyle name="t" xfId="1751" xr:uid="{00000000-0005-0000-0000-0000A60C0000}"/>
    <cellStyle name="t_2+10 CEO Country review template v1" xfId="1752" xr:uid="{00000000-0005-0000-0000-0000A70C0000}"/>
    <cellStyle name="t_2+10 CEO Country review template v1_DSL v2" xfId="1753" xr:uid="{00000000-0005-0000-0000-0000A80C0000}"/>
    <cellStyle name="t_2+10 CEO Country review template v1_GR" xfId="1754" xr:uid="{00000000-0005-0000-0000-0000A90C0000}"/>
    <cellStyle name="t_Arcor Appendix 1b (Detailed Budget)_hardtype" xfId="1755" xr:uid="{00000000-0005-0000-0000-0000AA0C0000}"/>
    <cellStyle name="t_Calculation v2" xfId="1756" xr:uid="{00000000-0005-0000-0000-0000AB0C0000}"/>
    <cellStyle name="t_Calculation v2_2+10 CEO Country review template v1" xfId="1757" xr:uid="{00000000-0005-0000-0000-0000AC0C0000}"/>
    <cellStyle name="t_Calculation v2_Change Log" xfId="1758" xr:uid="{00000000-0005-0000-0000-0000AD0C0000}"/>
    <cellStyle name="t_Calculation v2_GermanyHo" xfId="1759" xr:uid="{00000000-0005-0000-0000-0000AE0C0000}"/>
    <cellStyle name="t_Calculation v2_GermanyHo 2" xfId="3652" xr:uid="{0972A03B-5305-4DEB-AA45-115A1882F881}"/>
    <cellStyle name="t_Calculation v2_Turkey_GermanyHo" xfId="1760" xr:uid="{00000000-0005-0000-0000-0000AF0C0000}"/>
    <cellStyle name="t_DCF Template" xfId="1761" xr:uid="{00000000-0005-0000-0000-0000B00C0000}"/>
    <cellStyle name="t_DCF Template_Arcor Appendix 1b (Detailed Budget)_hardtype" xfId="1762" xr:uid="{00000000-0005-0000-0000-0000B10C0000}"/>
    <cellStyle name="t_DCF Template_Change Log" xfId="1763" xr:uid="{00000000-0005-0000-0000-0000B20C0000}"/>
    <cellStyle name="t_DCF Template_Europe fixed line &amp; DSL - Alea" xfId="1764" xr:uid="{00000000-0005-0000-0000-0000B30C0000}"/>
    <cellStyle name="t_DCF Template_GermanyHo" xfId="1765" xr:uid="{00000000-0005-0000-0000-0000B40C0000}"/>
    <cellStyle name="t_DCF Template_HORIZONTAL 2008_9 OUTPUTS - 5YP Europe only" xfId="1766" xr:uid="{00000000-0005-0000-0000-0000B50C0000}"/>
    <cellStyle name="t_DCF-2" xfId="1767" xr:uid="{00000000-0005-0000-0000-0000B60C0000}"/>
    <cellStyle name="t_Elisa multiple5" xfId="1768" xr:uid="{00000000-0005-0000-0000-0000B70C0000}"/>
    <cellStyle name="t_Europe fixed line &amp; DSL - Alea" xfId="1769" xr:uid="{00000000-0005-0000-0000-0000B80C0000}"/>
    <cellStyle name="t_HORIZONTAL 2008_9 OUTPUTS - 5YP Europe only" xfId="1770" xr:uid="{00000000-0005-0000-0000-0000B90C0000}"/>
    <cellStyle name="t_India_1" xfId="1771" xr:uid="{00000000-0005-0000-0000-0000BA0C0000}"/>
    <cellStyle name="t_Tower operational model v4.3" xfId="1772" xr:uid="{00000000-0005-0000-0000-0000BB0C0000}"/>
    <cellStyle name="TA_Calculated" xfId="1773" xr:uid="{00000000-0005-0000-0000-0000BC0C0000}"/>
    <cellStyle name="Table Col Head" xfId="1774" xr:uid="{00000000-0005-0000-0000-0000BD0C0000}"/>
    <cellStyle name="Table finish row" xfId="1775" xr:uid="{00000000-0005-0000-0000-0000BE0C0000}"/>
    <cellStyle name="Table Head" xfId="1776" xr:uid="{00000000-0005-0000-0000-0000BF0C0000}"/>
    <cellStyle name="Table Head Aligned" xfId="1777" xr:uid="{00000000-0005-0000-0000-0000C00C0000}"/>
    <cellStyle name="Table Head Aligned 2" xfId="1778" xr:uid="{00000000-0005-0000-0000-0000C10C0000}"/>
    <cellStyle name="Table Head Blue" xfId="1779" xr:uid="{00000000-0005-0000-0000-0000C20C0000}"/>
    <cellStyle name="Table Head Green" xfId="1780" xr:uid="{00000000-0005-0000-0000-0000C30C0000}"/>
    <cellStyle name="Table Head Green 2" xfId="1781" xr:uid="{00000000-0005-0000-0000-0000C40C0000}"/>
    <cellStyle name="Table Head_050301 Camel operational model V1" xfId="1782" xr:uid="{00000000-0005-0000-0000-0000C50C0000}"/>
    <cellStyle name="Table Heading" xfId="1783" xr:uid="{00000000-0005-0000-0000-0000C60C0000}"/>
    <cellStyle name="Table shading" xfId="1784" xr:uid="{00000000-0005-0000-0000-0000C70C0000}"/>
    <cellStyle name="Table Sub Head" xfId="1785" xr:uid="{00000000-0005-0000-0000-0000C80C0000}"/>
    <cellStyle name="Table Title" xfId="1786" xr:uid="{00000000-0005-0000-0000-0000C90C0000}"/>
    <cellStyle name="Table unfinish row" xfId="1787" xr:uid="{00000000-0005-0000-0000-0000CA0C0000}"/>
    <cellStyle name="Table Units" xfId="1788" xr:uid="{00000000-0005-0000-0000-0000CB0C0000}"/>
    <cellStyle name="Table Units 2" xfId="1789" xr:uid="{00000000-0005-0000-0000-0000CC0C0000}"/>
    <cellStyle name="Table unshading" xfId="1790" xr:uid="{00000000-0005-0000-0000-0000CD0C0000}"/>
    <cellStyle name="Table_Number" xfId="1791" xr:uid="{00000000-0005-0000-0000-0000CE0C0000}"/>
    <cellStyle name="TableBorder" xfId="1792" xr:uid="{00000000-0005-0000-0000-0000CF0C0000}"/>
    <cellStyle name="TableSubTitleItalic" xfId="1793" xr:uid="{00000000-0005-0000-0000-0000D00C0000}"/>
    <cellStyle name="Tariff" xfId="1794" xr:uid="{00000000-0005-0000-0000-0000D10C0000}"/>
    <cellStyle name="Tausender" xfId="1795" xr:uid="{00000000-0005-0000-0000-0000D20C0000}"/>
    <cellStyle name="test" xfId="1796" xr:uid="{00000000-0005-0000-0000-0000D30C0000}"/>
    <cellStyle name="test a style" xfId="1797" xr:uid="{00000000-0005-0000-0000-0000D40C0000}"/>
    <cellStyle name="test a style 2" xfId="1798" xr:uid="{00000000-0005-0000-0000-0000D50C0000}"/>
    <cellStyle name="Text" xfId="1799" xr:uid="{00000000-0005-0000-0000-0000D60C0000}"/>
    <cellStyle name="Text Indent A" xfId="1800" xr:uid="{00000000-0005-0000-0000-0000D70C0000}"/>
    <cellStyle name="Text_Fixed Acceleration Forecast EBU_Jun 09 (2)" xfId="1801" xr:uid="{00000000-0005-0000-0000-0000D80C0000}"/>
    <cellStyle name="Thousand" xfId="1802" xr:uid="{00000000-0005-0000-0000-0000D90C0000}"/>
    <cellStyle name="time variable" xfId="1803" xr:uid="{00000000-0005-0000-0000-0000DA0C0000}"/>
    <cellStyle name="Times 10" xfId="1804" xr:uid="{00000000-0005-0000-0000-0000DB0C0000}"/>
    <cellStyle name="Times 12" xfId="1805" xr:uid="{00000000-0005-0000-0000-0000DC0C0000}"/>
    <cellStyle name="Titel 1" xfId="1806" xr:uid="{00000000-0005-0000-0000-0000DD0C0000}"/>
    <cellStyle name="Titel 1 2" xfId="1807" xr:uid="{00000000-0005-0000-0000-0000DE0C0000}"/>
    <cellStyle name="Titel 1 3" xfId="1808" xr:uid="{00000000-0005-0000-0000-0000DF0C0000}"/>
    <cellStyle name="Titel 1 4" xfId="1809" xr:uid="{00000000-0005-0000-0000-0000E00C0000}"/>
    <cellStyle name="Title" xfId="1" builtinId="15" customBuiltin="1"/>
    <cellStyle name="Title Line" xfId="1810" xr:uid="{00000000-0005-0000-0000-0000E20C0000}"/>
    <cellStyle name="title1" xfId="1811" xr:uid="{00000000-0005-0000-0000-0000E30C0000}"/>
    <cellStyle name="title2" xfId="1812" xr:uid="{00000000-0005-0000-0000-0000E40C0000}"/>
    <cellStyle name="TitleCenter" xfId="1813" xr:uid="{00000000-0005-0000-0000-0000E50C0000}"/>
    <cellStyle name="TitlePage" xfId="1814" xr:uid="{00000000-0005-0000-0000-0000E60C0000}"/>
    <cellStyle name="Titles" xfId="1815" xr:uid="{00000000-0005-0000-0000-0000E70C0000}"/>
    <cellStyle name="Titolo 1 2" xfId="1931" xr:uid="{00000000-0005-0000-0000-0000E80C0000}"/>
    <cellStyle name="Título 1" xfId="1816" xr:uid="{00000000-0005-0000-0000-0000E90C0000}"/>
    <cellStyle name="Título 2" xfId="1817" xr:uid="{00000000-0005-0000-0000-0000EA0C0000}"/>
    <cellStyle name="Titulo fecha 2" xfId="1818" xr:uid="{00000000-0005-0000-0000-0000EB0C0000}"/>
    <cellStyle name="Titulo fecha 2 2" xfId="1819" xr:uid="{00000000-0005-0000-0000-0000EC0C0000}"/>
    <cellStyle name="Titulo fecha 2 2 2" xfId="2278" xr:uid="{00000000-0005-0000-0000-0000ED0C0000}"/>
    <cellStyle name="Titulo fecha 2 2 2 2" xfId="3162" xr:uid="{00000000-0005-0000-0000-0000EE0C0000}"/>
    <cellStyle name="Titulo fecha 2 2 2 2 2" xfId="4733" xr:uid="{D1E22570-15C0-4C08-990D-6CE07FDB67C4}"/>
    <cellStyle name="Titulo fecha 2 2 2 3" xfId="3586" xr:uid="{00000000-0005-0000-0000-0000EF0C0000}"/>
    <cellStyle name="Titulo fecha 2 2 2 3 2" xfId="5156" xr:uid="{280B56CD-65CE-4184-849F-9DCB5689C8B2}"/>
    <cellStyle name="Titulo fecha 2 2 2 4" xfId="3883" xr:uid="{8C2CD873-E7A9-4C98-9B67-9608BA78CA87}"/>
    <cellStyle name="Titulo fecha 2 2 3" xfId="2816" xr:uid="{00000000-0005-0000-0000-0000F00C0000}"/>
    <cellStyle name="Titulo fecha 2 2 3 2" xfId="4395" xr:uid="{5C66278E-9D18-4CF8-ABDA-0FBA3E878C61}"/>
    <cellStyle name="Titulo fecha 2 2 4" xfId="3256" xr:uid="{00000000-0005-0000-0000-0000F10C0000}"/>
    <cellStyle name="Titulo fecha 2 2 4 2" xfId="4827" xr:uid="{F3687FFE-9D9B-445D-9195-4B1BFF76EE54}"/>
    <cellStyle name="Titulo fecha 2 3" xfId="1820" xr:uid="{00000000-0005-0000-0000-0000F20C0000}"/>
    <cellStyle name="Titulo fecha 2 3 2" xfId="2279" xr:uid="{00000000-0005-0000-0000-0000F30C0000}"/>
    <cellStyle name="Titulo fecha 2 3 2 2" xfId="3163" xr:uid="{00000000-0005-0000-0000-0000F40C0000}"/>
    <cellStyle name="Titulo fecha 2 3 2 2 2" xfId="4734" xr:uid="{1F72848C-0EA9-4FC3-B110-2786AB2C2AD8}"/>
    <cellStyle name="Titulo fecha 2 3 2 3" xfId="3587" xr:uid="{00000000-0005-0000-0000-0000F50C0000}"/>
    <cellStyle name="Titulo fecha 2 3 2 3 2" xfId="5157" xr:uid="{D467D588-FFD8-4026-88D9-BF61E8F549C0}"/>
    <cellStyle name="Titulo fecha 2 3 2 4" xfId="3884" xr:uid="{B3D1CF68-7C68-4998-A066-F913990D20BE}"/>
    <cellStyle name="Titulo fecha 2 3 3" xfId="2817" xr:uid="{00000000-0005-0000-0000-0000F60C0000}"/>
    <cellStyle name="Titulo fecha 2 3 3 2" xfId="4396" xr:uid="{CC7AA078-397F-42FF-AFB2-0D364A8948FF}"/>
    <cellStyle name="Titulo fecha 2 3 4" xfId="3257" xr:uid="{00000000-0005-0000-0000-0000F70C0000}"/>
    <cellStyle name="Titulo fecha 2 3 4 2" xfId="4828" xr:uid="{DD521898-B18E-4E89-9086-47991500F7F1}"/>
    <cellStyle name="Titulo fecha 2 4" xfId="1821" xr:uid="{00000000-0005-0000-0000-0000F80C0000}"/>
    <cellStyle name="Titulo fecha 2 4 2" xfId="2280" xr:uid="{00000000-0005-0000-0000-0000F90C0000}"/>
    <cellStyle name="Titulo fecha 2 4 2 2" xfId="3164" xr:uid="{00000000-0005-0000-0000-0000FA0C0000}"/>
    <cellStyle name="Titulo fecha 2 4 2 2 2" xfId="4735" xr:uid="{09F8EDCD-6B46-4477-B8C7-1D703CBFB349}"/>
    <cellStyle name="Titulo fecha 2 4 2 3" xfId="3588" xr:uid="{00000000-0005-0000-0000-0000FB0C0000}"/>
    <cellStyle name="Titulo fecha 2 4 2 3 2" xfId="5158" xr:uid="{8A1B96B0-B036-44D4-8253-4351B9CA1A23}"/>
    <cellStyle name="Titulo fecha 2 4 2 4" xfId="3885" xr:uid="{FC7FD588-C615-4C15-94FE-6383FC3401D5}"/>
    <cellStyle name="Titulo fecha 2 4 3" xfId="2818" xr:uid="{00000000-0005-0000-0000-0000FC0C0000}"/>
    <cellStyle name="Titulo fecha 2 4 3 2" xfId="4397" xr:uid="{6BE976EB-A858-4850-8875-363CB84D7803}"/>
    <cellStyle name="Titulo fecha 2 4 4" xfId="3258" xr:uid="{00000000-0005-0000-0000-0000FD0C0000}"/>
    <cellStyle name="Titulo fecha 2 4 4 2" xfId="4829" xr:uid="{EE7D5BA7-2229-4860-895E-4082D629F7EE}"/>
    <cellStyle name="Titulo fecha 2 5" xfId="2277" xr:uid="{00000000-0005-0000-0000-0000FE0C0000}"/>
    <cellStyle name="Titulo fecha 2 5 2" xfId="3161" xr:uid="{00000000-0005-0000-0000-0000FF0C0000}"/>
    <cellStyle name="Titulo fecha 2 5 2 2" xfId="4732" xr:uid="{6FA9EE82-EFD4-40FA-AA70-BBD188879899}"/>
    <cellStyle name="Titulo fecha 2 5 3" xfId="3585" xr:uid="{00000000-0005-0000-0000-0000000D0000}"/>
    <cellStyle name="Titulo fecha 2 5 3 2" xfId="5155" xr:uid="{6136D463-3371-4900-9F57-6C901570C8FC}"/>
    <cellStyle name="Titulo fecha 2 5 4" xfId="3882" xr:uid="{D1E040B5-77D5-4368-B63D-B292A2FEC5B5}"/>
    <cellStyle name="Titulo fecha 2 6" xfId="2815" xr:uid="{00000000-0005-0000-0000-0000010D0000}"/>
    <cellStyle name="Titulo fecha 2 6 2" xfId="4394" xr:uid="{CD399A77-E584-4AC3-874D-28B8260DFF44}"/>
    <cellStyle name="Titulo fecha 2 7" xfId="3255" xr:uid="{00000000-0005-0000-0000-0000020D0000}"/>
    <cellStyle name="Titulo fecha 2 7 2" xfId="4826" xr:uid="{B95A85E8-E771-459D-893D-0212B1D338C1}"/>
    <cellStyle name="Titulos Fecha" xfId="1822" xr:uid="{00000000-0005-0000-0000-0000030D0000}"/>
    <cellStyle name="Titulos Fecha 2" xfId="1823" xr:uid="{00000000-0005-0000-0000-0000040D0000}"/>
    <cellStyle name="Titulo-Seccion" xfId="1824" xr:uid="{00000000-0005-0000-0000-0000050D0000}"/>
    <cellStyle name="top border" xfId="1825" xr:uid="{00000000-0005-0000-0000-0000060D0000}"/>
    <cellStyle name="top border 2" xfId="1978" xr:uid="{00000000-0005-0000-0000-0000070D0000}"/>
    <cellStyle name="Top Row" xfId="1826" xr:uid="{00000000-0005-0000-0000-0000080D0000}"/>
    <cellStyle name="Top Row 2" xfId="1827" xr:uid="{00000000-0005-0000-0000-0000090D0000}"/>
    <cellStyle name="Top Row 3" xfId="1828" xr:uid="{00000000-0005-0000-0000-00000A0D0000}"/>
    <cellStyle name="Top Row 4" xfId="1829" xr:uid="{00000000-0005-0000-0000-00000B0D0000}"/>
    <cellStyle name="Total" xfId="13" builtinId="25" customBuiltin="1"/>
    <cellStyle name="total label" xfId="1830" xr:uid="{00000000-0005-0000-0000-00000D0D0000}"/>
    <cellStyle name="Total Row" xfId="1831" xr:uid="{00000000-0005-0000-0000-00000E0D0000}"/>
    <cellStyle name="Total Row 2" xfId="1832" xr:uid="{00000000-0005-0000-0000-00000F0D0000}"/>
    <cellStyle name="total variable" xfId="1833" xr:uid="{00000000-0005-0000-0000-0000100D0000}"/>
    <cellStyle name="total variable 2" xfId="1979" xr:uid="{00000000-0005-0000-0000-0000110D0000}"/>
    <cellStyle name="total variable 2 2" xfId="2325" xr:uid="{00000000-0005-0000-0000-0000120D0000}"/>
    <cellStyle name="total variable 2 2 2" xfId="3208" xr:uid="{00000000-0005-0000-0000-0000130D0000}"/>
    <cellStyle name="total variable 2 2 2 2" xfId="4779" xr:uid="{47F12D15-EFF1-4899-A3B1-47824FB05B18}"/>
    <cellStyle name="total variable 2 2 3" xfId="3632" xr:uid="{00000000-0005-0000-0000-0000140D0000}"/>
    <cellStyle name="total variable 2 2 3 2" xfId="5202" xr:uid="{A38E35B0-80C3-4B94-9426-0BD8F28FF0E4}"/>
    <cellStyle name="total variable 2 2 4" xfId="3923" xr:uid="{70700F41-8159-4BA6-8702-02F0B3FBF12F}"/>
    <cellStyle name="total variable 2 3" xfId="2872" xr:uid="{00000000-0005-0000-0000-0000150D0000}"/>
    <cellStyle name="total variable 2 3 2" xfId="4445" xr:uid="{BAC9EE61-419B-429C-B3AB-D127C8BE00C9}"/>
    <cellStyle name="total variable 2 4" xfId="3297" xr:uid="{00000000-0005-0000-0000-0000160D0000}"/>
    <cellStyle name="total variable 2 4 2" xfId="4868" xr:uid="{93A962E8-09BF-498C-9366-1668F042B39B}"/>
    <cellStyle name="total variable 3" xfId="2281" xr:uid="{00000000-0005-0000-0000-0000170D0000}"/>
    <cellStyle name="total variable 3 2" xfId="3165" xr:uid="{00000000-0005-0000-0000-0000180D0000}"/>
    <cellStyle name="total variable 3 2 2" xfId="4736" xr:uid="{A5C8C0F5-2CAE-4E94-819D-0FA4033921EF}"/>
    <cellStyle name="total variable 3 3" xfId="3589" xr:uid="{00000000-0005-0000-0000-0000190D0000}"/>
    <cellStyle name="total variable 3 3 2" xfId="5159" xr:uid="{A2591022-A3CA-4C5C-9867-77B1F8D1990D}"/>
    <cellStyle name="total variable 3 4" xfId="3886" xr:uid="{740093BD-539A-439D-B4CB-D5DB6C6F8501}"/>
    <cellStyle name="total variable 4" xfId="2819" xr:uid="{00000000-0005-0000-0000-00001A0D0000}"/>
    <cellStyle name="total variable 4 2" xfId="4398" xr:uid="{AA7B1DE9-EEB1-4684-A107-25825B286CB0}"/>
    <cellStyle name="total variable 5" xfId="3259" xr:uid="{00000000-0005-0000-0000-00001B0D0000}"/>
    <cellStyle name="total variable 5 2" xfId="4830" xr:uid="{FABB0660-0BE5-42BF-8060-4415D5377EA7}"/>
    <cellStyle name="Totals" xfId="1834" xr:uid="{00000000-0005-0000-0000-00001C0D0000}"/>
    <cellStyle name="True value/switch" xfId="1835" xr:uid="{00000000-0005-0000-0000-00001D0D0000}"/>
    <cellStyle name="True value/switch 2" xfId="1836" xr:uid="{00000000-0005-0000-0000-00001E0D0000}"/>
    <cellStyle name="True value/switch 2 2" xfId="2283" xr:uid="{00000000-0005-0000-0000-00001F0D0000}"/>
    <cellStyle name="True value/switch 2 2 2" xfId="3167" xr:uid="{00000000-0005-0000-0000-0000200D0000}"/>
    <cellStyle name="True value/switch 2 2 2 2" xfId="4738" xr:uid="{3455A9A6-9BC1-4081-8187-F1D153E5D2FC}"/>
    <cellStyle name="True value/switch 2 2 3" xfId="3591" xr:uid="{00000000-0005-0000-0000-0000210D0000}"/>
    <cellStyle name="True value/switch 2 2 3 2" xfId="5161" xr:uid="{129D7B7D-DFB6-4A10-A869-6AF9CF0D3856}"/>
    <cellStyle name="True value/switch 2 3" xfId="2821" xr:uid="{00000000-0005-0000-0000-0000220D0000}"/>
    <cellStyle name="True value/switch 2 3 2" xfId="4400" xr:uid="{F0CE0754-3256-4094-A04A-30B65DC47858}"/>
    <cellStyle name="True value/switch 3" xfId="2282" xr:uid="{00000000-0005-0000-0000-0000230D0000}"/>
    <cellStyle name="True value/switch 3 2" xfId="3166" xr:uid="{00000000-0005-0000-0000-0000240D0000}"/>
    <cellStyle name="True value/switch 3 2 2" xfId="4737" xr:uid="{D5F408EC-CF7A-4D2C-B1A4-0C69CA20BE7B}"/>
    <cellStyle name="True value/switch 3 3" xfId="3590" xr:uid="{00000000-0005-0000-0000-0000250D0000}"/>
    <cellStyle name="True value/switch 3 3 2" xfId="5160" xr:uid="{DE1777C4-43DE-4F1A-9727-10E1A0F86C2A}"/>
    <cellStyle name="True value/switch 4" xfId="2820" xr:uid="{00000000-0005-0000-0000-0000260D0000}"/>
    <cellStyle name="True value/switch 4 2" xfId="4399" xr:uid="{B06BF467-21B4-4DE1-A6A6-2C6F424AB41D}"/>
    <cellStyle name="ttn -TopTextNoWrap" xfId="1837" xr:uid="{00000000-0005-0000-0000-0000270D0000}"/>
    <cellStyle name="ttw -TopTextWrap" xfId="1838" xr:uid="{00000000-0005-0000-0000-0000280D0000}"/>
    <cellStyle name="Tusenskille_Redusert penetrasjonsmodell" xfId="1839" xr:uid="{00000000-0005-0000-0000-0000290D0000}"/>
    <cellStyle name="Überschrift 1" xfId="1980" xr:uid="{00000000-0005-0000-0000-00002A0D0000}"/>
    <cellStyle name="Überschrift 2" xfId="1981" xr:uid="{00000000-0005-0000-0000-00002B0D0000}"/>
    <cellStyle name="Überschrift 3" xfId="1982" xr:uid="{00000000-0005-0000-0000-00002C0D0000}"/>
    <cellStyle name="Unhighlight" xfId="1843" xr:uid="{00000000-0005-0000-0000-00002D0D0000}"/>
    <cellStyle name="Unit" xfId="1844" xr:uid="{00000000-0005-0000-0000-00002E0D0000}"/>
    <cellStyle name="Unprot" xfId="1845" xr:uid="{00000000-0005-0000-0000-00002F0D0000}"/>
    <cellStyle name="Unprot$" xfId="1846" xr:uid="{00000000-0005-0000-0000-0000300D0000}"/>
    <cellStyle name="Unprotect" xfId="1847" xr:uid="{00000000-0005-0000-0000-0000310D0000}"/>
    <cellStyle name="Unprotected" xfId="1848" xr:uid="{00000000-0005-0000-0000-0000320D0000}"/>
    <cellStyle name="Untotal row" xfId="1849" xr:uid="{00000000-0005-0000-0000-0000330D0000}"/>
    <cellStyle name="Valuta (0)" xfId="1850" xr:uid="{00000000-0005-0000-0000-0000340D0000}"/>
    <cellStyle name="Währung [0]_01_delta03_V47_KORR_21.8." xfId="1983" xr:uid="{00000000-0005-0000-0000-0000350D0000}"/>
    <cellStyle name="Währung_01_delta03_V47_KORR_21.8." xfId="1984" xr:uid="{00000000-0005-0000-0000-0000360D0000}"/>
    <cellStyle name="Warning" xfId="1851" xr:uid="{00000000-0005-0000-0000-0000370D0000}"/>
    <cellStyle name="Warning Text" xfId="10" builtinId="11" customBuiltin="1"/>
    <cellStyle name="weiß" xfId="1852" xr:uid="{00000000-0005-0000-0000-0000390D0000}"/>
    <cellStyle name="W臧rung_!!!GO" xfId="1853" xr:uid="{00000000-0005-0000-0000-00003A0D0000}"/>
    <cellStyle name="x" xfId="1854" xr:uid="{00000000-0005-0000-0000-00003B0D0000}"/>
    <cellStyle name="x 2" xfId="1855" xr:uid="{00000000-0005-0000-0000-00003C0D0000}"/>
    <cellStyle name="x 2 2" xfId="2285" xr:uid="{00000000-0005-0000-0000-00003D0D0000}"/>
    <cellStyle name="x 2 2 2" xfId="3169" xr:uid="{00000000-0005-0000-0000-00003E0D0000}"/>
    <cellStyle name="x 2 2 2 2" xfId="4740" xr:uid="{30EF0F59-FB8B-4336-B66E-4369274AC78F}"/>
    <cellStyle name="x 2 2 3" xfId="3593" xr:uid="{00000000-0005-0000-0000-00003F0D0000}"/>
    <cellStyle name="x 2 2 3 2" xfId="5163" xr:uid="{B8E55AA1-8F08-41B4-8939-E79551E091D8}"/>
    <cellStyle name="x 2 3" xfId="2823" xr:uid="{00000000-0005-0000-0000-0000400D0000}"/>
    <cellStyle name="x 2 3 2" xfId="4402" xr:uid="{2E6BA595-7756-4FC5-836B-A4C933067CF1}"/>
    <cellStyle name="x 3" xfId="2284" xr:uid="{00000000-0005-0000-0000-0000410D0000}"/>
    <cellStyle name="x 3 2" xfId="3168" xr:uid="{00000000-0005-0000-0000-0000420D0000}"/>
    <cellStyle name="x 3 2 2" xfId="4739" xr:uid="{58210DA8-D941-43C0-B097-862BD4F2CD02}"/>
    <cellStyle name="x 3 3" xfId="3592" xr:uid="{00000000-0005-0000-0000-0000430D0000}"/>
    <cellStyle name="x 3 3 2" xfId="5162" xr:uid="{5045EE35-6581-4EBA-86EF-BA7398BC3D52}"/>
    <cellStyle name="x 4" xfId="2822" xr:uid="{00000000-0005-0000-0000-0000440D0000}"/>
    <cellStyle name="x 4 2" xfId="4401" xr:uid="{A940A167-1C2E-4D24-A28B-DA51FCE35C5D}"/>
    <cellStyle name="xHeadCen" xfId="1856" xr:uid="{00000000-0005-0000-0000-0000450D0000}"/>
    <cellStyle name="xHeadCen 2" xfId="1857" xr:uid="{00000000-0005-0000-0000-0000460D0000}"/>
    <cellStyle name="xHeadCen 2 2" xfId="2287" xr:uid="{00000000-0005-0000-0000-0000470D0000}"/>
    <cellStyle name="xHeadCen 2 2 2" xfId="3171" xr:uid="{00000000-0005-0000-0000-0000480D0000}"/>
    <cellStyle name="xHeadCen 2 2 2 2" xfId="4742" xr:uid="{7C269D6E-07B9-4E72-A6F3-51A909C6D28F}"/>
    <cellStyle name="xHeadCen 2 2 3" xfId="3595" xr:uid="{00000000-0005-0000-0000-0000490D0000}"/>
    <cellStyle name="xHeadCen 2 2 3 2" xfId="5165" xr:uid="{0A81E209-A4A6-48BF-8F95-A12315DCF3DF}"/>
    <cellStyle name="xHeadCen 2 2 4" xfId="3888" xr:uid="{580D053B-E9CA-476A-AA6A-867AB317FFCD}"/>
    <cellStyle name="xHeadCen 2 3" xfId="2825" xr:uid="{00000000-0005-0000-0000-00004A0D0000}"/>
    <cellStyle name="xHeadCen 2 3 2" xfId="4404" xr:uid="{E581F56C-6C1A-4D77-A9C6-5FEF7EFE8ACE}"/>
    <cellStyle name="xHeadCen 2 4" xfId="3261" xr:uid="{00000000-0005-0000-0000-00004B0D0000}"/>
    <cellStyle name="xHeadCen 2 4 2" xfId="4832" xr:uid="{905FE024-EB03-4D0E-AA85-927FEED75038}"/>
    <cellStyle name="xHeadCen 3" xfId="1858" xr:uid="{00000000-0005-0000-0000-00004C0D0000}"/>
    <cellStyle name="xHeadCen 3 2" xfId="2288" xr:uid="{00000000-0005-0000-0000-00004D0D0000}"/>
    <cellStyle name="xHeadCen 3 2 2" xfId="3172" xr:uid="{00000000-0005-0000-0000-00004E0D0000}"/>
    <cellStyle name="xHeadCen 3 2 2 2" xfId="4743" xr:uid="{183C48BA-02D8-48E6-96A6-BCD6FBF8575B}"/>
    <cellStyle name="xHeadCen 3 2 3" xfId="3596" xr:uid="{00000000-0005-0000-0000-00004F0D0000}"/>
    <cellStyle name="xHeadCen 3 2 3 2" xfId="5166" xr:uid="{975C2F4B-4F45-40C2-A81D-F6FE6D226D79}"/>
    <cellStyle name="xHeadCen 3 2 4" xfId="3889" xr:uid="{11876465-6E5D-49EE-9F5F-3DBACAA66662}"/>
    <cellStyle name="xHeadCen 3 3" xfId="2826" xr:uid="{00000000-0005-0000-0000-0000500D0000}"/>
    <cellStyle name="xHeadCen 3 3 2" xfId="4405" xr:uid="{B68F04E4-5D7F-4BC5-A1F3-2D8A6F7202E1}"/>
    <cellStyle name="xHeadCen 3 4" xfId="3262" xr:uid="{00000000-0005-0000-0000-0000510D0000}"/>
    <cellStyle name="xHeadCen 3 4 2" xfId="4833" xr:uid="{7C228F5D-6A02-4228-9768-061FF1F942E4}"/>
    <cellStyle name="xHeadCen 4" xfId="1859" xr:uid="{00000000-0005-0000-0000-0000520D0000}"/>
    <cellStyle name="xHeadCen 4 2" xfId="2289" xr:uid="{00000000-0005-0000-0000-0000530D0000}"/>
    <cellStyle name="xHeadCen 4 2 2" xfId="3173" xr:uid="{00000000-0005-0000-0000-0000540D0000}"/>
    <cellStyle name="xHeadCen 4 2 2 2" xfId="4744" xr:uid="{1918CAEE-1006-4B8B-8826-F2E6DFEBE01D}"/>
    <cellStyle name="xHeadCen 4 2 3" xfId="3597" xr:uid="{00000000-0005-0000-0000-0000550D0000}"/>
    <cellStyle name="xHeadCen 4 2 3 2" xfId="5167" xr:uid="{285FBED9-1C4E-445C-87CF-EF696C85F09B}"/>
    <cellStyle name="xHeadCen 4 2 4" xfId="3890" xr:uid="{BFBB5BAC-376A-4CB2-A943-1FE17A2DB42B}"/>
    <cellStyle name="xHeadCen 4 3" xfId="2827" xr:uid="{00000000-0005-0000-0000-0000560D0000}"/>
    <cellStyle name="xHeadCen 4 3 2" xfId="4406" xr:uid="{8309CF5D-B910-4DE3-B1FA-1048FFDD1914}"/>
    <cellStyle name="xHeadCen 4 4" xfId="3263" xr:uid="{00000000-0005-0000-0000-0000570D0000}"/>
    <cellStyle name="xHeadCen 4 4 2" xfId="4834" xr:uid="{8610B138-5A1A-413A-A8DC-1A8CB423F1E8}"/>
    <cellStyle name="xHeadCen 5" xfId="2286" xr:uid="{00000000-0005-0000-0000-0000580D0000}"/>
    <cellStyle name="xHeadCen 5 2" xfId="3170" xr:uid="{00000000-0005-0000-0000-0000590D0000}"/>
    <cellStyle name="xHeadCen 5 2 2" xfId="4741" xr:uid="{57DE9138-017B-4576-B70E-E64C3B514A83}"/>
    <cellStyle name="xHeadCen 5 3" xfId="3594" xr:uid="{00000000-0005-0000-0000-00005A0D0000}"/>
    <cellStyle name="xHeadCen 5 3 2" xfId="5164" xr:uid="{CD7C309C-382E-45E4-B66F-572E2F0B6831}"/>
    <cellStyle name="xHeadCen 5 4" xfId="3887" xr:uid="{918C9EA9-B598-4DCA-8129-662D2D24EB29}"/>
    <cellStyle name="xHeadCen 6" xfId="2824" xr:uid="{00000000-0005-0000-0000-00005B0D0000}"/>
    <cellStyle name="xHeadCen 6 2" xfId="4403" xr:uid="{B864EEEB-79CF-4304-BE85-515D1F333284}"/>
    <cellStyle name="xHeadCen 7" xfId="3260" xr:uid="{00000000-0005-0000-0000-00005C0D0000}"/>
    <cellStyle name="xHeadCen 7 2" xfId="4831" xr:uid="{0872B338-00B8-40C1-B80C-0064D27D5241}"/>
    <cellStyle name="xHeadDMY" xfId="1860" xr:uid="{00000000-0005-0000-0000-00005D0D0000}"/>
    <cellStyle name="xHeadDMY 2" xfId="1861" xr:uid="{00000000-0005-0000-0000-00005E0D0000}"/>
    <cellStyle name="xHeadDMY 2 2" xfId="2291" xr:uid="{00000000-0005-0000-0000-00005F0D0000}"/>
    <cellStyle name="xHeadDMY 2 2 2" xfId="3175" xr:uid="{00000000-0005-0000-0000-0000600D0000}"/>
    <cellStyle name="xHeadDMY 2 2 2 2" xfId="4746" xr:uid="{BD24321E-582B-4EFA-843B-286F60BEA7FB}"/>
    <cellStyle name="xHeadDMY 2 2 3" xfId="3599" xr:uid="{00000000-0005-0000-0000-0000610D0000}"/>
    <cellStyle name="xHeadDMY 2 2 3 2" xfId="5169" xr:uid="{9C485887-462D-43EB-8A95-AF0920BBDB80}"/>
    <cellStyle name="xHeadDMY 2 2 4" xfId="3892" xr:uid="{1630DEFF-5C6C-4E45-9C58-727B8E7F2066}"/>
    <cellStyle name="xHeadDMY 2 3" xfId="2829" xr:uid="{00000000-0005-0000-0000-0000620D0000}"/>
    <cellStyle name="xHeadDMY 2 3 2" xfId="4408" xr:uid="{7FA2BD2D-6F3D-42AB-AB01-01BB74A5E736}"/>
    <cellStyle name="xHeadDMY 2 4" xfId="3265" xr:uid="{00000000-0005-0000-0000-0000630D0000}"/>
    <cellStyle name="xHeadDMY 2 4 2" xfId="4836" xr:uid="{E9FB9EA0-2A7E-4506-95A7-1B0DF9AA4CE3}"/>
    <cellStyle name="xHeadDMY 3" xfId="1862" xr:uid="{00000000-0005-0000-0000-0000640D0000}"/>
    <cellStyle name="xHeadDMY 3 2" xfId="2292" xr:uid="{00000000-0005-0000-0000-0000650D0000}"/>
    <cellStyle name="xHeadDMY 3 2 2" xfId="3176" xr:uid="{00000000-0005-0000-0000-0000660D0000}"/>
    <cellStyle name="xHeadDMY 3 2 2 2" xfId="4747" xr:uid="{0780E607-D622-40CA-A5E6-640436F9E086}"/>
    <cellStyle name="xHeadDMY 3 2 3" xfId="3600" xr:uid="{00000000-0005-0000-0000-0000670D0000}"/>
    <cellStyle name="xHeadDMY 3 2 3 2" xfId="5170" xr:uid="{811917F2-8079-4E49-A4A4-DCF072460C19}"/>
    <cellStyle name="xHeadDMY 3 2 4" xfId="3893" xr:uid="{60B9B3B0-5E5E-4C1E-8B64-CD11E863EB0B}"/>
    <cellStyle name="xHeadDMY 3 3" xfId="2830" xr:uid="{00000000-0005-0000-0000-0000680D0000}"/>
    <cellStyle name="xHeadDMY 3 3 2" xfId="4409" xr:uid="{87D646CB-D80D-43F6-90DB-C051D9E32361}"/>
    <cellStyle name="xHeadDMY 3 4" xfId="3266" xr:uid="{00000000-0005-0000-0000-0000690D0000}"/>
    <cellStyle name="xHeadDMY 3 4 2" xfId="4837" xr:uid="{04B2CFA2-8061-484E-8372-1E7F854D0C41}"/>
    <cellStyle name="xHeadDMY 4" xfId="1863" xr:uid="{00000000-0005-0000-0000-00006A0D0000}"/>
    <cellStyle name="xHeadDMY 4 2" xfId="2293" xr:uid="{00000000-0005-0000-0000-00006B0D0000}"/>
    <cellStyle name="xHeadDMY 4 2 2" xfId="3177" xr:uid="{00000000-0005-0000-0000-00006C0D0000}"/>
    <cellStyle name="xHeadDMY 4 2 2 2" xfId="4748" xr:uid="{94E5A3C4-FF3C-4143-8223-99ADA9B55F5B}"/>
    <cellStyle name="xHeadDMY 4 2 3" xfId="3601" xr:uid="{00000000-0005-0000-0000-00006D0D0000}"/>
    <cellStyle name="xHeadDMY 4 2 3 2" xfId="5171" xr:uid="{D10C7F5F-3BD2-4122-B588-7E39F92C91E4}"/>
    <cellStyle name="xHeadDMY 4 2 4" xfId="3894" xr:uid="{63BF3E8F-F0A7-49B6-8070-4818A8BDA5AA}"/>
    <cellStyle name="xHeadDMY 4 3" xfId="2831" xr:uid="{00000000-0005-0000-0000-00006E0D0000}"/>
    <cellStyle name="xHeadDMY 4 3 2" xfId="4410" xr:uid="{A6FF123C-A97A-4AC6-958A-DC1AEC4E404D}"/>
    <cellStyle name="xHeadDMY 4 4" xfId="3267" xr:uid="{00000000-0005-0000-0000-00006F0D0000}"/>
    <cellStyle name="xHeadDMY 4 4 2" xfId="4838" xr:uid="{1A7A9E62-B137-427F-8252-2CB95A7A3FC1}"/>
    <cellStyle name="xHeadDMY 5" xfId="2290" xr:uid="{00000000-0005-0000-0000-0000700D0000}"/>
    <cellStyle name="xHeadDMY 5 2" xfId="3174" xr:uid="{00000000-0005-0000-0000-0000710D0000}"/>
    <cellStyle name="xHeadDMY 5 2 2" xfId="4745" xr:uid="{D86508D2-9FA1-4AFA-88DF-37ACB1D7E229}"/>
    <cellStyle name="xHeadDMY 5 3" xfId="3598" xr:uid="{00000000-0005-0000-0000-0000720D0000}"/>
    <cellStyle name="xHeadDMY 5 3 2" xfId="5168" xr:uid="{C356BA6A-24C3-473D-A0B4-40A9E95777D6}"/>
    <cellStyle name="xHeadDMY 5 4" xfId="3891" xr:uid="{42DF8AD0-4782-4242-A4A7-8870D48C78CE}"/>
    <cellStyle name="xHeadDMY 6" xfId="2828" xr:uid="{00000000-0005-0000-0000-0000730D0000}"/>
    <cellStyle name="xHeadDMY 6 2" xfId="4407" xr:uid="{918261DE-0A94-4A43-8F44-277368FBC238}"/>
    <cellStyle name="xHeadDMY 7" xfId="3264" xr:uid="{00000000-0005-0000-0000-0000740D0000}"/>
    <cellStyle name="xHeadDMY 7 2" xfId="4835" xr:uid="{4422172C-3A63-462E-A582-DCD2DCBA65CF}"/>
    <cellStyle name="xHeadGen" xfId="1864" xr:uid="{00000000-0005-0000-0000-0000750D0000}"/>
    <cellStyle name="xHeadGen 2" xfId="1865" xr:uid="{00000000-0005-0000-0000-0000760D0000}"/>
    <cellStyle name="xHeadGen 2 2" xfId="2295" xr:uid="{00000000-0005-0000-0000-0000770D0000}"/>
    <cellStyle name="xHeadGen 2 2 2" xfId="3179" xr:uid="{00000000-0005-0000-0000-0000780D0000}"/>
    <cellStyle name="xHeadGen 2 2 2 2" xfId="4750" xr:uid="{8EEEEDAB-DE0D-4100-A401-4A6822778CCC}"/>
    <cellStyle name="xHeadGen 2 2 3" xfId="3603" xr:uid="{00000000-0005-0000-0000-0000790D0000}"/>
    <cellStyle name="xHeadGen 2 2 3 2" xfId="5173" xr:uid="{5219AA0D-C4C0-4388-BF55-2B173A77C3E3}"/>
    <cellStyle name="xHeadGen 2 2 4" xfId="3896" xr:uid="{DE02B636-7B88-4C37-9527-82291B9A1FEE}"/>
    <cellStyle name="xHeadGen 2 3" xfId="2833" xr:uid="{00000000-0005-0000-0000-00007A0D0000}"/>
    <cellStyle name="xHeadGen 2 3 2" xfId="4412" xr:uid="{81CDF53D-47D5-4267-8D38-09D212C4E2BB}"/>
    <cellStyle name="xHeadGen 2 4" xfId="3269" xr:uid="{00000000-0005-0000-0000-00007B0D0000}"/>
    <cellStyle name="xHeadGen 2 4 2" xfId="4840" xr:uid="{B935D0C7-A039-4C33-8449-E15CBAE32578}"/>
    <cellStyle name="xHeadGen 3" xfId="1866" xr:uid="{00000000-0005-0000-0000-00007C0D0000}"/>
    <cellStyle name="xHeadGen 3 2" xfId="2296" xr:uid="{00000000-0005-0000-0000-00007D0D0000}"/>
    <cellStyle name="xHeadGen 3 2 2" xfId="3180" xr:uid="{00000000-0005-0000-0000-00007E0D0000}"/>
    <cellStyle name="xHeadGen 3 2 2 2" xfId="4751" xr:uid="{EEE92995-CDE9-4F00-A09A-E98492EED74A}"/>
    <cellStyle name="xHeadGen 3 2 3" xfId="3604" xr:uid="{00000000-0005-0000-0000-00007F0D0000}"/>
    <cellStyle name="xHeadGen 3 2 3 2" xfId="5174" xr:uid="{59C212CE-ED82-4116-B2BB-0C18F62D80F8}"/>
    <cellStyle name="xHeadGen 3 2 4" xfId="3897" xr:uid="{E35FDBFF-1DE1-4CA8-B981-260E6A077F3B}"/>
    <cellStyle name="xHeadGen 3 3" xfId="2834" xr:uid="{00000000-0005-0000-0000-0000800D0000}"/>
    <cellStyle name="xHeadGen 3 3 2" xfId="4413" xr:uid="{A06225AF-6D16-4188-AB6A-BB3E51598369}"/>
    <cellStyle name="xHeadGen 3 4" xfId="3270" xr:uid="{00000000-0005-0000-0000-0000810D0000}"/>
    <cellStyle name="xHeadGen 3 4 2" xfId="4841" xr:uid="{D7348E65-7323-4D60-BA0D-DD343888BC94}"/>
    <cellStyle name="xHeadGen 4" xfId="1867" xr:uid="{00000000-0005-0000-0000-0000820D0000}"/>
    <cellStyle name="xHeadGen 4 2" xfId="2297" xr:uid="{00000000-0005-0000-0000-0000830D0000}"/>
    <cellStyle name="xHeadGen 4 2 2" xfId="3181" xr:uid="{00000000-0005-0000-0000-0000840D0000}"/>
    <cellStyle name="xHeadGen 4 2 2 2" xfId="4752" xr:uid="{48BF089D-0FC5-4362-840C-CC813BA02B20}"/>
    <cellStyle name="xHeadGen 4 2 3" xfId="3605" xr:uid="{00000000-0005-0000-0000-0000850D0000}"/>
    <cellStyle name="xHeadGen 4 2 3 2" xfId="5175" xr:uid="{D8950A9C-B39F-4031-8AD4-0928D89DB7C1}"/>
    <cellStyle name="xHeadGen 4 2 4" xfId="3898" xr:uid="{934B3675-32E2-4FDC-8B00-CA41AC00C771}"/>
    <cellStyle name="xHeadGen 4 3" xfId="2835" xr:uid="{00000000-0005-0000-0000-0000860D0000}"/>
    <cellStyle name="xHeadGen 4 3 2" xfId="4414" xr:uid="{830C4FF0-2E11-41BB-B2F6-05003F3238CF}"/>
    <cellStyle name="xHeadGen 4 4" xfId="3271" xr:uid="{00000000-0005-0000-0000-0000870D0000}"/>
    <cellStyle name="xHeadGen 4 4 2" xfId="4842" xr:uid="{B36165F5-5DFF-4DCB-BF9A-D6A44CA9EAAA}"/>
    <cellStyle name="xHeadGen 5" xfId="2294" xr:uid="{00000000-0005-0000-0000-0000880D0000}"/>
    <cellStyle name="xHeadGen 5 2" xfId="3178" xr:uid="{00000000-0005-0000-0000-0000890D0000}"/>
    <cellStyle name="xHeadGen 5 2 2" xfId="4749" xr:uid="{09E29E95-9C3D-4EFD-BB04-CC51DA1BD9CF}"/>
    <cellStyle name="xHeadGen 5 3" xfId="3602" xr:uid="{00000000-0005-0000-0000-00008A0D0000}"/>
    <cellStyle name="xHeadGen 5 3 2" xfId="5172" xr:uid="{B5CB9C4D-EF53-4ACF-9B6A-3677FE4C4615}"/>
    <cellStyle name="xHeadGen 5 4" xfId="3895" xr:uid="{06D87D14-0DDA-4B55-B1D0-1D0922EB30DD}"/>
    <cellStyle name="xHeadGen 6" xfId="2832" xr:uid="{00000000-0005-0000-0000-00008B0D0000}"/>
    <cellStyle name="xHeadGen 6 2" xfId="4411" xr:uid="{80151A57-94E1-44F7-B213-07C5C3C73A0D}"/>
    <cellStyle name="xHeadGen 7" xfId="3268" xr:uid="{00000000-0005-0000-0000-00008C0D0000}"/>
    <cellStyle name="xHeadGen 7 2" xfId="4839" xr:uid="{195202A0-9A97-44B3-8764-A33EBD4471F4}"/>
    <cellStyle name="xHeadMY" xfId="1868" xr:uid="{00000000-0005-0000-0000-00008D0D0000}"/>
    <cellStyle name="xHeadMY 2" xfId="1869" xr:uid="{00000000-0005-0000-0000-00008E0D0000}"/>
    <cellStyle name="xHeadMY 2 2" xfId="2299" xr:uid="{00000000-0005-0000-0000-00008F0D0000}"/>
    <cellStyle name="xHeadMY 2 2 2" xfId="3183" xr:uid="{00000000-0005-0000-0000-0000900D0000}"/>
    <cellStyle name="xHeadMY 2 2 2 2" xfId="4754" xr:uid="{D812C125-885A-473D-B86A-4D803F7BBD2E}"/>
    <cellStyle name="xHeadMY 2 2 3" xfId="3607" xr:uid="{00000000-0005-0000-0000-0000910D0000}"/>
    <cellStyle name="xHeadMY 2 2 3 2" xfId="5177" xr:uid="{7282CA7C-0F06-4690-9EB6-F3D588D526A1}"/>
    <cellStyle name="xHeadMY 2 2 4" xfId="3900" xr:uid="{C9F93023-B253-4300-AE66-CC191D5F64C9}"/>
    <cellStyle name="xHeadMY 2 3" xfId="2837" xr:uid="{00000000-0005-0000-0000-0000920D0000}"/>
    <cellStyle name="xHeadMY 2 3 2" xfId="4416" xr:uid="{A019BEA4-9914-49EB-8FB0-34EEC58D2397}"/>
    <cellStyle name="xHeadMY 2 4" xfId="3273" xr:uid="{00000000-0005-0000-0000-0000930D0000}"/>
    <cellStyle name="xHeadMY 2 4 2" xfId="4844" xr:uid="{9BE9EE87-AAA2-4471-B8DD-98EF6D26DD0A}"/>
    <cellStyle name="xHeadMY 3" xfId="1870" xr:uid="{00000000-0005-0000-0000-0000940D0000}"/>
    <cellStyle name="xHeadMY 3 2" xfId="2300" xr:uid="{00000000-0005-0000-0000-0000950D0000}"/>
    <cellStyle name="xHeadMY 3 2 2" xfId="3184" xr:uid="{00000000-0005-0000-0000-0000960D0000}"/>
    <cellStyle name="xHeadMY 3 2 2 2" xfId="4755" xr:uid="{FFCD0F6B-5680-419D-B78D-32ACD9A8F12A}"/>
    <cellStyle name="xHeadMY 3 2 3" xfId="3608" xr:uid="{00000000-0005-0000-0000-0000970D0000}"/>
    <cellStyle name="xHeadMY 3 2 3 2" xfId="5178" xr:uid="{4200CFAF-8B36-42DC-9652-5EB8B168D86D}"/>
    <cellStyle name="xHeadMY 3 2 4" xfId="3901" xr:uid="{E980F683-A379-4B3E-BA47-C30B824836C2}"/>
    <cellStyle name="xHeadMY 3 3" xfId="2838" xr:uid="{00000000-0005-0000-0000-0000980D0000}"/>
    <cellStyle name="xHeadMY 3 3 2" xfId="4417" xr:uid="{DB33BC8A-A0FF-4478-A70B-FCE4E82D51D1}"/>
    <cellStyle name="xHeadMY 3 4" xfId="3274" xr:uid="{00000000-0005-0000-0000-0000990D0000}"/>
    <cellStyle name="xHeadMY 3 4 2" xfId="4845" xr:uid="{8AD7E2E9-5625-47B7-BCE5-927CF181898C}"/>
    <cellStyle name="xHeadMY 4" xfId="1871" xr:uid="{00000000-0005-0000-0000-00009A0D0000}"/>
    <cellStyle name="xHeadMY 4 2" xfId="2301" xr:uid="{00000000-0005-0000-0000-00009B0D0000}"/>
    <cellStyle name="xHeadMY 4 2 2" xfId="3185" xr:uid="{00000000-0005-0000-0000-00009C0D0000}"/>
    <cellStyle name="xHeadMY 4 2 2 2" xfId="4756" xr:uid="{BD84556F-A977-49B5-BA6E-8343E23DF4BD}"/>
    <cellStyle name="xHeadMY 4 2 3" xfId="3609" xr:uid="{00000000-0005-0000-0000-00009D0D0000}"/>
    <cellStyle name="xHeadMY 4 2 3 2" xfId="5179" xr:uid="{02BA6D64-D9DC-4611-AA9D-AC93BE43B510}"/>
    <cellStyle name="xHeadMY 4 2 4" xfId="3902" xr:uid="{C4C18853-4291-41D2-85B9-1FE53BEAB41F}"/>
    <cellStyle name="xHeadMY 4 3" xfId="2839" xr:uid="{00000000-0005-0000-0000-00009E0D0000}"/>
    <cellStyle name="xHeadMY 4 3 2" xfId="4418" xr:uid="{BD0BA99A-C32E-4F45-AC01-3E6E8074D5BF}"/>
    <cellStyle name="xHeadMY 4 4" xfId="3275" xr:uid="{00000000-0005-0000-0000-00009F0D0000}"/>
    <cellStyle name="xHeadMY 4 4 2" xfId="4846" xr:uid="{1C79973C-FD29-4CB6-9BEF-61751F8AB49C}"/>
    <cellStyle name="xHeadMY 5" xfId="2298" xr:uid="{00000000-0005-0000-0000-0000A00D0000}"/>
    <cellStyle name="xHeadMY 5 2" xfId="3182" xr:uid="{00000000-0005-0000-0000-0000A10D0000}"/>
    <cellStyle name="xHeadMY 5 2 2" xfId="4753" xr:uid="{C4D7CCAB-9560-4007-9BF4-4B6D50A7522D}"/>
    <cellStyle name="xHeadMY 5 3" xfId="3606" xr:uid="{00000000-0005-0000-0000-0000A20D0000}"/>
    <cellStyle name="xHeadMY 5 3 2" xfId="5176" xr:uid="{6C2952A4-03A0-45F2-AAC9-06366E1852B1}"/>
    <cellStyle name="xHeadMY 5 4" xfId="3899" xr:uid="{FBA603D3-8BD2-4FD3-8266-12114859E116}"/>
    <cellStyle name="xHeadMY 6" xfId="2836" xr:uid="{00000000-0005-0000-0000-0000A30D0000}"/>
    <cellStyle name="xHeadMY 6 2" xfId="4415" xr:uid="{89CDF745-9AB7-402C-9464-1628E7408BE5}"/>
    <cellStyle name="xHeadMY 7" xfId="3272" xr:uid="{00000000-0005-0000-0000-0000A40D0000}"/>
    <cellStyle name="xHeadMY 7 2" xfId="4843" xr:uid="{FE7A6E67-2A75-438F-A4AB-B6AC89B95387}"/>
    <cellStyle name="xHeadRange" xfId="1872" xr:uid="{00000000-0005-0000-0000-0000A50D0000}"/>
    <cellStyle name="xHeadRange 2" xfId="1873" xr:uid="{00000000-0005-0000-0000-0000A60D0000}"/>
    <cellStyle name="xHeadRange 2 2" xfId="2303" xr:uid="{00000000-0005-0000-0000-0000A70D0000}"/>
    <cellStyle name="xHeadRange 2 2 2" xfId="3187" xr:uid="{00000000-0005-0000-0000-0000A80D0000}"/>
    <cellStyle name="xHeadRange 2 2 2 2" xfId="4758" xr:uid="{B67954D1-9E09-485C-8941-C32CF62D3941}"/>
    <cellStyle name="xHeadRange 2 2 3" xfId="3611" xr:uid="{00000000-0005-0000-0000-0000A90D0000}"/>
    <cellStyle name="xHeadRange 2 2 3 2" xfId="5181" xr:uid="{C951A591-88A1-4FDC-A6FE-9B7DFDC70859}"/>
    <cellStyle name="xHeadRange 2 2 4" xfId="3904" xr:uid="{07436738-0D6E-4BE7-9DA6-D9DB077B54C1}"/>
    <cellStyle name="xHeadRange 2 3" xfId="2841" xr:uid="{00000000-0005-0000-0000-0000AA0D0000}"/>
    <cellStyle name="xHeadRange 2 3 2" xfId="4420" xr:uid="{A06D103A-B906-494C-ABE5-AB331071B441}"/>
    <cellStyle name="xHeadRange 2 4" xfId="3277" xr:uid="{00000000-0005-0000-0000-0000AB0D0000}"/>
    <cellStyle name="xHeadRange 2 4 2" xfId="4848" xr:uid="{EEFFA29D-4FD4-4A62-9ECE-63AC9DF45F7D}"/>
    <cellStyle name="xHeadRange 3" xfId="1874" xr:uid="{00000000-0005-0000-0000-0000AC0D0000}"/>
    <cellStyle name="xHeadRange 3 2" xfId="2304" xr:uid="{00000000-0005-0000-0000-0000AD0D0000}"/>
    <cellStyle name="xHeadRange 3 2 2" xfId="3188" xr:uid="{00000000-0005-0000-0000-0000AE0D0000}"/>
    <cellStyle name="xHeadRange 3 2 2 2" xfId="4759" xr:uid="{0D5A96B6-05C6-4CF3-925B-98D2A5C75E09}"/>
    <cellStyle name="xHeadRange 3 2 3" xfId="3612" xr:uid="{00000000-0005-0000-0000-0000AF0D0000}"/>
    <cellStyle name="xHeadRange 3 2 3 2" xfId="5182" xr:uid="{54292D6F-6921-440E-9CA9-379C838FD007}"/>
    <cellStyle name="xHeadRange 3 2 4" xfId="3905" xr:uid="{CC0671DA-98A3-43FE-AB00-2D69D19F8C8A}"/>
    <cellStyle name="xHeadRange 3 3" xfId="2842" xr:uid="{00000000-0005-0000-0000-0000B00D0000}"/>
    <cellStyle name="xHeadRange 3 3 2" xfId="4421" xr:uid="{F3948E5C-5F83-437A-87B7-0FBE548D9197}"/>
    <cellStyle name="xHeadRange 3 4" xfId="3278" xr:uid="{00000000-0005-0000-0000-0000B10D0000}"/>
    <cellStyle name="xHeadRange 3 4 2" xfId="4849" xr:uid="{D6554B22-8BFE-4AC0-86F1-32C32C3DE5B7}"/>
    <cellStyle name="xHeadRange 4" xfId="1875" xr:uid="{00000000-0005-0000-0000-0000B20D0000}"/>
    <cellStyle name="xHeadRange 4 2" xfId="2305" xr:uid="{00000000-0005-0000-0000-0000B30D0000}"/>
    <cellStyle name="xHeadRange 4 2 2" xfId="3189" xr:uid="{00000000-0005-0000-0000-0000B40D0000}"/>
    <cellStyle name="xHeadRange 4 2 2 2" xfId="4760" xr:uid="{06B1D0B8-5524-4107-8A89-DB9641F45702}"/>
    <cellStyle name="xHeadRange 4 2 3" xfId="3613" xr:uid="{00000000-0005-0000-0000-0000B50D0000}"/>
    <cellStyle name="xHeadRange 4 2 3 2" xfId="5183" xr:uid="{9FF53E48-8CAD-4246-A10D-B44FA65946BE}"/>
    <cellStyle name="xHeadRange 4 2 4" xfId="3906" xr:uid="{2B78D4F9-60F8-4B47-8D57-93FCB1785323}"/>
    <cellStyle name="xHeadRange 4 3" xfId="2843" xr:uid="{00000000-0005-0000-0000-0000B60D0000}"/>
    <cellStyle name="xHeadRange 4 3 2" xfId="4422" xr:uid="{5F28D4B0-570B-480B-9FE4-5E536C0EF277}"/>
    <cellStyle name="xHeadRange 4 4" xfId="3279" xr:uid="{00000000-0005-0000-0000-0000B70D0000}"/>
    <cellStyle name="xHeadRange 4 4 2" xfId="4850" xr:uid="{3FEDF5C7-C343-47D4-A6AB-2C26745A7842}"/>
    <cellStyle name="xHeadRange 5" xfId="2302" xr:uid="{00000000-0005-0000-0000-0000B80D0000}"/>
    <cellStyle name="xHeadRange 5 2" xfId="3186" xr:uid="{00000000-0005-0000-0000-0000B90D0000}"/>
    <cellStyle name="xHeadRange 5 2 2" xfId="4757" xr:uid="{4A38522D-78BE-441C-9AD3-19D22FFEC39C}"/>
    <cellStyle name="xHeadRange 5 3" xfId="3610" xr:uid="{00000000-0005-0000-0000-0000BA0D0000}"/>
    <cellStyle name="xHeadRange 5 3 2" xfId="5180" xr:uid="{A994FFC8-9DC2-44FB-B43F-2C308051AD47}"/>
    <cellStyle name="xHeadRange 5 4" xfId="3903" xr:uid="{BB3010A5-1BF3-4C3A-A6CB-25A1EDC15A22}"/>
    <cellStyle name="xHeadRange 6" xfId="2840" xr:uid="{00000000-0005-0000-0000-0000BB0D0000}"/>
    <cellStyle name="xHeadRange 6 2" xfId="4419" xr:uid="{F462363B-9F1A-40F2-A7C7-C4E6FBD18111}"/>
    <cellStyle name="xHeadRange 7" xfId="3276" xr:uid="{00000000-0005-0000-0000-0000BC0D0000}"/>
    <cellStyle name="xHeadRange 7 2" xfId="4847" xr:uid="{ACCC0B7C-0344-4588-8F9E-D3A959953B02}"/>
    <cellStyle name="xHeadSm" xfId="1876" xr:uid="{00000000-0005-0000-0000-0000BD0D0000}"/>
    <cellStyle name="xHeadSm 2" xfId="1877" xr:uid="{00000000-0005-0000-0000-0000BE0D0000}"/>
    <cellStyle name="xHeadSm 2 2" xfId="2307" xr:uid="{00000000-0005-0000-0000-0000BF0D0000}"/>
    <cellStyle name="xHeadSm 2 2 2" xfId="3191" xr:uid="{00000000-0005-0000-0000-0000C00D0000}"/>
    <cellStyle name="xHeadSm 2 2 2 2" xfId="4762" xr:uid="{4A147AD1-B687-4456-B965-2FDB43DA7346}"/>
    <cellStyle name="xHeadSm 2 2 3" xfId="3615" xr:uid="{00000000-0005-0000-0000-0000C10D0000}"/>
    <cellStyle name="xHeadSm 2 2 3 2" xfId="5185" xr:uid="{8EBF21C7-784B-47BA-A879-5AF7DC5C69F5}"/>
    <cellStyle name="xHeadSm 2 2 4" xfId="3908" xr:uid="{1F626C14-0476-45DB-919A-490EB61F265B}"/>
    <cellStyle name="xHeadSm 2 3" xfId="2845" xr:uid="{00000000-0005-0000-0000-0000C20D0000}"/>
    <cellStyle name="xHeadSm 2 3 2" xfId="4424" xr:uid="{E077AA2A-866D-4AC4-8BE7-3539E9171B11}"/>
    <cellStyle name="xHeadSm 2 4" xfId="3281" xr:uid="{00000000-0005-0000-0000-0000C30D0000}"/>
    <cellStyle name="xHeadSm 2 4 2" xfId="4852" xr:uid="{3329952E-CB18-4520-9EBD-D687F5B2E268}"/>
    <cellStyle name="xHeadSm 3" xfId="1878" xr:uid="{00000000-0005-0000-0000-0000C40D0000}"/>
    <cellStyle name="xHeadSm 3 2" xfId="2308" xr:uid="{00000000-0005-0000-0000-0000C50D0000}"/>
    <cellStyle name="xHeadSm 3 2 2" xfId="3192" xr:uid="{00000000-0005-0000-0000-0000C60D0000}"/>
    <cellStyle name="xHeadSm 3 2 2 2" xfId="4763" xr:uid="{3FB4673E-27AC-4C8D-80C0-F0F68D167AE4}"/>
    <cellStyle name="xHeadSm 3 2 3" xfId="3616" xr:uid="{00000000-0005-0000-0000-0000C70D0000}"/>
    <cellStyle name="xHeadSm 3 2 3 2" xfId="5186" xr:uid="{103856EC-7452-4827-B3F5-E9D36CF6E8C3}"/>
    <cellStyle name="xHeadSm 3 2 4" xfId="3909" xr:uid="{3B82B097-D5B0-4608-AD13-7D3564AB65D1}"/>
    <cellStyle name="xHeadSm 3 3" xfId="2846" xr:uid="{00000000-0005-0000-0000-0000C80D0000}"/>
    <cellStyle name="xHeadSm 3 3 2" xfId="4425" xr:uid="{30B1B529-193A-4BBE-AC8E-6DFF4870C67F}"/>
    <cellStyle name="xHeadSm 3 4" xfId="3282" xr:uid="{00000000-0005-0000-0000-0000C90D0000}"/>
    <cellStyle name="xHeadSm 3 4 2" xfId="4853" xr:uid="{9C60BA68-9F30-4217-ACCD-90E7915C4F6B}"/>
    <cellStyle name="xHeadSm 4" xfId="1879" xr:uid="{00000000-0005-0000-0000-0000CA0D0000}"/>
    <cellStyle name="xHeadSm 4 2" xfId="2309" xr:uid="{00000000-0005-0000-0000-0000CB0D0000}"/>
    <cellStyle name="xHeadSm 4 2 2" xfId="3193" xr:uid="{00000000-0005-0000-0000-0000CC0D0000}"/>
    <cellStyle name="xHeadSm 4 2 2 2" xfId="4764" xr:uid="{79470B15-C75C-42D0-94B7-0827C724DD43}"/>
    <cellStyle name="xHeadSm 4 2 3" xfId="3617" xr:uid="{00000000-0005-0000-0000-0000CD0D0000}"/>
    <cellStyle name="xHeadSm 4 2 3 2" xfId="5187" xr:uid="{25AC12D8-8815-4FD8-8D1D-8978CA309C89}"/>
    <cellStyle name="xHeadSm 4 2 4" xfId="3910" xr:uid="{B82AF776-64C7-4AE7-8065-426F9294C147}"/>
    <cellStyle name="xHeadSm 4 3" xfId="2847" xr:uid="{00000000-0005-0000-0000-0000CE0D0000}"/>
    <cellStyle name="xHeadSm 4 3 2" xfId="4426" xr:uid="{90F2CE34-420A-4785-86B1-0DA3CBC4B95C}"/>
    <cellStyle name="xHeadSm 4 4" xfId="3283" xr:uid="{00000000-0005-0000-0000-0000CF0D0000}"/>
    <cellStyle name="xHeadSm 4 4 2" xfId="4854" xr:uid="{230D67B2-3844-4DFA-AFA3-537CB26658A0}"/>
    <cellStyle name="xHeadSm 5" xfId="2306" xr:uid="{00000000-0005-0000-0000-0000D00D0000}"/>
    <cellStyle name="xHeadSm 5 2" xfId="3190" xr:uid="{00000000-0005-0000-0000-0000D10D0000}"/>
    <cellStyle name="xHeadSm 5 2 2" xfId="4761" xr:uid="{49F1A073-3958-40B8-B358-94E75F787C35}"/>
    <cellStyle name="xHeadSm 5 3" xfId="3614" xr:uid="{00000000-0005-0000-0000-0000D20D0000}"/>
    <cellStyle name="xHeadSm 5 3 2" xfId="5184" xr:uid="{459E6EB0-9CC8-422B-84A1-5B7D4D27873D}"/>
    <cellStyle name="xHeadSm 5 4" xfId="3907" xr:uid="{BBFB5D75-294E-4845-B717-6B547AA22020}"/>
    <cellStyle name="xHeadSm 6" xfId="2844" xr:uid="{00000000-0005-0000-0000-0000D30D0000}"/>
    <cellStyle name="xHeadSm 6 2" xfId="4423" xr:uid="{A710F8D7-D727-4424-9CAC-A15974F93B66}"/>
    <cellStyle name="xHeadSm 7" xfId="3280" xr:uid="{00000000-0005-0000-0000-0000D40D0000}"/>
    <cellStyle name="xHeadSm 7 2" xfId="4851" xr:uid="{6FCC8BAB-6513-4BFD-80ED-8FA336A052AA}"/>
    <cellStyle name="xHeadVer" xfId="1880" xr:uid="{00000000-0005-0000-0000-0000D50D0000}"/>
    <cellStyle name="xHeadVer 2" xfId="1881" xr:uid="{00000000-0005-0000-0000-0000D60D0000}"/>
    <cellStyle name="xHeadVer 2 2" xfId="2311" xr:uid="{00000000-0005-0000-0000-0000D70D0000}"/>
    <cellStyle name="xHeadVer 2 2 2" xfId="3195" xr:uid="{00000000-0005-0000-0000-0000D80D0000}"/>
    <cellStyle name="xHeadVer 2 2 2 2" xfId="4766" xr:uid="{6E177838-8615-402D-BB30-C74462DDAD7A}"/>
    <cellStyle name="xHeadVer 2 2 3" xfId="3619" xr:uid="{00000000-0005-0000-0000-0000D90D0000}"/>
    <cellStyle name="xHeadVer 2 2 3 2" xfId="5189" xr:uid="{17B8129B-E764-436E-A0E7-D2C6CD4B9984}"/>
    <cellStyle name="xHeadVer 2 2 4" xfId="3912" xr:uid="{9189060B-780B-42BF-B41B-ECE405BC1CB8}"/>
    <cellStyle name="xHeadVer 2 3" xfId="2849" xr:uid="{00000000-0005-0000-0000-0000DA0D0000}"/>
    <cellStyle name="xHeadVer 2 3 2" xfId="4428" xr:uid="{1018CC39-8B54-4A7C-BAC0-3649C86EE998}"/>
    <cellStyle name="xHeadVer 2 4" xfId="3285" xr:uid="{00000000-0005-0000-0000-0000DB0D0000}"/>
    <cellStyle name="xHeadVer 2 4 2" xfId="4856" xr:uid="{2E207755-7509-47BD-A780-9CE259E660F4}"/>
    <cellStyle name="xHeadVer 3" xfId="1882" xr:uid="{00000000-0005-0000-0000-0000DC0D0000}"/>
    <cellStyle name="xHeadVer 3 2" xfId="2312" xr:uid="{00000000-0005-0000-0000-0000DD0D0000}"/>
    <cellStyle name="xHeadVer 3 2 2" xfId="3196" xr:uid="{00000000-0005-0000-0000-0000DE0D0000}"/>
    <cellStyle name="xHeadVer 3 2 2 2" xfId="4767" xr:uid="{A69A7A36-5EE8-4FF9-87BA-AAD054B9004F}"/>
    <cellStyle name="xHeadVer 3 2 3" xfId="3620" xr:uid="{00000000-0005-0000-0000-0000DF0D0000}"/>
    <cellStyle name="xHeadVer 3 2 3 2" xfId="5190" xr:uid="{FDA2B092-FFF5-47E0-A6BB-E7903DCCB692}"/>
    <cellStyle name="xHeadVer 3 2 4" xfId="3913" xr:uid="{2CB095EC-06BC-4427-94E1-362CB0413875}"/>
    <cellStyle name="xHeadVer 3 3" xfId="2850" xr:uid="{00000000-0005-0000-0000-0000E00D0000}"/>
    <cellStyle name="xHeadVer 3 3 2" xfId="4429" xr:uid="{EC44BD79-5760-49D8-9098-8563AAFBD16E}"/>
    <cellStyle name="xHeadVer 3 4" xfId="3286" xr:uid="{00000000-0005-0000-0000-0000E10D0000}"/>
    <cellStyle name="xHeadVer 3 4 2" xfId="4857" xr:uid="{6EE1A926-DED7-49DA-8660-C14E4A8B57C6}"/>
    <cellStyle name="xHeadVer 4" xfId="1883" xr:uid="{00000000-0005-0000-0000-0000E20D0000}"/>
    <cellStyle name="xHeadVer 4 2" xfId="2313" xr:uid="{00000000-0005-0000-0000-0000E30D0000}"/>
    <cellStyle name="xHeadVer 4 2 2" xfId="3197" xr:uid="{00000000-0005-0000-0000-0000E40D0000}"/>
    <cellStyle name="xHeadVer 4 2 2 2" xfId="4768" xr:uid="{517C9875-C52A-4B60-B887-D31E44EC47F7}"/>
    <cellStyle name="xHeadVer 4 2 3" xfId="3621" xr:uid="{00000000-0005-0000-0000-0000E50D0000}"/>
    <cellStyle name="xHeadVer 4 2 3 2" xfId="5191" xr:uid="{8D61AB70-1D7A-44D0-A2D9-74140FEABC4D}"/>
    <cellStyle name="xHeadVer 4 2 4" xfId="3914" xr:uid="{3865607E-684C-4768-A3C2-0AAC34BD49D5}"/>
    <cellStyle name="xHeadVer 4 3" xfId="2851" xr:uid="{00000000-0005-0000-0000-0000E60D0000}"/>
    <cellStyle name="xHeadVer 4 3 2" xfId="4430" xr:uid="{DB0C959D-B465-441D-8B31-246BD04ECC4F}"/>
    <cellStyle name="xHeadVer 4 4" xfId="3287" xr:uid="{00000000-0005-0000-0000-0000E70D0000}"/>
    <cellStyle name="xHeadVer 4 4 2" xfId="4858" xr:uid="{08E1832E-CFCA-403E-84F4-8235F67D829B}"/>
    <cellStyle name="xHeadVer 5" xfId="2310" xr:uid="{00000000-0005-0000-0000-0000E80D0000}"/>
    <cellStyle name="xHeadVer 5 2" xfId="3194" xr:uid="{00000000-0005-0000-0000-0000E90D0000}"/>
    <cellStyle name="xHeadVer 5 2 2" xfId="4765" xr:uid="{303C8F51-B754-4C53-B051-72AC45C345E0}"/>
    <cellStyle name="xHeadVer 5 3" xfId="3618" xr:uid="{00000000-0005-0000-0000-0000EA0D0000}"/>
    <cellStyle name="xHeadVer 5 3 2" xfId="5188" xr:uid="{E89DB1AF-1155-45B1-8A53-1797BB5958EA}"/>
    <cellStyle name="xHeadVer 5 4" xfId="3911" xr:uid="{81A5DEC1-891E-41A4-982F-930C4246EB98}"/>
    <cellStyle name="xHeadVer 6" xfId="2848" xr:uid="{00000000-0005-0000-0000-0000EB0D0000}"/>
    <cellStyle name="xHeadVer 6 2" xfId="4427" xr:uid="{F270C32C-9447-4131-8D6C-DD045DE38C63}"/>
    <cellStyle name="xHeadVer 7" xfId="3284" xr:uid="{00000000-0005-0000-0000-0000EC0D0000}"/>
    <cellStyle name="xHeadVer 7 2" xfId="4855" xr:uid="{B71EF474-7B86-4946-9305-D38DFB320501}"/>
    <cellStyle name="xHeadY" xfId="1884" xr:uid="{00000000-0005-0000-0000-0000ED0D0000}"/>
    <cellStyle name="xHeadY 2" xfId="1885" xr:uid="{00000000-0005-0000-0000-0000EE0D0000}"/>
    <cellStyle name="xHeadY 2 2" xfId="2315" xr:uid="{00000000-0005-0000-0000-0000EF0D0000}"/>
    <cellStyle name="xHeadY 2 2 2" xfId="3199" xr:uid="{00000000-0005-0000-0000-0000F00D0000}"/>
    <cellStyle name="xHeadY 2 2 2 2" xfId="4770" xr:uid="{D86B0543-BDD4-4928-BFF0-09113EF29DAB}"/>
    <cellStyle name="xHeadY 2 2 3" xfId="3623" xr:uid="{00000000-0005-0000-0000-0000F10D0000}"/>
    <cellStyle name="xHeadY 2 2 3 2" xfId="5193" xr:uid="{61D96B89-A603-4D98-BF8B-85F1F2BD6C23}"/>
    <cellStyle name="xHeadY 2 2 4" xfId="3916" xr:uid="{1AF55BBE-F49C-46FB-93E3-74F7FA596DDE}"/>
    <cellStyle name="xHeadY 2 3" xfId="2853" xr:uid="{00000000-0005-0000-0000-0000F20D0000}"/>
    <cellStyle name="xHeadY 2 3 2" xfId="4432" xr:uid="{586FA1A8-076A-4A08-9156-44B783002789}"/>
    <cellStyle name="xHeadY 2 4" xfId="3289" xr:uid="{00000000-0005-0000-0000-0000F30D0000}"/>
    <cellStyle name="xHeadY 2 4 2" xfId="4860" xr:uid="{05257B21-CA92-458A-BDD0-6C91CC5CC75A}"/>
    <cellStyle name="xHeadY 3" xfId="1886" xr:uid="{00000000-0005-0000-0000-0000F40D0000}"/>
    <cellStyle name="xHeadY 3 2" xfId="2316" xr:uid="{00000000-0005-0000-0000-0000F50D0000}"/>
    <cellStyle name="xHeadY 3 2 2" xfId="3200" xr:uid="{00000000-0005-0000-0000-0000F60D0000}"/>
    <cellStyle name="xHeadY 3 2 2 2" xfId="4771" xr:uid="{C737BE9A-B9AD-4DA2-B68D-D0D0F2EDFF7D}"/>
    <cellStyle name="xHeadY 3 2 3" xfId="3624" xr:uid="{00000000-0005-0000-0000-0000F70D0000}"/>
    <cellStyle name="xHeadY 3 2 3 2" xfId="5194" xr:uid="{2DC6F2FF-47CB-4B27-8E4A-214C295D66AD}"/>
    <cellStyle name="xHeadY 3 2 4" xfId="3917" xr:uid="{8C19383E-891A-4BBE-9A9D-8B50F1D8DF1C}"/>
    <cellStyle name="xHeadY 3 3" xfId="2854" xr:uid="{00000000-0005-0000-0000-0000F80D0000}"/>
    <cellStyle name="xHeadY 3 3 2" xfId="4433" xr:uid="{334F4DBE-616F-4732-9B03-93080ED6E3E8}"/>
    <cellStyle name="xHeadY 3 4" xfId="3290" xr:uid="{00000000-0005-0000-0000-0000F90D0000}"/>
    <cellStyle name="xHeadY 3 4 2" xfId="4861" xr:uid="{9519D231-E633-43E9-9B20-69FCD96EC9C9}"/>
    <cellStyle name="xHeadY 4" xfId="1887" xr:uid="{00000000-0005-0000-0000-0000FA0D0000}"/>
    <cellStyle name="xHeadY 4 2" xfId="2317" xr:uid="{00000000-0005-0000-0000-0000FB0D0000}"/>
    <cellStyle name="xHeadY 4 2 2" xfId="3201" xr:uid="{00000000-0005-0000-0000-0000FC0D0000}"/>
    <cellStyle name="xHeadY 4 2 2 2" xfId="4772" xr:uid="{F8EFFD29-2CCA-4C5A-97CE-7398675C0AA3}"/>
    <cellStyle name="xHeadY 4 2 3" xfId="3625" xr:uid="{00000000-0005-0000-0000-0000FD0D0000}"/>
    <cellStyle name="xHeadY 4 2 3 2" xfId="5195" xr:uid="{EBFB9779-FD4A-4AEF-BCB4-BBF8BAFFC805}"/>
    <cellStyle name="xHeadY 4 2 4" xfId="3918" xr:uid="{70682E28-CBE8-4E68-A241-C18663112491}"/>
    <cellStyle name="xHeadY 4 3" xfId="2855" xr:uid="{00000000-0005-0000-0000-0000FE0D0000}"/>
    <cellStyle name="xHeadY 4 3 2" xfId="4434" xr:uid="{98AD694C-8347-44E9-BDC5-3A916CD8CCBD}"/>
    <cellStyle name="xHeadY 4 4" xfId="3291" xr:uid="{00000000-0005-0000-0000-0000FF0D0000}"/>
    <cellStyle name="xHeadY 4 4 2" xfId="4862" xr:uid="{3600E864-2109-49B1-BB57-8A052E1E008D}"/>
    <cellStyle name="xHeadY 5" xfId="2314" xr:uid="{00000000-0005-0000-0000-0000000E0000}"/>
    <cellStyle name="xHeadY 5 2" xfId="3198" xr:uid="{00000000-0005-0000-0000-0000010E0000}"/>
    <cellStyle name="xHeadY 5 2 2" xfId="4769" xr:uid="{8EE27BAA-C1D0-438B-82F5-BC63F93BBAB6}"/>
    <cellStyle name="xHeadY 5 3" xfId="3622" xr:uid="{00000000-0005-0000-0000-0000020E0000}"/>
    <cellStyle name="xHeadY 5 3 2" xfId="5192" xr:uid="{165CE06C-BB77-4B97-98B6-E3529E600E69}"/>
    <cellStyle name="xHeadY 5 4" xfId="3915" xr:uid="{4A661E56-D217-4642-A071-1AA397166BEE}"/>
    <cellStyle name="xHeadY 6" xfId="2852" xr:uid="{00000000-0005-0000-0000-0000030E0000}"/>
    <cellStyle name="xHeadY 6 2" xfId="4431" xr:uid="{F0EDFC59-CCBC-486C-84B1-18D2263187D1}"/>
    <cellStyle name="xHeadY 7" xfId="3288" xr:uid="{00000000-0005-0000-0000-0000040E0000}"/>
    <cellStyle name="xHeadY 7 2" xfId="4859" xr:uid="{0E13DAD2-24C4-451B-A8AD-D6D499464A3B}"/>
    <cellStyle name="xRangeName" xfId="1888" xr:uid="{00000000-0005-0000-0000-0000050E0000}"/>
    <cellStyle name="xstyle" xfId="1889" xr:uid="{00000000-0005-0000-0000-0000060E0000}"/>
    <cellStyle name="xTitle" xfId="1890" xr:uid="{00000000-0005-0000-0000-0000070E0000}"/>
    <cellStyle name="Year" xfId="1891" xr:uid="{00000000-0005-0000-0000-0000080E0000}"/>
    <cellStyle name="Year 2" xfId="1892" xr:uid="{00000000-0005-0000-0000-0000090E0000}"/>
    <cellStyle name="Year, Actual" xfId="1893" xr:uid="{00000000-0005-0000-0000-00000A0E0000}"/>
    <cellStyle name="Year, Expected" xfId="1894" xr:uid="{00000000-0005-0000-0000-00000B0E0000}"/>
    <cellStyle name="Year_050301 Camel operational model V1" xfId="1895" xr:uid="{00000000-0005-0000-0000-00000C0E0000}"/>
    <cellStyle name="yeardate" xfId="1896" xr:uid="{00000000-0005-0000-0000-00000D0E0000}"/>
    <cellStyle name="YearFormat" xfId="1897" xr:uid="{00000000-0005-0000-0000-00000E0E0000}"/>
    <cellStyle name="YearFormat 2" xfId="1898" xr:uid="{00000000-0005-0000-0000-00000F0E0000}"/>
    <cellStyle name="years" xfId="1899" xr:uid="{00000000-0005-0000-0000-0000100E0000}"/>
    <cellStyle name="yellow" xfId="1900" xr:uid="{00000000-0005-0000-0000-0000110E0000}"/>
    <cellStyle name="Yen" xfId="1901" xr:uid="{00000000-0005-0000-0000-0000120E0000}"/>
    <cellStyle name="yes" xfId="1902" xr:uid="{00000000-0005-0000-0000-0000130E0000}"/>
    <cellStyle name="yes 2" xfId="1903" xr:uid="{00000000-0005-0000-0000-0000140E0000}"/>
    <cellStyle name="yes 2 2" xfId="2319" xr:uid="{00000000-0005-0000-0000-0000150E0000}"/>
    <cellStyle name="yes 2 2 2" xfId="3203" xr:uid="{00000000-0005-0000-0000-0000160E0000}"/>
    <cellStyle name="yes 2 2 2 2" xfId="4774" xr:uid="{E87E13DD-F413-4978-AA2F-901E81C84BBD}"/>
    <cellStyle name="yes 2 2 3" xfId="3627" xr:uid="{00000000-0005-0000-0000-0000170E0000}"/>
    <cellStyle name="yes 2 2 3 2" xfId="5197" xr:uid="{A333FF19-E922-4E07-8C75-C8D8933D4251}"/>
    <cellStyle name="yes 2 3" xfId="2857" xr:uid="{00000000-0005-0000-0000-0000180E0000}"/>
    <cellStyle name="yes 2 3 2" xfId="4436" xr:uid="{E7FC0BAD-066C-4F8B-93C6-A0DBCD7B3520}"/>
    <cellStyle name="yes 3" xfId="2318" xr:uid="{00000000-0005-0000-0000-0000190E0000}"/>
    <cellStyle name="yes 3 2" xfId="3202" xr:uid="{00000000-0005-0000-0000-00001A0E0000}"/>
    <cellStyle name="yes 3 2 2" xfId="4773" xr:uid="{073142EB-150E-48D1-A23B-714BE938F4F4}"/>
    <cellStyle name="yes 3 3" xfId="3626" xr:uid="{00000000-0005-0000-0000-00001B0E0000}"/>
    <cellStyle name="yes 3 3 2" xfId="5196" xr:uid="{21C2FFB3-F6F0-4109-A248-279CFA8DEB41}"/>
    <cellStyle name="yes 4" xfId="2856" xr:uid="{00000000-0005-0000-0000-00001C0E0000}"/>
    <cellStyle name="yes 4 2" xfId="4435" xr:uid="{EC8950CE-19AA-4D8E-9421-066CFF00BB6E}"/>
    <cellStyle name="Zahl" xfId="1904" xr:uid="{00000000-0005-0000-0000-00001D0E0000}"/>
    <cellStyle name="Zahl1" xfId="1905" xr:uid="{00000000-0005-0000-0000-00001E0E0000}"/>
    <cellStyle name="zInput2" xfId="1906" xr:uid="{00000000-0005-0000-0000-00001F0E0000}"/>
    <cellStyle name="zLink" xfId="1907" xr:uid="{00000000-0005-0000-0000-0000200E0000}"/>
    <cellStyle name="Βασικό_cosmote us gaap 30.12.2000TEST1" xfId="1908" xr:uid="{00000000-0005-0000-0000-0000210E0000}"/>
    <cellStyle name="Обычный_Budget_2001" xfId="1909" xr:uid="{00000000-0005-0000-0000-0000220E0000}"/>
    <cellStyle name="Тысячи [0]_SWISS" xfId="1910" xr:uid="{00000000-0005-0000-0000-0000230E0000}"/>
    <cellStyle name="Тысячи_SWISS" xfId="1911" xr:uid="{00000000-0005-0000-0000-0000240E0000}"/>
    <cellStyle name="パーセント_QTBLNEW" xfId="1912" xr:uid="{00000000-0005-0000-0000-0000250E0000}"/>
    <cellStyle name="一般_3yr_13Oct" xfId="1913" xr:uid="{00000000-0005-0000-0000-0000260E0000}"/>
    <cellStyle name="千分位[0]_3yr_13Oct" xfId="1914" xr:uid="{00000000-0005-0000-0000-0000270E0000}"/>
    <cellStyle name="千分位_3yr_13Oct" xfId="1915" xr:uid="{00000000-0005-0000-0000-0000280E0000}"/>
    <cellStyle name="未定義" xfId="1916" xr:uid="{00000000-0005-0000-0000-0000290E0000}"/>
    <cellStyle name="桁区切り [0.00]_CAW17_Japan Financial Model_v9 Consolidated Asia Adjusted" xfId="1917" xr:uid="{00000000-0005-0000-0000-00002A0E0000}"/>
    <cellStyle name="桁区切り_CAW17_Japan Financial Model_v9 Consolidated Asia Adjusted" xfId="1918" xr:uid="{00000000-0005-0000-0000-00002B0E0000}"/>
    <cellStyle name="標準_2004_05AOP_1st cut_Business Markets Rev&amp;GM" xfId="1919" xr:uid="{00000000-0005-0000-0000-00002C0E0000}"/>
    <cellStyle name="貨幣 [0]_3yr_13Oct" xfId="1920" xr:uid="{00000000-0005-0000-0000-00002D0E0000}"/>
    <cellStyle name="貨幣_3yr_13Oct" xfId="1921" xr:uid="{00000000-0005-0000-0000-00002E0E0000}"/>
    <cellStyle name="通貨 [0.00]_PL&amp;BS" xfId="1922" xr:uid="{00000000-0005-0000-0000-00002F0E0000}"/>
    <cellStyle name="通貨_PL&amp;BS" xfId="1923" xr:uid="{00000000-0005-0000-0000-0000300E0000}"/>
  </cellStyles>
  <dxfs count="30">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bottom style="thin">
          <color theme="1"/>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border outline="0">
        <bottom style="thin">
          <color theme="1"/>
        </bottom>
      </border>
    </dxf>
    <dxf>
      <border outline="0">
        <bottom style="thin">
          <color theme="1"/>
        </bottom>
      </border>
    </dxf>
    <dxf>
      <border outline="0">
        <bottom style="thin">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114300</xdr:rowOff>
    </xdr:from>
    <xdr:to>
      <xdr:col>3</xdr:col>
      <xdr:colOff>3175</xdr:colOff>
      <xdr:row>3</xdr:row>
      <xdr:rowOff>1607820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59080" y="297180"/>
          <a:ext cx="10930255" cy="185928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t>This document covers cBOM calculation and Capacity Statements for Containerized Network Functions</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1"/>
        </a:p>
        <a:p>
          <a:r>
            <a:rPr lang="en-GB" sz="1100"/>
            <a:t>This document</a:t>
          </a:r>
          <a:r>
            <a:rPr lang="en-GB" sz="1100" baseline="0"/>
            <a:t> includes :</a:t>
          </a:r>
        </a:p>
        <a:p>
          <a:endParaRPr lang="en-GB" sz="1100" baseline="0"/>
        </a:p>
        <a:p>
          <a:r>
            <a:rPr lang="en-GB" sz="1100" baseline="0">
              <a:solidFill>
                <a:schemeClr val="dk1"/>
              </a:solidFill>
              <a:effectLst/>
              <a:latin typeface="+mn-lt"/>
              <a:ea typeface="+mn-ea"/>
              <a:cs typeface="+mn-cs"/>
            </a:rPr>
            <a:t>• TAB in GREEN: explains the requirement to submit all relevant cBOMs and per-POD-type Capacity Statements, and Min/Max CNF instance cBOMs and Capacity Statements</a:t>
          </a:r>
          <a:endParaRPr lang="en-GB" sz="1100" baseline="0"/>
        </a:p>
        <a:p>
          <a:r>
            <a:rPr lang="en-GB" sz="1100" baseline="0">
              <a:solidFill>
                <a:schemeClr val="dk1"/>
              </a:solidFill>
              <a:effectLst/>
              <a:latin typeface="+mn-lt"/>
              <a:ea typeface="+mn-ea"/>
              <a:cs typeface="+mn-cs"/>
            </a:rPr>
            <a:t>• TAB in YELLOW: </a:t>
          </a:r>
          <a:r>
            <a:rPr lang="en-GB" sz="1100" baseline="0"/>
            <a:t>Infrastructure assumpions to be considered in cBOM and capacity statements</a:t>
          </a:r>
        </a:p>
        <a:p>
          <a:r>
            <a:rPr lang="en-GB" sz="1100" baseline="0"/>
            <a:t>• TABs in BLACK: informational tabs, including Definitions and rules for cBOM and list of KPIs for which Capacity Statements are required</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 TABs in RED: all the templates to be filled by the vendor  </a:t>
          </a:r>
          <a:endParaRPr lang="en-US">
            <a:effectLst/>
          </a:endParaRPr>
        </a:p>
        <a:p>
          <a:endParaRPr lang="en-GB" sz="1100" baseline="0"/>
        </a:p>
        <a:p>
          <a:endParaRPr lang="en-GB" sz="1100" baseline="0"/>
        </a:p>
        <a:p>
          <a:endParaRPr lang="en-GB" sz="1100" baseline="0"/>
        </a:p>
        <a:p>
          <a:endParaRPr lang="en-GB"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39445</xdr:rowOff>
    </xdr:from>
    <xdr:to>
      <xdr:col>2</xdr:col>
      <xdr:colOff>6326909</xdr:colOff>
      <xdr:row>131</xdr:row>
      <xdr:rowOff>159056</xdr:rowOff>
    </xdr:to>
    <xdr:sp macro="" textlink="">
      <xdr:nvSpPr>
        <xdr:cNvPr id="2" name="TextBox 1">
          <a:extLst>
            <a:ext uri="{FF2B5EF4-FFF2-40B4-BE49-F238E27FC236}">
              <a16:creationId xmlns:a16="http://schemas.microsoft.com/office/drawing/2014/main" id="{64C7DF09-BF25-4EBE-8A88-C6D4B39A8E54}"/>
            </a:ext>
          </a:extLst>
        </xdr:cNvPr>
        <xdr:cNvSpPr txBox="1"/>
      </xdr:nvSpPr>
      <xdr:spPr>
        <a:xfrm>
          <a:off x="0" y="1915870"/>
          <a:ext cx="7974734" cy="235225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600" b="1" i="0" u="none" strike="noStrike" kern="0" cap="none" spc="0" normalizeH="0" baseline="0" noProof="0">
              <a:ln>
                <a:noFill/>
              </a:ln>
              <a:solidFill>
                <a:srgbClr val="FF0000"/>
              </a:solidFill>
              <a:effectLst/>
              <a:uLnTx/>
              <a:uFillTx/>
              <a:latin typeface="+mn-lt"/>
              <a:ea typeface="+mn-ea"/>
              <a:cs typeface="+mn-cs"/>
            </a:rPr>
            <a:t>Scenario A:</a:t>
          </a:r>
          <a:r>
            <a:rPr kumimoji="0" lang="en-GB" sz="1600" b="1" i="0" u="none" strike="noStrike" kern="0" cap="none" spc="0" normalizeH="0" baseline="0">
              <a:ln>
                <a:noFill/>
              </a:ln>
              <a:solidFill>
                <a:srgbClr val="FF0000"/>
              </a:solidFill>
              <a:effectLst/>
              <a:uLnTx/>
              <a:uFillTx/>
              <a:latin typeface="+mn-lt"/>
              <a:ea typeface="+mn-ea"/>
              <a:cs typeface="+mn-cs"/>
            </a:rPr>
            <a:t> (Synergy Blade)</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Cascade lake refresh processor</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NOTE: </a:t>
          </a:r>
          <a:r>
            <a:rPr kumimoji="0" lang="en-GB" sz="1400" b="0" i="0" u="none" strike="noStrike" kern="0" cap="none" spc="0" normalizeH="0" baseline="0" noProof="0">
              <a:ln>
                <a:noFill/>
              </a:ln>
              <a:solidFill>
                <a:sysClr val="windowText" lastClr="000000"/>
              </a:solidFill>
              <a:effectLst/>
              <a:uLnTx/>
              <a:uFillTx/>
              <a:latin typeface="+mn-lt"/>
              <a:ea typeface="+mn-ea"/>
              <a:cs typeface="+mn-cs"/>
            </a:rPr>
            <a:t>the scenario includes two different HW references for network termination (40 GB and 100 GB) with different blade limits. Vendor shall provide separate cBOMs for both network termination references unless there is no difference in the resulting cBOMs.</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lang="pt-PT" sz="1100" b="0" i="0">
              <a:solidFill>
                <a:schemeClr val="dk1"/>
              </a:solidFill>
              <a:effectLst/>
              <a:latin typeface="+mn-lt"/>
              <a:ea typeface="+mn-ea"/>
              <a:cs typeface="+mn-cs"/>
            </a:rPr>
            <a:t>Intel </a:t>
          </a:r>
          <a:r>
            <a:rPr lang="en-US" sz="1100">
              <a:solidFill>
                <a:schemeClr val="dk1"/>
              </a:solidFill>
              <a:effectLst/>
              <a:latin typeface="+mn-lt"/>
              <a:ea typeface="+mn-ea"/>
              <a:cs typeface="+mn-cs"/>
            </a:rPr>
            <a:t>Cascade lake refresh 6258R, 2.7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2 processors 28 cores (56 total), per Host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40 GB termination</a:t>
          </a:r>
          <a:endParaRPr kumimoji="0" lang="en-GB" sz="1100" b="0" i="0" u="none" strike="sng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blade: </a:t>
          </a:r>
          <a:r>
            <a:rPr lang="en-GB" sz="1100" b="0" i="0" baseline="0">
              <a:solidFill>
                <a:schemeClr val="dk1"/>
              </a:solidFill>
              <a:effectLst/>
              <a:latin typeface="+mn-lt"/>
              <a:ea typeface="+mn-ea"/>
              <a:cs typeface="+mn-cs"/>
            </a:rPr>
            <a:t>2 NICs (with 2 ports at 50Gbps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8 Gbps blade limit (as above)</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Data plane blade: 2 NICs (with 2 ports at 50Gbps per NIC) in 1+1 redundancy (at NIC level), 50% usage limit with Blocking architecture -&gt;  16 Gbps blade limit (as above)</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HT is allowed to be enabled for control plane cnfs. This information needs to be captured in CNF_info tab.</a:t>
          </a:r>
          <a:endParaRPr lang="en-US" sz="1100">
            <a:effectLst/>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b="0" i="0" baseline="0">
            <a:solidFill>
              <a:schemeClr val="dk1"/>
            </a:solidFill>
            <a:effectLst/>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a:ln>
                <a:noFill/>
              </a:ln>
              <a:solidFill>
                <a:sysClr val="windowText" lastClr="000000"/>
              </a:solidFill>
              <a:effectLst/>
              <a:uLnTx/>
              <a:uFillTx/>
              <a:latin typeface="+mn-lt"/>
              <a:ea typeface="+mn-ea"/>
              <a:cs typeface="+mn-cs"/>
            </a:rPr>
            <a:t>100 GB termination</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a:ln>
                <a:noFill/>
              </a:ln>
              <a:solidFill>
                <a:sysClr val="windowText" lastClr="000000"/>
              </a:solidFill>
              <a:effectLst/>
              <a:uLnTx/>
              <a:uFillTx/>
              <a:latin typeface="+mn-lt"/>
              <a:ea typeface="+mn-ea"/>
              <a:cs typeface="+mn-cs"/>
            </a:rPr>
            <a:t>Signalling plane blade: 2 NICs (with 2 ports at 50Gbps per NIC) in 1+1 redundancy (at NIC level),  in 1+1 redundancy, 50% usage limit with Blocking architecture -&gt; 10 Gbps blade limit (as above)</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a:ln>
                <a:noFill/>
              </a:ln>
              <a:solidFill>
                <a:sysClr val="windowText" lastClr="000000"/>
              </a:solidFill>
              <a:effectLst/>
              <a:uLnTx/>
              <a:uFillTx/>
              <a:latin typeface="+mn-lt"/>
              <a:ea typeface="+mn-ea"/>
              <a:cs typeface="+mn-cs"/>
            </a:rPr>
            <a:t>Data plane blade: 2 NICs (with 2 ports at 50Gbps per NIC) in 1+1 redundancy (at NIC level), 50% usage limit with Blocking architecture -&gt;  20 Gbps blade limit (as above)</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HT is allowed to be enabled for control plane cnfs. This information needs to be captured in CNF_info tab.</a:t>
          </a:r>
          <a:endParaRPr lang="en-US" sz="1100">
            <a:effectLst/>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Blade limits available for the CNFs</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blade = </a:t>
          </a:r>
          <a:r>
            <a:rPr lang="en-GB" sz="1100" b="0" i="0" baseline="0">
              <a:solidFill>
                <a:schemeClr val="dk1"/>
              </a:solidFill>
              <a:effectLst/>
              <a:latin typeface="+mn-lt"/>
              <a:ea typeface="+mn-ea"/>
              <a:cs typeface="+mn-cs"/>
            </a:rPr>
            <a:t>44 vCPU (additional 20% CPU processing power is already considered for VMware overhead, with the current CPU model it translates to 12 vCPUs) </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Signalling Plane blade (hyperthreading enabled) = 88 vCPU (additional 20% CPU processing power is already considered for VMware overhead, with the current CPU model it translates to 12 vCPUs)</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a:t>
          </a:r>
          <a:r>
            <a:rPr lang="en-GB" sz="1100" b="0" i="0" baseline="0">
              <a:solidFill>
                <a:schemeClr val="dk1"/>
              </a:solidFill>
              <a:effectLst/>
              <a:latin typeface="+mn-lt"/>
              <a:ea typeface="+mn-ea"/>
              <a:cs typeface="+mn-cs"/>
            </a:rPr>
            <a:t>blade</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a:t>
          </a:r>
          <a:r>
            <a:rPr lang="en-GB" sz="1100" b="0" i="0" baseline="0">
              <a:solidFill>
                <a:schemeClr val="dk1"/>
              </a:solidFill>
              <a:effectLst/>
              <a:latin typeface="+mn-lt"/>
              <a:ea typeface="+mn-ea"/>
              <a:cs typeface="+mn-cs"/>
            </a:rPr>
            <a:t>48 vCPU(without EDP) 44 vCPU(withEDP)(additional 20% CPU processing power is already considered for VMware overhead, with the current CPU model it translates to 8 vCPUs without EDP and 12 with EDP)</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1 Core = 2 vCPU (hyperthreading enabled)</a:t>
          </a:r>
          <a:r>
            <a:rPr lang="en-GB" sz="1100">
              <a:solidFill>
                <a:schemeClr val="dk1"/>
              </a:solidFill>
              <a:effectLst/>
              <a:latin typeface="+mn-lt"/>
              <a:ea typeface="+mn-ea"/>
              <a:cs typeface="+mn-cs"/>
            </a:rPr>
            <a:t>( Note: this does not mean double the cpu Performance )</a:t>
          </a:r>
          <a:endParaRPr lang="en-US">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40 GBPS termination</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a:t>
          </a:r>
          <a:r>
            <a:rPr lang="en-GB" sz="1100" b="0" i="0" baseline="0">
              <a:solidFill>
                <a:schemeClr val="dk1"/>
              </a:solidFill>
              <a:effectLst/>
              <a:latin typeface="+mn-lt"/>
              <a:ea typeface="+mn-ea"/>
              <a:cs typeface="+mn-cs"/>
            </a:rPr>
            <a:t>blade</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- 8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a:t>
          </a:r>
          <a:r>
            <a:rPr lang="en-GB" sz="1100" b="0" i="0" baseline="0">
              <a:solidFill>
                <a:schemeClr val="dk1"/>
              </a:solidFill>
              <a:effectLst/>
              <a:latin typeface="+mn-lt"/>
              <a:ea typeface="+mn-ea"/>
              <a:cs typeface="+mn-cs"/>
            </a:rPr>
            <a:t>blade</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- 16 Gbps</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a:ln>
                <a:noFill/>
              </a:ln>
              <a:solidFill>
                <a:sysClr val="windowText" lastClr="000000"/>
              </a:solidFill>
              <a:effectLst/>
              <a:uLnTx/>
              <a:uFillTx/>
              <a:latin typeface="+mn-lt"/>
              <a:ea typeface="+mn-ea"/>
              <a:cs typeface="+mn-cs"/>
            </a:rPr>
            <a:t>100 GBPS termination</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a:ln>
                <a:noFill/>
              </a:ln>
              <a:solidFill>
                <a:sysClr val="windowText" lastClr="000000"/>
              </a:solidFill>
              <a:effectLst/>
              <a:uLnTx/>
              <a:uFillTx/>
              <a:latin typeface="+mn-lt"/>
              <a:ea typeface="+mn-ea"/>
              <a:cs typeface="+mn-cs"/>
            </a:rPr>
            <a:t>Signalling plane blade- 10 Gbps</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a:ln>
                <a:noFill/>
              </a:ln>
              <a:solidFill>
                <a:sysClr val="windowText" lastClr="000000"/>
              </a:solidFill>
              <a:effectLst/>
              <a:uLnTx/>
              <a:uFillTx/>
              <a:latin typeface="+mn-lt"/>
              <a:ea typeface="+mn-ea"/>
              <a:cs typeface="+mn-cs"/>
            </a:rPr>
            <a:t>Data plane blade- 20 Gbps</a:t>
          </a:r>
          <a:endParaRPr kumimoji="0" lang="en-US" sz="1100" b="0" i="0" u="none" strike="noStrike" kern="0" cap="none" spc="0" normalizeH="0" baseline="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cBOM dimensioning rules</a:t>
          </a:r>
        </a:p>
        <a:p>
          <a:pPr marL="171450" indent="-171450" algn="just">
            <a:buFont typeface="Arial" panose="020B0604020202020204" pitchFamily="34" charset="0"/>
            <a:buChar char="•"/>
          </a:pPr>
          <a:r>
            <a:rPr lang="en-GB" sz="1100">
              <a:solidFill>
                <a:sysClr val="windowText" lastClr="000000"/>
              </a:solidFill>
            </a:rPr>
            <a:t>For 40 GB termination:</a:t>
          </a:r>
        </a:p>
        <a:p>
          <a:pPr marL="628650" lvl="1" indent="-171450" algn="just">
            <a:buFont typeface="Arial" panose="020B0604020202020204" pitchFamily="34" charset="0"/>
            <a:buChar char="•"/>
          </a:pPr>
          <a:r>
            <a:rPr lang="en-GB" sz="1100">
              <a:solidFill>
                <a:sysClr val="windowText" lastClr="000000"/>
              </a:solidFill>
            </a:rPr>
            <a:t>"Signalling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22 VCPU can be accepted</a:t>
          </a:r>
          <a:r>
            <a:rPr lang="en-GB" sz="1100">
              <a:solidFill>
                <a:schemeClr val="tx1"/>
              </a:solidFill>
              <a:effectLst/>
              <a:latin typeface="+mn-lt"/>
              <a:ea typeface="+mn-ea"/>
              <a:cs typeface="+mn-cs"/>
            </a:rPr>
            <a:t>.</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no more than 8 Gbps bandwidth (N/S + E/W) not considering/considering NUMA affinity.</a:t>
          </a:r>
          <a:endParaRPr lang="en-GB" sz="1100">
            <a:solidFill>
              <a:schemeClr val="tx1"/>
            </a:solidFill>
          </a:endParaRPr>
        </a:p>
        <a:p>
          <a:pPr marL="628650" lvl="1" indent="-171450" algn="just">
            <a:buFont typeface="Arial" panose="020B0604020202020204" pitchFamily="34" charset="0"/>
            <a:buChar char="•"/>
          </a:pPr>
          <a:r>
            <a:rPr lang="en-GB" sz="1100">
              <a:solidFill>
                <a:sysClr val="windowText" lastClr="000000"/>
              </a:solidFill>
            </a:rPr>
            <a:t>"Data</a:t>
          </a:r>
          <a:r>
            <a:rPr lang="en-GB" sz="1100" baseline="0">
              <a:solidFill>
                <a:sysClr val="windowText" lastClr="000000"/>
              </a:solidFill>
            </a:rPr>
            <a:t>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20 VCPU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endParaRPr lang="en-GB" sz="1100" b="0">
            <a:solidFill>
              <a:srgbClr val="FF0000"/>
            </a:solidFill>
            <a:effectLst/>
          </a:endParaRPr>
        </a:p>
        <a:p>
          <a:pPr marL="1085850" lvl="2" indent="-171450" algn="just">
            <a:buFont typeface="Arial" panose="020B0604020202020204" pitchFamily="34" charset="0"/>
            <a:buChar char="•"/>
          </a:pPr>
          <a:r>
            <a:rPr lang="en-GB" sz="1100">
              <a:solidFill>
                <a:schemeClr val="tx1"/>
              </a:solidFill>
              <a:effectLst/>
              <a:latin typeface="+mn-lt"/>
              <a:ea typeface="+mn-ea"/>
              <a:cs typeface="+mn-cs"/>
            </a:rPr>
            <a:t>PODs shall have no more than 16 Gbps bandwidth (N/S + E/W) not considering/considering NUMA affinity.</a:t>
          </a:r>
          <a:endParaRPr lang="en-GB" sz="1100">
            <a:solidFill>
              <a:schemeClr val="tx1"/>
            </a:solidFill>
            <a:effectLst/>
          </a:endParaRPr>
        </a:p>
        <a:p>
          <a:pPr marL="628650" lvl="1" indent="-171450" algn="just">
            <a:buFont typeface="Arial" panose="020B0604020202020204" pitchFamily="34" charset="0"/>
            <a:buChar char="•"/>
          </a:pPr>
          <a:r>
            <a:rPr lang="en-GB" sz="1100">
              <a:solidFill>
                <a:sysClr val="windowText" lastClr="000000"/>
              </a:solidFill>
            </a:rPr>
            <a:t>PODs shall be dimensioned for all applications and operating systems supporting the vendor solution. The CNF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PODs are to be used at the % level of utilization of an active POD's processing resources that is indicated in the deployment models of each CNF for each OpCo (that is contained in the OpCo's FSD document), which is also the same level of utilization at which the capacity statements are provided for each CNF/OpCo.</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Refer to Definitions &amp; Rules tab</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solidFill>
              <a:sysClr val="windowText" lastClr="000000"/>
            </a:solidFill>
            <a:latin typeface="+mn-lt"/>
            <a:ea typeface="+mn-ea"/>
            <a:cs typeface="+mn-cs"/>
          </a:endParaRPr>
        </a:p>
        <a:p>
          <a:pPr marL="171450" indent="-171450" algn="just">
            <a:buFont typeface="Arial" panose="020B0604020202020204" pitchFamily="34" charset="0"/>
            <a:buChar char="•"/>
          </a:pPr>
          <a:r>
            <a:rPr lang="en-GB" sz="1100">
              <a:solidFill>
                <a:sysClr val="windowText" lastClr="000000"/>
              </a:solidFill>
              <a:latin typeface="+mn-lt"/>
              <a:ea typeface="+mn-ea"/>
              <a:cs typeface="+mn-cs"/>
            </a:rPr>
            <a:t>For 100 GB termination:</a:t>
          </a:r>
          <a:endParaRPr lang="en-US" sz="1100">
            <a:solidFill>
              <a:sysClr val="windowText" lastClr="000000"/>
            </a:solidFill>
            <a:latin typeface="+mn-lt"/>
            <a:ea typeface="+mn-ea"/>
            <a:cs typeface="+mn-cs"/>
          </a:endParaRPr>
        </a:p>
        <a:p>
          <a:pPr marL="628650" lvl="1" indent="-171450" algn="just">
            <a:buFont typeface="Arial" panose="020B0604020202020204" pitchFamily="34" charset="0"/>
            <a:buChar char="•"/>
          </a:pPr>
          <a:r>
            <a:rPr lang="en-GB" sz="1100">
              <a:solidFill>
                <a:sysClr val="windowText" lastClr="000000"/>
              </a:solidFill>
              <a:latin typeface="+mn-lt"/>
              <a:ea typeface="+mn-ea"/>
              <a:cs typeface="+mn-cs"/>
            </a:rPr>
            <a:t>"Signalling plane POD"</a:t>
          </a:r>
          <a:endParaRPr lang="en-US" sz="1100">
            <a:solidFill>
              <a:sysClr val="windowText" lastClr="000000"/>
            </a:solidFill>
            <a:latin typeface="+mn-lt"/>
            <a:ea typeface="+mn-ea"/>
            <a:cs typeface="+mn-cs"/>
          </a:endParaRPr>
        </a:p>
        <a:p>
          <a:pPr marL="1085850" lvl="2" indent="-171450" algn="just">
            <a:buFont typeface="Arial" panose="020B0604020202020204" pitchFamily="34" charset="0"/>
            <a:buChar char="•"/>
          </a:pPr>
          <a:r>
            <a:rPr lang="en-GB" sz="1100">
              <a:solidFill>
                <a:sysClr val="windowText" lastClr="000000"/>
              </a:solidFill>
              <a:latin typeface="+mn-lt"/>
              <a:ea typeface="+mn-ea"/>
              <a:cs typeface="+mn-cs"/>
            </a:rPr>
            <a:t>PODs is not recommended to have no more than 10 vCPU.</a:t>
          </a:r>
          <a:r>
            <a:rPr lang="en-GB" sz="1100" baseline="0">
              <a:solidFill>
                <a:sysClr val="windowText" lastClr="000000"/>
              </a:solidFill>
              <a:latin typeface="+mn-lt"/>
              <a:ea typeface="+mn-ea"/>
              <a:cs typeface="+mn-cs"/>
            </a:rPr>
            <a:t> In exception cases and with justifcation POD size of 20 VCPU can be accepted</a:t>
          </a:r>
          <a:endParaRPr lang="en-US" sz="1100">
            <a:solidFill>
              <a:sysClr val="windowText" lastClr="000000"/>
            </a:solidFill>
            <a:latin typeface="+mn-lt"/>
            <a:ea typeface="+mn-ea"/>
            <a:cs typeface="+mn-cs"/>
          </a:endParaRPr>
        </a:p>
        <a:p>
          <a:pPr marL="1085850" lvl="2" indent="-171450" algn="just">
            <a:buFont typeface="Arial" panose="020B0604020202020204" pitchFamily="34" charset="0"/>
            <a:buChar char="•"/>
          </a:pPr>
          <a:r>
            <a:rPr lang="en-GB" sz="1100">
              <a:solidFill>
                <a:sysClr val="windowText" lastClr="000000"/>
              </a:solidFill>
              <a:latin typeface="+mn-lt"/>
              <a:ea typeface="+mn-ea"/>
              <a:cs typeface="+mn-cs"/>
            </a:rPr>
            <a:t>PODs shall have no more than 10</a:t>
          </a:r>
          <a:r>
            <a:rPr lang="en-GB" sz="1100" baseline="0">
              <a:solidFill>
                <a:sysClr val="windowText" lastClr="000000"/>
              </a:solidFill>
              <a:latin typeface="+mn-lt"/>
              <a:ea typeface="+mn-ea"/>
              <a:cs typeface="+mn-cs"/>
            </a:rPr>
            <a:t> </a:t>
          </a:r>
          <a:r>
            <a:rPr lang="en-GB" sz="1100">
              <a:solidFill>
                <a:sysClr val="windowText" lastClr="000000"/>
              </a:solidFill>
              <a:latin typeface="+mn-lt"/>
              <a:ea typeface="+mn-ea"/>
              <a:cs typeface="+mn-cs"/>
            </a:rPr>
            <a:t>Gbps bandwidth (N/S + E/W) not considering NUMA affinity.</a:t>
          </a:r>
          <a:endParaRPr lang="en-US" sz="1100">
            <a:solidFill>
              <a:sysClr val="windowText" lastClr="000000"/>
            </a:solidFill>
            <a:latin typeface="+mn-lt"/>
            <a:ea typeface="+mn-ea"/>
            <a:cs typeface="+mn-cs"/>
          </a:endParaRPr>
        </a:p>
        <a:p>
          <a:pPr marL="628650" lvl="1" indent="-171450" algn="just">
            <a:buFont typeface="Arial" panose="020B0604020202020204" pitchFamily="34" charset="0"/>
            <a:buChar char="•"/>
          </a:pPr>
          <a:r>
            <a:rPr lang="en-GB" sz="1100">
              <a:solidFill>
                <a:sysClr val="windowText" lastClr="000000"/>
              </a:solidFill>
              <a:latin typeface="+mn-lt"/>
              <a:ea typeface="+mn-ea"/>
              <a:cs typeface="+mn-cs"/>
            </a:rPr>
            <a:t>"Data plane POD"</a:t>
          </a:r>
          <a:endParaRPr lang="en-US" sz="1100">
            <a:solidFill>
              <a:sysClr val="windowText" lastClr="000000"/>
            </a:solidFill>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20 VCPU can be accepted</a:t>
          </a:r>
          <a:endParaRPr lang="en-US" sz="1100">
            <a:effectLst/>
          </a:endParaRPr>
        </a:p>
        <a:p>
          <a:pPr marL="1085850" lvl="2" indent="-171450" algn="just">
            <a:buFont typeface="Arial" panose="020B0604020202020204" pitchFamily="34" charset="0"/>
            <a:buChar char="•"/>
          </a:pPr>
          <a:r>
            <a:rPr lang="en-GB" sz="1100">
              <a:solidFill>
                <a:sysClr val="windowText" lastClr="000000"/>
              </a:solidFill>
              <a:latin typeface="+mn-lt"/>
              <a:ea typeface="+mn-ea"/>
              <a:cs typeface="+mn-cs"/>
            </a:rPr>
            <a:t>. Have to be stated as per template the number of lcores that will be use (lcore = 1, 2 or 4)</a:t>
          </a:r>
          <a:endParaRPr lang="en-US" sz="1100">
            <a:solidFill>
              <a:sysClr val="windowText" lastClr="000000"/>
            </a:solidFill>
            <a:latin typeface="+mn-lt"/>
            <a:ea typeface="+mn-ea"/>
            <a:cs typeface="+mn-cs"/>
          </a:endParaRPr>
        </a:p>
        <a:p>
          <a:pPr marL="1085850" lvl="2" indent="-171450" algn="just">
            <a:buFont typeface="Arial" panose="020B0604020202020204" pitchFamily="34" charset="0"/>
            <a:buChar char="•"/>
          </a:pPr>
          <a:r>
            <a:rPr lang="en-GB" sz="1100">
              <a:solidFill>
                <a:sysClr val="windowText" lastClr="000000"/>
              </a:solidFill>
              <a:latin typeface="+mn-lt"/>
              <a:ea typeface="+mn-ea"/>
              <a:cs typeface="+mn-cs"/>
            </a:rPr>
            <a:t>PODs shall have no more than 20 Gbps bandwidth (N/S + E/W) not considering NUMA affinity.</a:t>
          </a:r>
          <a:endParaRPr lang="en-US" sz="1100">
            <a:solidFill>
              <a:sysClr val="windowText" lastClr="000000"/>
            </a:solidFill>
            <a:latin typeface="+mn-lt"/>
            <a:ea typeface="+mn-ea"/>
            <a:cs typeface="+mn-cs"/>
          </a:endParaRPr>
        </a:p>
        <a:p>
          <a:pPr marL="628650" lvl="1" indent="-171450" algn="just">
            <a:buFont typeface="Arial" panose="020B0604020202020204" pitchFamily="34" charset="0"/>
            <a:buChar char="•"/>
          </a:pPr>
          <a:r>
            <a:rPr lang="en-GB" sz="1100">
              <a:solidFill>
                <a:sysClr val="windowText" lastClr="000000"/>
              </a:solidFill>
              <a:latin typeface="+mn-lt"/>
              <a:ea typeface="+mn-ea"/>
              <a:cs typeface="+mn-cs"/>
            </a:rPr>
            <a:t>PODs shall be dimensioned for all applications and operating systems supporting the vendor solution. The CNF vendor shall dimension the vCPU column taking into account that there is already CPU processing power reserved for VMware overhead (20% per blade).</a:t>
          </a:r>
          <a:endParaRPr lang="en-US" sz="1100">
            <a:solidFill>
              <a:sysClr val="windowText" lastClr="000000"/>
            </a:solidFill>
            <a:latin typeface="+mn-lt"/>
            <a:ea typeface="+mn-ea"/>
            <a:cs typeface="+mn-cs"/>
          </a:endParaRPr>
        </a:p>
        <a:p>
          <a:pPr marL="628650" lvl="1" indent="-171450" algn="just" eaLnBrk="1" fontAlgn="auto" latinLnBrk="0" hangingPunct="1">
            <a:buFont typeface="Arial" panose="020B0604020202020204" pitchFamily="34" charset="0"/>
            <a:buChar char="•"/>
          </a:pPr>
          <a:r>
            <a:rPr lang="en-GB" sz="1100">
              <a:solidFill>
                <a:sysClr val="windowText" lastClr="000000"/>
              </a:solidFill>
              <a:latin typeface="+mn-lt"/>
              <a:ea typeface="+mn-ea"/>
              <a:cs typeface="+mn-cs"/>
            </a:rPr>
            <a:t>PODs are to be used at the % level of utilization of an active POD's processing resources that is indicated in the deployment models of each CNF for each OpCo (that is contained in the OpCo's FSD document), which is also the same level of utilization at which the capacity statements are provided for each CNF/OpCo</a:t>
          </a:r>
        </a:p>
        <a:p>
          <a:pPr marL="628650" lvl="1" indent="-171450" algn="just" eaLnBrk="1" fontAlgn="auto" latinLnBrk="0" hangingPunct="1">
            <a:buFont typeface="Arial" panose="020B0604020202020204" pitchFamily="34" charset="0"/>
            <a:buChar char="•"/>
          </a:pPr>
          <a:r>
            <a:rPr lang="en-US" sz="1100">
              <a:solidFill>
                <a:sysClr val="windowText" lastClr="000000"/>
              </a:solidFill>
              <a:latin typeface="+mn-lt"/>
              <a:ea typeface="+mn-ea"/>
              <a:cs typeface="+mn-cs"/>
            </a:rPr>
            <a:t>Refer to Definitions &amp; Rules tab</a:t>
          </a:r>
        </a:p>
        <a:p>
          <a:pPr marL="628650" lvl="1" indent="-171450" algn="just" eaLnBrk="1" fontAlgn="auto" latinLnBrk="0" hangingPunct="1">
            <a:buFont typeface="Arial" panose="020B0604020202020204" pitchFamily="34" charset="0"/>
            <a:buChar char="•"/>
          </a:pPr>
          <a:endParaRPr lang="en-US" sz="1100">
            <a:solidFill>
              <a:sysClr val="windowText" lastClr="000000"/>
            </a:solidFill>
            <a:latin typeface="+mn-lt"/>
            <a:ea typeface="+mn-ea"/>
            <a:cs typeface="+mn-cs"/>
          </a:endParaRPr>
        </a:p>
        <a:p>
          <a:pPr marL="0" lvl="1" indent="0" algn="just" eaLnBrk="1" fontAlgn="auto" latinLnBrk="0" hangingPunct="1">
            <a:buFont typeface="Arial" panose="020B0604020202020204" pitchFamily="34" charset="0"/>
            <a:buChar char="•"/>
          </a:pPr>
          <a:r>
            <a:rPr lang="en-US" sz="1400" b="1">
              <a:solidFill>
                <a:sysClr val="windowText" lastClr="000000"/>
              </a:solidFill>
              <a:latin typeface="+mn-lt"/>
              <a:ea typeface="+mn-ea"/>
              <a:cs typeface="+mn-cs"/>
            </a:rPr>
            <a:t>Hyperthreading guidelines</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Hyperthreading</a:t>
          </a:r>
          <a:r>
            <a:rPr lang="en-GB" sz="1100" baseline="0">
              <a:solidFill>
                <a:sysClr val="windowText" lastClr="000000"/>
              </a:solidFill>
              <a:effectLst/>
            </a:rPr>
            <a:t> enabled will only be considered fo control plane. Vendor can request for Hyperthreading for control plane.</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aseline="0">
              <a:solidFill>
                <a:sysClr val="windowText" lastClr="000000"/>
              </a:solidFill>
              <a:effectLst/>
            </a:rPr>
            <a:t>By default HT will not be considered for control plane, if vendor needs it they need to request it from "CNF_Info" TAB</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aseline="0">
              <a:solidFill>
                <a:sysClr val="windowText" lastClr="000000"/>
              </a:solidFill>
              <a:effectLst/>
            </a:rPr>
            <a:t>Hyperthreading will always be disabled for data plane.</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aseline="0">
              <a:solidFill>
                <a:sysClr val="windowText" lastClr="000000"/>
              </a:solidFill>
              <a:effectLst/>
            </a:rPr>
            <a:t>Guidelines:</a:t>
          </a:r>
        </a:p>
        <a:p>
          <a:r>
            <a:rPr lang="en-US" sz="1100" b="1">
              <a:solidFill>
                <a:schemeClr val="dk1"/>
              </a:solidFill>
              <a:effectLst/>
              <a:latin typeface="+mn-lt"/>
              <a:ea typeface="+mn-ea"/>
              <a:cs typeface="+mn-cs"/>
            </a:rPr>
            <a:t>Data plane: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Not applicable to data plane</a:t>
          </a:r>
        </a:p>
        <a:p>
          <a:r>
            <a:rPr lang="en-US" sz="1100">
              <a:solidFill>
                <a:schemeClr val="dk1"/>
              </a:solidFill>
              <a:effectLst/>
              <a:latin typeface="+mn-lt"/>
              <a:ea typeface="+mn-ea"/>
              <a:cs typeface="+mn-cs"/>
            </a:rPr>
            <a:t> </a:t>
          </a:r>
        </a:p>
        <a:p>
          <a:r>
            <a:rPr lang="en-US" sz="1100" b="1">
              <a:solidFill>
                <a:schemeClr val="dk1"/>
              </a:solidFill>
              <a:effectLst/>
              <a:latin typeface="+mn-lt"/>
              <a:ea typeface="+mn-ea"/>
              <a:cs typeface="+mn-cs"/>
            </a:rPr>
            <a:t>Control plane:</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If:</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Worker node cpu size less or equal to physical core count per numa minus reservations (current cpu as an example has 28 physical cores, 6 physical cores are reserved, current limit is 28-6=22).</a:t>
          </a:r>
        </a:p>
        <a:p>
          <a:pPr lvl="1"/>
          <a:r>
            <a:rPr lang="en-US" sz="1100">
              <a:solidFill>
                <a:schemeClr val="dk1"/>
              </a:solidFill>
              <a:effectLst/>
              <a:latin typeface="+mn-lt"/>
              <a:ea typeface="+mn-ea"/>
              <a:cs typeface="+mn-cs"/>
            </a:rPr>
            <a:t> </a:t>
          </a:r>
        </a:p>
        <a:p>
          <a:pPr marL="1085850" lvl="2" indent="-171450">
            <a:buFont typeface="Arial" panose="020B0604020202020204" pitchFamily="34" charset="0"/>
            <a:buChar char="•"/>
          </a:pPr>
          <a:r>
            <a:rPr lang="en-GB" sz="1100">
              <a:solidFill>
                <a:schemeClr val="dk1"/>
              </a:solidFill>
              <a:effectLst/>
              <a:latin typeface="+mn-lt"/>
              <a:ea typeface="+mn-ea"/>
              <a:cs typeface="+mn-cs"/>
            </a:rPr>
            <a:t>1 physical core = 2 vCPU ( Note: this does not mean double the cpu Performance )</a:t>
          </a:r>
          <a:endParaRPr lang="en-US" sz="1100">
            <a:solidFill>
              <a:schemeClr val="dk1"/>
            </a:solidFill>
            <a:effectLst/>
            <a:latin typeface="+mn-lt"/>
            <a:ea typeface="+mn-ea"/>
            <a:cs typeface="+mn-cs"/>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sz="1100">
            <a:solidFill>
              <a:schemeClr val="dk1"/>
            </a:solidFill>
            <a:effectLst/>
            <a:latin typeface="+mn-lt"/>
            <a:ea typeface="+mn-ea"/>
            <a:cs typeface="+mn-cs"/>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VM Advanced settings : </a:t>
          </a:r>
          <a:r>
            <a:rPr lang="en-GB" sz="1100" b="1">
              <a:solidFill>
                <a:schemeClr val="dk1"/>
              </a:solidFill>
              <a:effectLst/>
              <a:latin typeface="+mn-lt"/>
              <a:ea typeface="+mn-ea"/>
              <a:cs typeface="+mn-cs"/>
            </a:rPr>
            <a:t>numa.vcpu.preferHT=false </a:t>
          </a:r>
          <a:r>
            <a:rPr lang="en-GB" sz="1100" b="0">
              <a:solidFill>
                <a:schemeClr val="dk1"/>
              </a:solidFill>
              <a:effectLst/>
              <a:latin typeface="+mn-lt"/>
              <a:ea typeface="+mn-ea"/>
              <a:cs typeface="+mn-cs"/>
            </a:rPr>
            <a:t>(default setting)</a:t>
          </a:r>
          <a:endParaRPr lang="en-US" sz="1100" b="0">
            <a:solidFill>
              <a:schemeClr val="dk1"/>
            </a:solidFill>
            <a:effectLst/>
            <a:latin typeface="+mn-lt"/>
            <a:ea typeface="+mn-ea"/>
            <a:cs typeface="+mn-cs"/>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hlinkClick xmlns:r="http://schemas.openxmlformats.org/officeDocument/2006/relationships" r:id=""/>
            </a:rPr>
            <a:t>TOSCA Definition Extension (vmware.com)</a:t>
          </a:r>
          <a:r>
            <a:rPr lang="en-US" sz="1100">
              <a:solidFill>
                <a:schemeClr val="dk1"/>
              </a:solidFill>
              <a:effectLst/>
              <a:latin typeface="+mn-lt"/>
              <a:ea typeface="+mn-ea"/>
              <a:cs typeface="+mn-cs"/>
            </a:rPr>
            <a:t>)</a:t>
          </a:r>
        </a:p>
        <a:p>
          <a:pPr lvl="1"/>
          <a:r>
            <a:rPr lang="en-US" sz="1100" b="1">
              <a:solidFill>
                <a:schemeClr val="dk1"/>
              </a:solidFill>
              <a:effectLst/>
              <a:latin typeface="+mn-lt"/>
              <a:ea typeface="+mn-ea"/>
              <a:cs typeface="+mn-cs"/>
            </a:rPr>
            <a:t>Else:</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Worker node cpu size greater than physical core count per numa minus reservations (current cpu as an example has 28 physical cores, 6 physical cores are reserved, current limit is 28-6=22).</a:t>
          </a:r>
        </a:p>
        <a:p>
          <a:pPr lvl="1"/>
          <a:r>
            <a:rPr lang="en-US" sz="1100">
              <a:solidFill>
                <a:schemeClr val="dk1"/>
              </a:solidFill>
              <a:effectLst/>
              <a:latin typeface="+mn-lt"/>
              <a:ea typeface="+mn-ea"/>
              <a:cs typeface="+mn-cs"/>
            </a:rPr>
            <a:t> </a:t>
          </a:r>
        </a:p>
        <a:p>
          <a:pPr marL="1085850" lvl="2" indent="-171450">
            <a:buFont typeface="Arial" panose="020B0604020202020204" pitchFamily="34" charset="0"/>
            <a:buChar char="•"/>
          </a:pPr>
          <a:r>
            <a:rPr lang="en-GB" sz="1100">
              <a:solidFill>
                <a:schemeClr val="dk1"/>
              </a:solidFill>
              <a:effectLst/>
              <a:latin typeface="+mn-lt"/>
              <a:ea typeface="+mn-ea"/>
              <a:cs typeface="+mn-cs"/>
            </a:rPr>
            <a:t>1 physcial core = 2 vCPU ( Note: this does not mean double the cpu Performance)</a:t>
          </a:r>
          <a:endParaRPr lang="en-US" sz="1100">
            <a:solidFill>
              <a:schemeClr val="dk1"/>
            </a:solidFill>
            <a:effectLst/>
            <a:latin typeface="+mn-lt"/>
            <a:ea typeface="+mn-ea"/>
            <a:cs typeface="+mn-cs"/>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sz="1100">
            <a:solidFill>
              <a:schemeClr val="dk1"/>
            </a:solidFill>
            <a:effectLst/>
            <a:latin typeface="+mn-lt"/>
            <a:ea typeface="+mn-ea"/>
            <a:cs typeface="+mn-cs"/>
          </a:endParaRPr>
        </a:p>
        <a:p>
          <a:pPr marL="1085850" marR="0" lvl="2"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VM Advanced settings </a:t>
          </a:r>
          <a:r>
            <a:rPr lang="en-GB" sz="1100" b="1">
              <a:solidFill>
                <a:schemeClr val="dk1"/>
              </a:solidFill>
              <a:effectLst/>
              <a:latin typeface="+mn-lt"/>
              <a:ea typeface="+mn-ea"/>
              <a:cs typeface="+mn-cs"/>
            </a:rPr>
            <a:t>: numa.vcpu.preferHT=true </a:t>
          </a:r>
          <a:endParaRPr lang="en-US" sz="1100">
            <a:solidFill>
              <a:schemeClr val="dk1"/>
            </a:solidFill>
            <a:effectLst/>
            <a:latin typeface="+mn-lt"/>
            <a:ea typeface="+mn-ea"/>
            <a:cs typeface="+mn-cs"/>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hlinkClick xmlns:r="http://schemas.openxmlformats.org/officeDocument/2006/relationships" r:id=""/>
            </a:rPr>
            <a:t>TOSCA Definition Extension (vmware.com)</a:t>
          </a:r>
          <a:r>
            <a:rPr lang="en-US" sz="1100">
              <a:solidFill>
                <a:schemeClr val="dk1"/>
              </a:solidFill>
              <a:effectLst/>
              <a:latin typeface="+mn-lt"/>
              <a:ea typeface="+mn-ea"/>
              <a:cs typeface="+mn-cs"/>
            </a:rPr>
            <a:t>)</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solidFill>
              <a:sysClr val="windowText" lastClr="000000"/>
            </a:solidFill>
            <a:effectLst/>
          </a:endParaRPr>
        </a:p>
        <a:p>
          <a:pPr marL="0" lvl="0" indent="0" algn="just">
            <a:buFont typeface="Arial" panose="020B0604020202020204" pitchFamily="34" charset="0"/>
            <a:buNone/>
          </a:pPr>
          <a:r>
            <a:rPr lang="en-GB" sz="1400" b="1" i="0" u="none" strike="noStrike">
              <a:solidFill>
                <a:sysClr val="windowText" lastClr="000000"/>
              </a:solidFill>
              <a:effectLst/>
              <a:latin typeface="+mn-lt"/>
              <a:ea typeface="+mn-ea"/>
              <a:cs typeface="+mn-cs"/>
            </a:rPr>
            <a:t>Reference VMware CaaS Environment: VMware TKG 1.5 on VMWare TCP 2.5</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pt-PT" sz="1100">
              <a:solidFill>
                <a:schemeClr val="dk1"/>
              </a:solidFill>
              <a:effectLst/>
              <a:latin typeface="+mn-lt"/>
              <a:ea typeface="+mn-ea"/>
              <a:cs typeface="+mn-cs"/>
            </a:rPr>
            <a:t>https://docs.vmware.com/en/VMware-Telco-Cloud-Platform/2.0/rn/Telco-Cloud-Platform-5G-Edition-20-Release-Notes.html </a:t>
          </a:r>
          <a:endParaRPr lang="en-US"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lang="en-GB" sz="1400" b="1" i="0" u="none" strike="noStrike">
            <a:solidFill>
              <a:sysClr val="windowText" lastClr="000000"/>
            </a:solidFill>
            <a:effectLst/>
            <a:latin typeface="+mn-lt"/>
            <a:ea typeface="+mn-ea"/>
            <a:cs typeface="+mn-cs"/>
          </a:endParaRPr>
        </a:p>
        <a:p>
          <a:pPr marL="171450" lvl="0" indent="-171450" algn="l">
            <a:buFont typeface="Arial" panose="020B0604020202020204" pitchFamily="34" charset="0"/>
            <a:buChar char="•"/>
          </a:pPr>
          <a:r>
            <a:rPr lang="en-GB" sz="1100">
              <a:solidFill>
                <a:sysClr val="windowText" lastClr="000000"/>
              </a:solidFill>
            </a:rPr>
            <a:t>Hypervisor: VMware ESXi 7.0</a:t>
          </a:r>
        </a:p>
        <a:p>
          <a:pPr marL="171450" lvl="0" indent="-171450" algn="l">
            <a:buFont typeface="Arial" panose="020B0604020202020204" pitchFamily="34" charset="0"/>
            <a:buChar char="•"/>
          </a:pPr>
          <a:r>
            <a:rPr lang="en-GB" sz="1100">
              <a:solidFill>
                <a:sysClr val="windowText" lastClr="000000"/>
              </a:solidFill>
            </a:rPr>
            <a:t>NSX-T 3.1(E-NVDS)</a:t>
          </a:r>
        </a:p>
        <a:p>
          <a:pPr marL="171450" lvl="0" indent="-171450" algn="l">
            <a:buFont typeface="Arial" panose="020B0604020202020204" pitchFamily="34" charset="0"/>
            <a:buChar char="•"/>
          </a:pPr>
          <a:r>
            <a:rPr lang="en-GB" sz="1100">
              <a:solidFill>
                <a:sysClr val="windowText" lastClr="000000"/>
              </a:solidFill>
            </a:rPr>
            <a:t>In case the vendor makes assumptions on improvements in the efficiency and capacity of the VMware environement during</a:t>
          </a:r>
          <a:r>
            <a:rPr lang="en-GB" sz="1100" baseline="0">
              <a:solidFill>
                <a:sysClr val="windowText" lastClr="000000"/>
              </a:solidFill>
            </a:rPr>
            <a:t> the 5 years (e.g. new release of hypervisor, DPDK, etc.), the vendor is requested to state it explicitly the amount of the performance improvement. </a:t>
          </a:r>
        </a:p>
        <a:p>
          <a:pPr marL="171450" lvl="0" indent="-171450" algn="l">
            <a:buFont typeface="Arial" panose="020B0604020202020204" pitchFamily="34" charset="0"/>
            <a:buChar char="•"/>
          </a:pPr>
          <a:endParaRPr lang="en-GB" sz="1200">
            <a:solidFill>
              <a:sysClr val="windowText" lastClr="000000"/>
            </a:solidFill>
          </a:endParaRPr>
        </a:p>
        <a:p>
          <a:pPr marL="0" lvl="0" indent="0" algn="just">
            <a:buFont typeface="Arial" panose="020B0604020202020204" pitchFamily="34" charset="0"/>
            <a:buNone/>
          </a:pPr>
          <a:r>
            <a:rPr lang="en-GB" sz="1400" b="1" i="0" u="none" strike="noStrike">
              <a:solidFill>
                <a:schemeClr val="tx1"/>
              </a:solidFill>
              <a:effectLst/>
              <a:latin typeface="+mn-lt"/>
              <a:ea typeface="+mn-ea"/>
              <a:cs typeface="+mn-cs"/>
            </a:rPr>
            <a:t>Networking - reference architecture</a:t>
          </a:r>
        </a:p>
        <a:p>
          <a:pPr marL="171450" lvl="0" indent="-171450" algn="just">
            <a:buFont typeface="Arial" panose="020B0604020202020204" pitchFamily="34" charset="0"/>
            <a:buChar char="•"/>
          </a:pPr>
          <a:endParaRPr lang="en-GB" sz="1200">
            <a:solidFill>
              <a:schemeClr val="tx1"/>
            </a:solidFill>
          </a:endParaRPr>
        </a:p>
        <a:p>
          <a:pPr marL="171450" lvl="0" indent="-171450" algn="just">
            <a:buFont typeface="Arial" panose="020B0604020202020204" pitchFamily="34" charset="0"/>
            <a:buChar char="•"/>
          </a:pPr>
          <a:endParaRPr lang="en-GB" sz="1200">
            <a:solidFill>
              <a:schemeClr val="tx1"/>
            </a:solidFill>
          </a:endParaRPr>
        </a:p>
        <a:p>
          <a:endParaRPr lang="en-GB" sz="1400" b="1" i="0" u="none" strike="noStrike">
            <a:solidFill>
              <a:schemeClr val="tx1"/>
            </a:solidFill>
            <a:effectLst/>
            <a:latin typeface="+mn-lt"/>
            <a:ea typeface="+mn-ea"/>
            <a:cs typeface="+mn-cs"/>
          </a:endParaRPr>
        </a:p>
        <a:p>
          <a:endParaRPr lang="en-GB" sz="1400" b="1" i="0" u="none" strike="noStrike">
            <a:solidFill>
              <a:schemeClr val="tx1"/>
            </a:solidFill>
            <a:effectLst/>
            <a:latin typeface="+mn-lt"/>
            <a:ea typeface="+mn-ea"/>
            <a:cs typeface="+mn-cs"/>
          </a:endParaRPr>
        </a:p>
        <a:p>
          <a:endParaRPr lang="en-GB" sz="1400" b="1" i="0" u="none" strike="noStrike">
            <a:solidFill>
              <a:schemeClr val="tx1"/>
            </a:solidFill>
            <a:effectLst/>
            <a:latin typeface="+mn-lt"/>
            <a:ea typeface="+mn-ea"/>
            <a:cs typeface="+mn-cs"/>
          </a:endParaRPr>
        </a:p>
        <a:p>
          <a:r>
            <a:rPr lang="en-US" sz="1400" b="1" i="0" u="none" strike="noStrike">
              <a:solidFill>
                <a:schemeClr val="tx1"/>
              </a:solidFill>
              <a:effectLst/>
              <a:latin typeface="+mn-lt"/>
              <a:ea typeface="+mn-ea"/>
              <a:cs typeface="+mn-cs"/>
            </a:rPr>
            <a:t>Vodafone Cloud Blueprint v2.5on TCP 2.2/TCP</a:t>
          </a:r>
          <a:r>
            <a:rPr lang="en-US" sz="1400" b="1" i="0" u="none" strike="noStrike" baseline="0">
              <a:solidFill>
                <a:schemeClr val="tx1"/>
              </a:solidFill>
              <a:effectLst/>
              <a:latin typeface="+mn-lt"/>
              <a:ea typeface="+mn-ea"/>
              <a:cs typeface="+mn-cs"/>
            </a:rPr>
            <a:t> 2.5</a:t>
          </a:r>
          <a:endParaRPr lang="en-US" sz="1400" b="1" i="0" u="none" strike="noStrike">
            <a:solidFill>
              <a:schemeClr val="tx1"/>
            </a:solidFill>
            <a:effectLst/>
            <a:latin typeface="+mn-lt"/>
            <a:ea typeface="+mn-ea"/>
            <a:cs typeface="+mn-cs"/>
          </a:endParaRPr>
        </a:p>
        <a:p>
          <a:r>
            <a:rPr lang="en-GB" sz="1100" baseline="0">
              <a:solidFill>
                <a:schemeClr val="tx1"/>
              </a:solidFill>
              <a:effectLst/>
              <a:latin typeface="+mn-lt"/>
              <a:ea typeface="+mn-ea"/>
              <a:cs typeface="+mn-cs"/>
            </a:rPr>
            <a:t>Shared during RFQ</a:t>
          </a:r>
          <a:endParaRPr lang="pt-PT" sz="1200">
            <a:solidFill>
              <a:schemeClr val="tx1"/>
            </a:solidFill>
            <a:effectLst/>
          </a:endParaRPr>
        </a:p>
        <a:p>
          <a:pPr marL="171450" lvl="0" indent="-171450" algn="just">
            <a:buFont typeface="Arial" panose="020B0604020202020204" pitchFamily="34" charset="0"/>
            <a:buChar char="•"/>
          </a:pPr>
          <a:endParaRPr lang="en-GB" sz="1200">
            <a:solidFill>
              <a:sysClr val="windowText" lastClr="000000"/>
            </a:solidFill>
          </a:endParaRPr>
        </a:p>
        <a:p>
          <a:endParaRPr lang="en-GB" sz="1100" b="0" i="0" u="none" strike="noStrike" baseline="0">
            <a:solidFill>
              <a:sysClr val="windowText" lastClr="000000"/>
            </a:solidFill>
            <a:latin typeface="+mn-lt"/>
            <a:ea typeface="+mn-ea"/>
            <a:cs typeface="+mn-cs"/>
          </a:endParaRPr>
        </a:p>
      </xdr:txBody>
    </xdr:sp>
    <xdr:clientData/>
  </xdr:twoCellAnchor>
  <xdr:twoCellAnchor editAs="oneCell">
    <xdr:from>
      <xdr:col>0</xdr:col>
      <xdr:colOff>190500</xdr:colOff>
      <xdr:row>117</xdr:row>
      <xdr:rowOff>127000</xdr:rowOff>
    </xdr:from>
    <xdr:to>
      <xdr:col>1</xdr:col>
      <xdr:colOff>609600</xdr:colOff>
      <xdr:row>122</xdr:row>
      <xdr:rowOff>76200</xdr:rowOff>
    </xdr:to>
    <xdr:sp macro="" textlink="">
      <xdr:nvSpPr>
        <xdr:cNvPr id="3" name="Object 1" hidden="1">
          <a:extLst>
            <a:ext uri="{63B3BB69-23CF-44E3-9099-C40C66FF867C}">
              <a14:compatExt xmlns:a14="http://schemas.microsoft.com/office/drawing/2010/main" spid="_x0000_s32769"/>
            </a:ext>
            <a:ext uri="{FF2B5EF4-FFF2-40B4-BE49-F238E27FC236}">
              <a16:creationId xmlns:a16="http://schemas.microsoft.com/office/drawing/2014/main" id="{1854E24B-2EAA-439D-81F0-89FA38A46A86}"/>
            </a:ext>
          </a:extLst>
        </xdr:cNvPr>
        <xdr:cNvSpPr/>
      </xdr:nvSpPr>
      <xdr:spPr bwMode="auto">
        <a:xfrm>
          <a:off x="190500" y="22872700"/>
          <a:ext cx="914400" cy="8540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6650181</xdr:colOff>
      <xdr:row>2</xdr:row>
      <xdr:rowOff>25169</xdr:rowOff>
    </xdr:from>
    <xdr:to>
      <xdr:col>8</xdr:col>
      <xdr:colOff>691687</xdr:colOff>
      <xdr:row>101</xdr:row>
      <xdr:rowOff>92364</xdr:rowOff>
    </xdr:to>
    <xdr:sp macro="" textlink="">
      <xdr:nvSpPr>
        <xdr:cNvPr id="4" name="TextBox 3">
          <a:extLst>
            <a:ext uri="{FF2B5EF4-FFF2-40B4-BE49-F238E27FC236}">
              <a16:creationId xmlns:a16="http://schemas.microsoft.com/office/drawing/2014/main" id="{80071D93-6C8B-4C80-87C6-0D749126540E}"/>
            </a:ext>
          </a:extLst>
        </xdr:cNvPr>
        <xdr:cNvSpPr txBox="1"/>
      </xdr:nvSpPr>
      <xdr:spPr>
        <a:xfrm>
          <a:off x="8231331" y="1901594"/>
          <a:ext cx="7928956" cy="180408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600" b="1" i="0" u="none" strike="noStrike" kern="0" cap="none" spc="0" normalizeH="0" baseline="0" noProof="0">
              <a:ln>
                <a:noFill/>
              </a:ln>
              <a:solidFill>
                <a:srgbClr val="FF0000"/>
              </a:solidFill>
              <a:effectLst/>
              <a:uLnTx/>
              <a:uFillTx/>
              <a:latin typeface="+mn-lt"/>
              <a:ea typeface="+mn-ea"/>
              <a:cs typeface="+mn-cs"/>
            </a:rPr>
            <a:t>Scenario B:</a:t>
          </a:r>
          <a:r>
            <a:rPr kumimoji="0" lang="en-GB" sz="1600" b="1" i="0" u="none" strike="noStrike" kern="0" cap="none" spc="0" normalizeH="0" baseline="0">
              <a:ln>
                <a:noFill/>
              </a:ln>
              <a:solidFill>
                <a:srgbClr val="FF0000"/>
              </a:solidFill>
              <a:effectLst/>
              <a:uLnTx/>
              <a:uFillTx/>
              <a:latin typeface="+mn-lt"/>
              <a:ea typeface="+mn-ea"/>
              <a:cs typeface="+mn-cs"/>
            </a:rPr>
            <a:t> (Rackmount server-CLR)</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Cascade lake refresh processor</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lang="pt-PT" sz="1100" b="0" i="0">
              <a:solidFill>
                <a:schemeClr val="dk1"/>
              </a:solidFill>
              <a:effectLst/>
              <a:latin typeface="+mn-lt"/>
              <a:ea typeface="+mn-ea"/>
              <a:cs typeface="+mn-cs"/>
            </a:rPr>
            <a:t>Intel </a:t>
          </a:r>
          <a:r>
            <a:rPr lang="en-US" sz="1100">
              <a:solidFill>
                <a:schemeClr val="dk1"/>
              </a:solidFill>
              <a:effectLst/>
              <a:latin typeface="+mn-lt"/>
              <a:ea typeface="+mn-ea"/>
              <a:cs typeface="+mn-cs"/>
            </a:rPr>
            <a:t>Cascade lake refresh 6258R, 2.7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2 processors 28 cores (56 total), per Host  </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a:t>
          </a:r>
          <a:r>
            <a:rPr lang="en-GB" sz="1100" b="0" i="0" baseline="0">
              <a:solidFill>
                <a:schemeClr val="dk1"/>
              </a:solidFill>
              <a:effectLst/>
              <a:latin typeface="+mn-lt"/>
              <a:ea typeface="+mn-ea"/>
              <a:cs typeface="+mn-cs"/>
            </a:rPr>
            <a:t>2 NICs (with 2 ports at 25Gbps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15 Gbps blade limit (as above)</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Data plane blade: 2 NICs (with 2 ports at 25Gbps per NIC) in 1+1 redundancy (at NIC level), 50% usage limit with Blocking architecture -&gt;  30 Gbps blade limit (as above)</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HT is allowed to be enabled for control plane cnfs. This information needs to be captured in CNF_info tab.</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Blade limits available for the CNFs</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RM (hyperthreading disabled) = </a:t>
          </a:r>
          <a:r>
            <a:rPr kumimoji="0" lang="en-GB" sz="1100" b="0" i="0" u="none" strike="noStrike" kern="0" cap="none" spc="0" normalizeH="0" baseline="0" noProof="0">
              <a:ln>
                <a:noFill/>
              </a:ln>
              <a:solidFill>
                <a:schemeClr val="dk1"/>
              </a:solidFill>
              <a:effectLst/>
              <a:uLnTx/>
              <a:uFillTx/>
              <a:latin typeface="+mn-lt"/>
              <a:ea typeface="+mn-ea"/>
              <a:cs typeface="+mn-cs"/>
            </a:rPr>
            <a:t>48</a:t>
          </a:r>
          <a:r>
            <a:rPr lang="en-GB" sz="1100" b="0" i="0" baseline="0">
              <a:solidFill>
                <a:schemeClr val="dk1"/>
              </a:solidFill>
              <a:effectLst/>
              <a:latin typeface="+mn-lt"/>
              <a:ea typeface="+mn-ea"/>
              <a:cs typeface="+mn-cs"/>
            </a:rPr>
            <a:t> vCPU(without EDP) 44 vCPU(withEDP) </a:t>
          </a:r>
          <a:r>
            <a:rPr kumimoji="0" lang="en-GB" sz="1100" b="0" i="0" u="none" strike="noStrike" kern="0" cap="none" spc="0" normalizeH="0" baseline="0" noProof="0">
              <a:ln>
                <a:noFill/>
              </a:ln>
              <a:solidFill>
                <a:schemeClr val="tx1"/>
              </a:solidFill>
              <a:effectLst/>
              <a:uLnTx/>
              <a:uFillTx/>
              <a:latin typeface="+mn-lt"/>
              <a:ea typeface="+mn-ea"/>
              <a:cs typeface="+mn-cs"/>
            </a:rPr>
            <a:t>(additional 20% CPU processing power is already considered for VMware overhead, with the current CPU model it translates to </a:t>
          </a:r>
          <a:r>
            <a:rPr lang="en-GB" sz="1100" b="0" i="0" baseline="0">
              <a:solidFill>
                <a:schemeClr val="dk1"/>
              </a:solidFill>
              <a:effectLst/>
              <a:latin typeface="+mn-lt"/>
              <a:ea typeface="+mn-ea"/>
              <a:cs typeface="+mn-cs"/>
            </a:rPr>
            <a:t>8 vCPUs without EDP and 12 with EDP</a:t>
          </a:r>
          <a:r>
            <a:rPr kumimoji="0" lang="en-GB" sz="1100" b="0" i="0" u="none" strike="noStrike" kern="0" cap="none" spc="0" normalizeH="0" baseline="0" noProof="0">
              <a:ln>
                <a:noFill/>
              </a:ln>
              <a:solidFill>
                <a:schemeClr val="tx1"/>
              </a:solidFill>
              <a:effectLst/>
              <a:uLnTx/>
              <a:uFillTx/>
              <a:latin typeface="+mn-lt"/>
              <a:ea typeface="+mn-ea"/>
              <a:cs typeface="+mn-cs"/>
            </a:rPr>
            <a:t>)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Signalling Plane RM (hyperthreading enabled) = 96 vCPU (additional 20% CPU processing power is already considered for VMware overhead, with the current CPU model it translates to 8 vCPUs without EDP and 12 with EDP)</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a:t>
          </a:r>
          <a:r>
            <a:rPr lang="en-GB" sz="1100" b="0" i="0" baseline="0">
              <a:solidFill>
                <a:schemeClr val="dk1"/>
              </a:solidFill>
              <a:effectLst/>
              <a:latin typeface="+mn-lt"/>
              <a:ea typeface="+mn-ea"/>
              <a:cs typeface="+mn-cs"/>
            </a:rPr>
            <a:t>48 vCPU(without EDP) 44 vCPU(withEDP) (additional 20% CPU processing power is already considered for VMware overhead, with the current CPU model it translates to 8 vCPUs without EDP and 12 with EDP)</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1 Core = 2 vCPU (hyperthreading enabled)</a:t>
          </a:r>
          <a:r>
            <a:rPr lang="en-GB" sz="1100">
              <a:solidFill>
                <a:schemeClr val="dk1"/>
              </a:solidFill>
              <a:effectLst/>
              <a:latin typeface="+mn-lt"/>
              <a:ea typeface="+mn-ea"/>
              <a:cs typeface="+mn-cs"/>
            </a:rPr>
            <a:t>( Note: this does not mean double the cpu Performance )</a:t>
          </a:r>
          <a:endParaRPr lang="en-US">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 with EDP(without probing)</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RM- 25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RM- 50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Networking with EDP(</a:t>
          </a:r>
          <a:r>
            <a:rPr lang="en-US" sz="1100" b="0" i="0">
              <a:solidFill>
                <a:schemeClr val="dk1"/>
              </a:solidFill>
              <a:effectLst/>
              <a:latin typeface="+mn-lt"/>
              <a:ea typeface="+mn-ea"/>
              <a:cs typeface="+mn-cs"/>
            </a:rPr>
            <a:t>where market uses VDS probing</a:t>
          </a:r>
          <a:r>
            <a:rPr lang="en-GB" sz="1100" b="0" i="0" baseline="0">
              <a:solidFill>
                <a:schemeClr val="dk1"/>
              </a:solidFill>
              <a:effectLst/>
              <a:latin typeface="+mn-lt"/>
              <a:ea typeface="+mn-ea"/>
              <a:cs typeface="+mn-cs"/>
            </a:rPr>
            <a:t>)</a:t>
          </a:r>
          <a:endParaRPr lang="en-US" sz="1100">
            <a:effectLst/>
          </a:endParaRPr>
        </a:p>
        <a:p>
          <a:pPr marL="1085850" lvl="2"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Signalling plane RM- 15 Gbps</a:t>
          </a:r>
          <a:endParaRPr lang="en-US">
            <a:effectLst/>
          </a:endParaRPr>
        </a:p>
        <a:p>
          <a:pPr marL="1085850" lvl="2"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Data plane RM- 30 Gbps</a:t>
          </a:r>
          <a:endParaRPr lang="en-US" sz="1100" b="0" i="0" baseline="0">
            <a:solidFill>
              <a:schemeClr val="dk1"/>
            </a:solidFill>
            <a:effectLst/>
            <a:latin typeface="+mn-lt"/>
            <a:ea typeface="+mn-ea"/>
            <a:cs typeface="+mn-cs"/>
          </a:endParaRPr>
        </a:p>
        <a:p>
          <a:pPr marL="1085850" lvl="2" indent="-171450" eaLnBrk="1" fontAlgn="auto" latinLnBrk="0" hangingPunct="1">
            <a:buFont typeface="Arial" panose="020B0604020202020204" pitchFamily="34" charset="0"/>
            <a:buChar cha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34" charset="0"/>
            <a:buNone/>
          </a:pPr>
          <a:r>
            <a:rPr kumimoji="0" lang="en-US" sz="1100" b="0" i="0" u="none" strike="noStrike" kern="0" cap="none" spc="0" normalizeH="0" baseline="0" noProof="0">
              <a:ln>
                <a:noFill/>
              </a:ln>
              <a:solidFill>
                <a:schemeClr val="dk1"/>
              </a:solidFill>
              <a:effectLst/>
              <a:uLnTx/>
              <a:uFillTx/>
              <a:latin typeface="+mn-lt"/>
              <a:ea typeface="+mn-ea"/>
              <a:cs typeface="+mn-cs"/>
            </a:rPr>
            <a:t>*Note: Above throughput can only be achieved with EDP(Enhanced data path)</a:t>
          </a:r>
        </a:p>
        <a:p>
          <a:pPr marL="0" lvl="0" indent="0" eaLnBrk="1" fontAlgn="auto" latinLnBrk="0" hangingPunct="1">
            <a:buFont typeface="Arial" panose="020B0604020202020204" pitchFamily="34" charset="0"/>
            <a:buNone/>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cBOM dimensioning rules</a:t>
          </a:r>
        </a:p>
        <a:p>
          <a:pPr marL="628650" lvl="1" indent="-171450" algn="just">
            <a:buFont typeface="Arial" panose="020B0604020202020204" pitchFamily="34" charset="0"/>
            <a:buChar char="•"/>
          </a:pPr>
          <a:r>
            <a:rPr lang="en-GB" sz="1100">
              <a:solidFill>
                <a:sysClr val="windowText" lastClr="000000"/>
              </a:solidFill>
            </a:rPr>
            <a:t>"Signalling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22 VCPU(without EDP) and 20vCPU(with EDP) can be accepted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bandwidth requirements no more than defined in previous section for Signalling, (N/S + E/W) not considering/considering NUMA affinity</a:t>
          </a:r>
        </a:p>
        <a:p>
          <a:pPr marL="628650" lvl="1" indent="-171450" algn="just">
            <a:buFont typeface="Arial" panose="020B0604020202020204" pitchFamily="34" charset="0"/>
            <a:buChar char="•"/>
          </a:pPr>
          <a:r>
            <a:rPr lang="en-GB" sz="1100">
              <a:solidFill>
                <a:sysClr val="windowText" lastClr="000000"/>
              </a:solidFill>
            </a:rPr>
            <a:t>"Data</a:t>
          </a:r>
          <a:r>
            <a:rPr lang="en-GB" sz="1100" baseline="0">
              <a:solidFill>
                <a:sysClr val="windowText" lastClr="000000"/>
              </a:solidFill>
            </a:rPr>
            <a:t>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22 VCPU(without EDP) and 20vCPU(with EDP)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bandwidth requirements no more than defined in previous section for Data, (N/S + E/W) not considering/considering NUMA affinity</a:t>
          </a:r>
          <a:endParaRPr lang="en-GB" sz="1100" b="0">
            <a:solidFill>
              <a:srgbClr val="FF0000"/>
            </a:solidFill>
            <a:effectLst/>
          </a:endParaRPr>
        </a:p>
        <a:p>
          <a:pPr marL="628650" lvl="1" indent="-171450" algn="just">
            <a:buFont typeface="Arial" panose="020B0604020202020204" pitchFamily="34" charset="0"/>
            <a:buChar char="•"/>
          </a:pPr>
          <a:r>
            <a:rPr lang="en-GB" sz="1100">
              <a:solidFill>
                <a:sysClr val="windowText" lastClr="000000"/>
              </a:solidFill>
            </a:rPr>
            <a:t>PODs shall be dimensioned for all applications and operating systems supporting the vendor solution. The CNF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PODs are to be used at the % level of utilization of an active POD's processing resources that is indicated in the deployment models of each CNF for each OpCo (that is contained in the OpCo's FSD document), which is also the same level of utilization at which the capacity statements are provided for each CNF/OpCo.</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Refer to Definitions &amp; Rules tab</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solidFill>
              <a:sysClr val="windowText" lastClr="000000"/>
            </a:solidFill>
            <a:effectLst/>
          </a:endParaRPr>
        </a:p>
        <a:p>
          <a:pPr eaLnBrk="1" fontAlgn="auto" latinLnBrk="0" hangingPunct="1"/>
          <a:r>
            <a:rPr lang="en-US" sz="1100" b="1">
              <a:solidFill>
                <a:schemeClr val="dk1"/>
              </a:solidFill>
              <a:effectLst/>
              <a:latin typeface="+mn-lt"/>
              <a:ea typeface="+mn-ea"/>
              <a:cs typeface="+mn-cs"/>
            </a:rPr>
            <a:t>Hyperthreading guidelines</a:t>
          </a:r>
          <a:endParaRPr lang="en-US" sz="1100">
            <a:effectLst/>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Hyperthreading enabled will only be considered fo control plane. Vendor can request for Hyperthreading for control plane.</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By default HT will not be considered for control plane, if vendor needs it they need to request it from "CNF_Info" TAB</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Hyperthreading will always be disabled for data plane.</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Guidelines:</a:t>
          </a:r>
          <a:endParaRPr lang="en-US" sz="1100">
            <a:solidFill>
              <a:sysClr val="windowText" lastClr="000000"/>
            </a:solidFill>
            <a:effectLst/>
            <a:latin typeface="+mn-lt"/>
            <a:ea typeface="+mn-ea"/>
            <a:cs typeface="+mn-cs"/>
          </a:endParaRPr>
        </a:p>
        <a:p>
          <a:r>
            <a:rPr lang="en-US" sz="1100" b="1">
              <a:solidFill>
                <a:schemeClr val="dk1"/>
              </a:solidFill>
              <a:effectLst/>
              <a:latin typeface="+mn-lt"/>
              <a:ea typeface="+mn-ea"/>
              <a:cs typeface="+mn-cs"/>
            </a:rPr>
            <a:t>Data plane:</a:t>
          </a:r>
          <a:endParaRPr lang="en-US">
            <a:effectLst/>
          </a:endParaRPr>
        </a:p>
        <a:p>
          <a:r>
            <a:rPr lang="en-US" sz="1100">
              <a:solidFill>
                <a:schemeClr val="dk1"/>
              </a:solidFill>
              <a:effectLst/>
              <a:latin typeface="+mn-lt"/>
              <a:ea typeface="+mn-ea"/>
              <a:cs typeface="+mn-cs"/>
            </a:rPr>
            <a:t>              Not applicable to data plane</a:t>
          </a:r>
          <a:endParaRPr lang="en-US">
            <a:effectLst/>
          </a:endParaRPr>
        </a:p>
        <a:p>
          <a:r>
            <a:rPr lang="en-US" sz="1100">
              <a:solidFill>
                <a:schemeClr val="dk1"/>
              </a:solidFill>
              <a:effectLst/>
              <a:latin typeface="+mn-lt"/>
              <a:ea typeface="+mn-ea"/>
              <a:cs typeface="+mn-cs"/>
            </a:rPr>
            <a:t> </a:t>
          </a:r>
          <a:endParaRPr lang="en-US">
            <a:effectLst/>
          </a:endParaRPr>
        </a:p>
        <a:p>
          <a:r>
            <a:rPr lang="en-US" sz="1100" b="1">
              <a:solidFill>
                <a:schemeClr val="dk1"/>
              </a:solidFill>
              <a:effectLst/>
              <a:latin typeface="+mn-lt"/>
              <a:ea typeface="+mn-ea"/>
              <a:cs typeface="+mn-cs"/>
            </a:rPr>
            <a:t>Control plane:</a:t>
          </a:r>
          <a:endParaRPr lang="en-US">
            <a:effectLst/>
          </a:endParaRPr>
        </a:p>
        <a:p>
          <a:pPr lvl="1"/>
          <a:r>
            <a:rPr lang="en-US" sz="1100" b="1">
              <a:solidFill>
                <a:schemeClr val="dk1"/>
              </a:solidFill>
              <a:effectLst/>
              <a:latin typeface="+mn-lt"/>
              <a:ea typeface="+mn-ea"/>
              <a:cs typeface="+mn-cs"/>
            </a:rPr>
            <a:t>If:</a:t>
          </a:r>
          <a:endParaRPr lang="en-US">
            <a:effectLst/>
          </a:endParaRPr>
        </a:p>
        <a:p>
          <a:pPr lvl="1"/>
          <a:r>
            <a:rPr lang="en-US" sz="1100">
              <a:solidFill>
                <a:schemeClr val="dk1"/>
              </a:solidFill>
              <a:effectLst/>
              <a:latin typeface="+mn-lt"/>
              <a:ea typeface="+mn-ea"/>
              <a:cs typeface="+mn-cs"/>
            </a:rPr>
            <a:t>Worker node cpu size less or equal to physical core count per numa minus reservations (current cpu as an example has 28 physical cores, 6 physical cores are reserved, current limit is 28-6=22).</a:t>
          </a:r>
          <a:endParaRPr lang="en-US">
            <a:effectLst/>
          </a:endParaRPr>
        </a:p>
        <a:p>
          <a:pPr lvl="1"/>
          <a:r>
            <a:rPr lang="en-US" sz="1100">
              <a:solidFill>
                <a:schemeClr val="dk1"/>
              </a:solidFill>
              <a:effectLst/>
              <a:latin typeface="+mn-lt"/>
              <a:ea typeface="+mn-ea"/>
              <a:cs typeface="+mn-cs"/>
            </a:rPr>
            <a:t>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1 physical core = 2 vCPU ( Note: this does not mean double the cpu Performance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a:effectLst/>
          </a:endParaRPr>
        </a:p>
        <a:p>
          <a:pPr marL="1085850" marR="0" lvl="2"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VM Advanced settings : </a:t>
          </a:r>
          <a:r>
            <a:rPr lang="en-GB" sz="1100" b="1">
              <a:solidFill>
                <a:schemeClr val="dk1"/>
              </a:solidFill>
              <a:effectLst/>
              <a:latin typeface="+mn-lt"/>
              <a:ea typeface="+mn-ea"/>
              <a:cs typeface="+mn-cs"/>
            </a:rPr>
            <a:t>numa.vcpu.preferHT=false </a:t>
          </a:r>
          <a:r>
            <a:rPr lang="en-GB" sz="1100" b="0">
              <a:solidFill>
                <a:schemeClr val="dk1"/>
              </a:solidFill>
              <a:effectLst/>
              <a:latin typeface="+mn-lt"/>
              <a:ea typeface="+mn-ea"/>
              <a:cs typeface="+mn-cs"/>
            </a:rPr>
            <a:t>(default setting)</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rPr>
            <a:t>TOSCA Definition Extension (vmware.com)</a:t>
          </a:r>
          <a:r>
            <a:rPr lang="en-US" sz="1100">
              <a:solidFill>
                <a:schemeClr val="dk1"/>
              </a:solidFill>
              <a:effectLst/>
              <a:latin typeface="+mn-lt"/>
              <a:ea typeface="+mn-ea"/>
              <a:cs typeface="+mn-cs"/>
            </a:rPr>
            <a:t>)</a:t>
          </a:r>
          <a:endParaRPr lang="en-US">
            <a:effectLst/>
          </a:endParaRPr>
        </a:p>
        <a:p>
          <a:pPr lvl="1"/>
          <a:r>
            <a:rPr lang="en-US" sz="1100" b="1">
              <a:solidFill>
                <a:schemeClr val="dk1"/>
              </a:solidFill>
              <a:effectLst/>
              <a:latin typeface="+mn-lt"/>
              <a:ea typeface="+mn-ea"/>
              <a:cs typeface="+mn-cs"/>
            </a:rPr>
            <a:t>Else:</a:t>
          </a:r>
          <a:endParaRPr lang="en-US">
            <a:effectLst/>
          </a:endParaRPr>
        </a:p>
        <a:p>
          <a:pPr lvl="1"/>
          <a:r>
            <a:rPr lang="en-US" sz="1100">
              <a:solidFill>
                <a:schemeClr val="dk1"/>
              </a:solidFill>
              <a:effectLst/>
              <a:latin typeface="+mn-lt"/>
              <a:ea typeface="+mn-ea"/>
              <a:cs typeface="+mn-cs"/>
            </a:rPr>
            <a:t>Worker node cpu size greater than physical core count per numa minus reservations (current cpu as an example has 28 physical cores, 6 physical cores are reserved, current limit is 28-6=22).</a:t>
          </a:r>
          <a:endParaRPr lang="en-US">
            <a:effectLst/>
          </a:endParaRPr>
        </a:p>
        <a:p>
          <a:pPr lvl="1"/>
          <a:r>
            <a:rPr lang="en-US" sz="1100">
              <a:solidFill>
                <a:schemeClr val="dk1"/>
              </a:solidFill>
              <a:effectLst/>
              <a:latin typeface="+mn-lt"/>
              <a:ea typeface="+mn-ea"/>
              <a:cs typeface="+mn-cs"/>
            </a:rPr>
            <a:t>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1 physcial core = 2 vCPU ( Note: this does not mean double the cpu Performance)</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VM Advanced settings </a:t>
          </a:r>
          <a:r>
            <a:rPr lang="en-GB" sz="1100" b="1">
              <a:solidFill>
                <a:schemeClr val="dk1"/>
              </a:solidFill>
              <a:effectLst/>
              <a:latin typeface="+mn-lt"/>
              <a:ea typeface="+mn-ea"/>
              <a:cs typeface="+mn-cs"/>
            </a:rPr>
            <a:t>: numa.vcpu.preferHT=true</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rPr>
            <a:t>TOSCA Definition Extension (vmware.com)</a:t>
          </a:r>
          <a:r>
            <a:rPr lang="en-US" sz="1100">
              <a:solidFill>
                <a:schemeClr val="dk1"/>
              </a:solidFill>
              <a:effectLst/>
              <a:latin typeface="+mn-lt"/>
              <a:ea typeface="+mn-ea"/>
              <a:cs typeface="+mn-cs"/>
            </a:rPr>
            <a:t>)</a:t>
          </a:r>
          <a:endParaRPr lang="en-US">
            <a:effectLst/>
          </a:endParaRPr>
        </a:p>
        <a:p>
          <a:pPr marL="628650" lvl="1" indent="-171450" algn="l" eaLnBrk="1" fontAlgn="auto" latinLnBrk="0" hangingPunct="1">
            <a:buFont typeface="Arial" panose="020B0604020202020204" pitchFamily="34" charset="0"/>
            <a:buChar char="•"/>
          </a:pPr>
          <a:endParaRPr lang="en-US" sz="1100">
            <a:solidFill>
              <a:sysClr val="windowText" lastClr="000000"/>
            </a:solidFill>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solidFill>
              <a:sysClr val="windowText" lastClr="000000"/>
            </a:solidFill>
            <a:effectLst/>
          </a:endParaRPr>
        </a:p>
        <a:p>
          <a:pPr marL="0" lvl="0" indent="0" algn="just">
            <a:buFont typeface="Arial" panose="020B0604020202020204" pitchFamily="34" charset="0"/>
            <a:buNone/>
          </a:pPr>
          <a:r>
            <a:rPr lang="en-GB" sz="1400" b="1" i="0" u="none" strike="noStrike">
              <a:solidFill>
                <a:sysClr val="windowText" lastClr="000000"/>
              </a:solidFill>
              <a:effectLst/>
              <a:latin typeface="+mn-lt"/>
              <a:ea typeface="+mn-ea"/>
              <a:cs typeface="+mn-cs"/>
            </a:rPr>
            <a:t>Reference VMware CaaS Environment: VMware TKG 1.5 on VMWare TCP 2.5</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pt-PT" sz="1100">
              <a:solidFill>
                <a:schemeClr val="dk1"/>
              </a:solidFill>
              <a:effectLst/>
              <a:latin typeface="+mn-lt"/>
              <a:ea typeface="+mn-ea"/>
              <a:cs typeface="+mn-cs"/>
            </a:rPr>
            <a:t>https://docs.vmware.com/en/VMware-Telco-Cloud-Platform/2.0/rn/Telco-Cloud-Platform-5G-Edition-20-Release-Notes.html </a:t>
          </a:r>
          <a:endParaRPr lang="en-US"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lang="en-GB" sz="1400" b="1" i="0" u="none" strike="noStrike">
            <a:solidFill>
              <a:sysClr val="windowText" lastClr="000000"/>
            </a:solidFill>
            <a:effectLst/>
            <a:latin typeface="+mn-lt"/>
            <a:ea typeface="+mn-ea"/>
            <a:cs typeface="+mn-cs"/>
          </a:endParaRPr>
        </a:p>
        <a:p>
          <a:pPr marL="171450" lvl="0" indent="-171450" algn="l">
            <a:buFont typeface="Arial" panose="020B0604020202020204" pitchFamily="34" charset="0"/>
            <a:buChar char="•"/>
          </a:pPr>
          <a:r>
            <a:rPr lang="en-GB" sz="1100">
              <a:solidFill>
                <a:sysClr val="windowText" lastClr="000000"/>
              </a:solidFill>
            </a:rPr>
            <a:t>Hypervisor: VMware ESXi 7.0</a:t>
          </a:r>
        </a:p>
        <a:p>
          <a:pPr marL="171450" lvl="0" indent="-171450" algn="l">
            <a:buFont typeface="Arial" panose="020B0604020202020204" pitchFamily="34" charset="0"/>
            <a:buChar char="•"/>
          </a:pPr>
          <a:r>
            <a:rPr lang="en-GB" sz="1100">
              <a:solidFill>
                <a:sysClr val="windowText" lastClr="000000"/>
              </a:solidFill>
            </a:rPr>
            <a:t>NSX-T 3.1(E-NVDS)</a:t>
          </a:r>
        </a:p>
        <a:p>
          <a:pPr marL="171450" lvl="0" indent="-171450" algn="l">
            <a:buFont typeface="Arial" panose="020B0604020202020204" pitchFamily="34" charset="0"/>
            <a:buChar char="•"/>
          </a:pPr>
          <a:r>
            <a:rPr lang="en-GB" sz="1100">
              <a:solidFill>
                <a:sysClr val="windowText" lastClr="000000"/>
              </a:solidFill>
            </a:rPr>
            <a:t>In case the vendor makes assumptions on improvements in the efficiency and capacity of the VMware environement during</a:t>
          </a:r>
          <a:r>
            <a:rPr lang="en-GB" sz="1100" baseline="0">
              <a:solidFill>
                <a:sysClr val="windowText" lastClr="000000"/>
              </a:solidFill>
            </a:rPr>
            <a:t> the 5 years (e.g. new release of hypervisor, DPDK, etc.), the vendor is requested to state it explicitly the amount of the performance improvement. </a:t>
          </a:r>
        </a:p>
        <a:p>
          <a:pPr marL="171450" lvl="0" indent="-171450" algn="l">
            <a:buFont typeface="Arial" panose="020B0604020202020204" pitchFamily="34" charset="0"/>
            <a:buChar char="•"/>
          </a:pPr>
          <a:endParaRPr lang="en-GB" sz="1200">
            <a:solidFill>
              <a:sysClr val="windowText" lastClr="000000"/>
            </a:solidFill>
          </a:endParaRPr>
        </a:p>
        <a:p>
          <a:pPr marL="0" lvl="0" indent="0" algn="just">
            <a:buFont typeface="Arial" panose="020B0604020202020204" pitchFamily="34" charset="0"/>
            <a:buNone/>
          </a:pPr>
          <a:r>
            <a:rPr lang="en-GB" sz="1400" b="1" i="0" u="none" strike="noStrike">
              <a:solidFill>
                <a:schemeClr val="tx1"/>
              </a:solidFill>
              <a:effectLst/>
              <a:latin typeface="+mn-lt"/>
              <a:ea typeface="+mn-ea"/>
              <a:cs typeface="+mn-cs"/>
            </a:rPr>
            <a:t>Networking - reference architecture</a:t>
          </a:r>
        </a:p>
        <a:p>
          <a:pPr marL="171450" lvl="0" indent="-171450" algn="just">
            <a:buFont typeface="Arial" panose="020B0604020202020204" pitchFamily="34" charset="0"/>
            <a:buChar char="•"/>
          </a:pPr>
          <a:endParaRPr lang="en-GB" sz="1200">
            <a:solidFill>
              <a:schemeClr val="tx1"/>
            </a:solidFill>
          </a:endParaRPr>
        </a:p>
        <a:p>
          <a:pPr marL="171450" lvl="0" indent="-171450" algn="just">
            <a:buFont typeface="Arial" panose="020B0604020202020204" pitchFamily="34" charset="0"/>
            <a:buChar char="•"/>
          </a:pPr>
          <a:endParaRPr lang="en-GB" sz="1200">
            <a:solidFill>
              <a:schemeClr val="tx1"/>
            </a:solidFill>
          </a:endParaRPr>
        </a:p>
        <a:p>
          <a:endParaRPr lang="en-GB" sz="1400" b="1" i="0" u="none" strike="noStrike">
            <a:solidFill>
              <a:schemeClr val="tx1"/>
            </a:solidFill>
            <a:effectLst/>
            <a:latin typeface="+mn-lt"/>
            <a:ea typeface="+mn-ea"/>
            <a:cs typeface="+mn-cs"/>
          </a:endParaRPr>
        </a:p>
        <a:p>
          <a:endParaRPr lang="en-GB" sz="1400" b="1" i="0" u="none" strike="noStrike">
            <a:solidFill>
              <a:schemeClr val="tx1"/>
            </a:solidFill>
            <a:effectLst/>
            <a:latin typeface="+mn-lt"/>
            <a:ea typeface="+mn-ea"/>
            <a:cs typeface="+mn-cs"/>
          </a:endParaRPr>
        </a:p>
        <a:p>
          <a:endParaRPr lang="en-GB" sz="1400" b="1" i="0" u="none" strike="noStrike">
            <a:solidFill>
              <a:schemeClr val="tx1"/>
            </a:solidFill>
            <a:effectLst/>
            <a:latin typeface="+mn-lt"/>
            <a:ea typeface="+mn-ea"/>
            <a:cs typeface="+mn-cs"/>
          </a:endParaRPr>
        </a:p>
        <a:p>
          <a:r>
            <a:rPr lang="en-US" sz="1400" b="1" i="0" u="none" strike="noStrike">
              <a:solidFill>
                <a:schemeClr val="tx1"/>
              </a:solidFill>
              <a:effectLst/>
              <a:latin typeface="+mn-lt"/>
              <a:ea typeface="+mn-ea"/>
              <a:cs typeface="+mn-cs"/>
            </a:rPr>
            <a:t>Vodafone Cloud Blueprint v2.5 on TCP 2.2/TCP</a:t>
          </a:r>
          <a:r>
            <a:rPr lang="en-US" sz="1400" b="1" i="0" u="none" strike="noStrike" baseline="0">
              <a:solidFill>
                <a:schemeClr val="tx1"/>
              </a:solidFill>
              <a:effectLst/>
              <a:latin typeface="+mn-lt"/>
              <a:ea typeface="+mn-ea"/>
              <a:cs typeface="+mn-cs"/>
            </a:rPr>
            <a:t> 2.5/TCP3.0</a:t>
          </a:r>
          <a:endParaRPr lang="en-US" sz="1400" b="1" i="0" u="none" strike="noStrike">
            <a:solidFill>
              <a:schemeClr val="tx1"/>
            </a:solidFill>
            <a:effectLst/>
            <a:latin typeface="+mn-lt"/>
            <a:ea typeface="+mn-ea"/>
            <a:cs typeface="+mn-cs"/>
          </a:endParaRPr>
        </a:p>
        <a:p>
          <a:r>
            <a:rPr lang="en-GB" sz="1100" baseline="0">
              <a:solidFill>
                <a:schemeClr val="tx1"/>
              </a:solidFill>
              <a:effectLst/>
              <a:latin typeface="+mn-lt"/>
              <a:ea typeface="+mn-ea"/>
              <a:cs typeface="+mn-cs"/>
            </a:rPr>
            <a:t>Shared during RFQ</a:t>
          </a:r>
          <a:endParaRPr lang="pt-PT" sz="1200">
            <a:solidFill>
              <a:schemeClr val="tx1"/>
            </a:solidFill>
            <a:effectLst/>
          </a:endParaRPr>
        </a:p>
        <a:p>
          <a:pPr marL="171450" lvl="0" indent="-171450" algn="just">
            <a:buFont typeface="Arial" panose="020B0604020202020204" pitchFamily="34" charset="0"/>
            <a:buChar char="•"/>
          </a:pPr>
          <a:endParaRPr lang="en-GB" sz="1200">
            <a:solidFill>
              <a:sysClr val="windowText" lastClr="000000"/>
            </a:solidFill>
          </a:endParaRPr>
        </a:p>
        <a:p>
          <a:endParaRPr lang="en-GB" sz="1100" b="0" i="0" u="none" strike="noStrike" baseline="0">
            <a:solidFill>
              <a:sysClr val="windowText" lastClr="000000"/>
            </a:solidFill>
            <a:latin typeface="+mn-lt"/>
            <a:ea typeface="+mn-ea"/>
            <a:cs typeface="+mn-cs"/>
          </a:endParaRPr>
        </a:p>
      </xdr:txBody>
    </xdr:sp>
    <xdr:clientData/>
  </xdr:twoCellAnchor>
  <xdr:twoCellAnchor editAs="oneCell">
    <xdr:from>
      <xdr:col>2</xdr:col>
      <xdr:colOff>6820478</xdr:colOff>
      <xdr:row>83</xdr:row>
      <xdr:rowOff>139123</xdr:rowOff>
    </xdr:from>
    <xdr:to>
      <xdr:col>3</xdr:col>
      <xdr:colOff>864178</xdr:colOff>
      <xdr:row>88</xdr:row>
      <xdr:rowOff>75623</xdr:rowOff>
    </xdr:to>
    <xdr:sp macro="" textlink="">
      <xdr:nvSpPr>
        <xdr:cNvPr id="5" name="Object 2" hidden="1">
          <a:extLst>
            <a:ext uri="{63B3BB69-23CF-44E3-9099-C40C66FF867C}">
              <a14:compatExt xmlns:a14="http://schemas.microsoft.com/office/drawing/2010/main" spid="_x0000_s32770"/>
            </a:ext>
            <a:ext uri="{FF2B5EF4-FFF2-40B4-BE49-F238E27FC236}">
              <a16:creationId xmlns:a16="http://schemas.microsoft.com/office/drawing/2014/main" id="{B882E931-9429-4C2F-BFC1-B279ACADF600}"/>
            </a:ext>
          </a:extLst>
        </xdr:cNvPr>
        <xdr:cNvSpPr/>
      </xdr:nvSpPr>
      <xdr:spPr bwMode="auto">
        <a:xfrm>
          <a:off x="8230178" y="16731673"/>
          <a:ext cx="863600" cy="8413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0</xdr:col>
      <xdr:colOff>283619</xdr:colOff>
      <xdr:row>113</xdr:row>
      <xdr:rowOff>47489</xdr:rowOff>
    </xdr:from>
    <xdr:to>
      <xdr:col>1</xdr:col>
      <xdr:colOff>702719</xdr:colOff>
      <xdr:row>118</xdr:row>
      <xdr:rowOff>4534</xdr:rowOff>
    </xdr:to>
    <xdr:pic>
      <xdr:nvPicPr>
        <xdr:cNvPr id="6" name="Picture 1">
          <a:extLst>
            <a:ext uri="{FF2B5EF4-FFF2-40B4-BE49-F238E27FC236}">
              <a16:creationId xmlns:a16="http://schemas.microsoft.com/office/drawing/2014/main" id="{E609BAE8-ABBE-495F-A7A2-802881543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619" y="22069289"/>
          <a:ext cx="914400" cy="85239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3</xdr:col>
      <xdr:colOff>129998</xdr:colOff>
      <xdr:row>88</xdr:row>
      <xdr:rowOff>47319</xdr:rowOff>
    </xdr:from>
    <xdr:to>
      <xdr:col>3</xdr:col>
      <xdr:colOff>1029295</xdr:colOff>
      <xdr:row>93</xdr:row>
      <xdr:rowOff>780</xdr:rowOff>
    </xdr:to>
    <xdr:pic>
      <xdr:nvPicPr>
        <xdr:cNvPr id="7" name="Picture 2">
          <a:extLst>
            <a:ext uri="{FF2B5EF4-FFF2-40B4-BE49-F238E27FC236}">
              <a16:creationId xmlns:a16="http://schemas.microsoft.com/office/drawing/2014/main" id="{99637B65-6D04-4675-BAA6-D489F1BA42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9598" y="17544744"/>
          <a:ext cx="899297" cy="84881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9</xdr:col>
      <xdr:colOff>0</xdr:colOff>
      <xdr:row>2</xdr:row>
      <xdr:rowOff>0</xdr:rowOff>
    </xdr:from>
    <xdr:to>
      <xdr:col>15</xdr:col>
      <xdr:colOff>870584</xdr:colOff>
      <xdr:row>101</xdr:row>
      <xdr:rowOff>74815</xdr:rowOff>
    </xdr:to>
    <xdr:sp macro="" textlink="">
      <xdr:nvSpPr>
        <xdr:cNvPr id="8" name="TextBox 7">
          <a:extLst>
            <a:ext uri="{FF2B5EF4-FFF2-40B4-BE49-F238E27FC236}">
              <a16:creationId xmlns:a16="http://schemas.microsoft.com/office/drawing/2014/main" id="{D757F741-194D-4F0D-9035-629CD54B29E5}"/>
            </a:ext>
          </a:extLst>
        </xdr:cNvPr>
        <xdr:cNvSpPr txBox="1"/>
      </xdr:nvSpPr>
      <xdr:spPr>
        <a:xfrm>
          <a:off x="17154525" y="1876425"/>
          <a:ext cx="8071484" cy="18048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600" b="1" i="0" u="none" strike="noStrike" kern="0" cap="none" spc="0" normalizeH="0" baseline="0" noProof="0">
              <a:ln>
                <a:noFill/>
              </a:ln>
              <a:solidFill>
                <a:srgbClr val="FF0000"/>
              </a:solidFill>
              <a:effectLst/>
              <a:uLnTx/>
              <a:uFillTx/>
              <a:latin typeface="+mn-lt"/>
              <a:ea typeface="+mn-ea"/>
              <a:cs typeface="+mn-cs"/>
            </a:rPr>
            <a:t>Scenario C:</a:t>
          </a:r>
          <a:r>
            <a:rPr kumimoji="0" lang="en-GB" sz="1600" b="1" i="0" u="none" strike="noStrike" kern="0" cap="none" spc="0" normalizeH="0" baseline="0">
              <a:ln>
                <a:noFill/>
              </a:ln>
              <a:solidFill>
                <a:srgbClr val="FF0000"/>
              </a:solidFill>
              <a:effectLst/>
              <a:uLnTx/>
              <a:uFillTx/>
              <a:latin typeface="+mn-lt"/>
              <a:ea typeface="+mn-ea"/>
              <a:cs typeface="+mn-cs"/>
            </a:rPr>
            <a:t> (Rackmount server-Sapphire Rapid)</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DELL RMS PowerEdgeR760- Sapphire Rapids</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lang="pt-PT" sz="1100" b="0" i="0">
              <a:solidFill>
                <a:schemeClr val="dk1"/>
              </a:solidFill>
              <a:effectLst/>
              <a:latin typeface="+mn-lt"/>
              <a:ea typeface="+mn-ea"/>
              <a:cs typeface="+mn-cs"/>
            </a:rPr>
            <a:t>Intel </a:t>
          </a:r>
          <a:r>
            <a:rPr lang="en-US" sz="1100" b="0" i="0">
              <a:solidFill>
                <a:schemeClr val="dk1"/>
              </a:solidFill>
              <a:effectLst/>
              <a:latin typeface="+mn-lt"/>
              <a:ea typeface="+mn-ea"/>
              <a:cs typeface="+mn-cs"/>
            </a:rPr>
            <a:t>Sapphire</a:t>
          </a:r>
          <a:r>
            <a:rPr lang="en-US" sz="1100" b="0" i="0" baseline="0">
              <a:solidFill>
                <a:schemeClr val="dk1"/>
              </a:solidFill>
              <a:effectLst/>
              <a:latin typeface="+mn-lt"/>
              <a:ea typeface="+mn-ea"/>
              <a:cs typeface="+mn-cs"/>
            </a:rPr>
            <a:t> Rapid</a:t>
          </a:r>
          <a:r>
            <a:rPr lang="en-US" sz="1100">
              <a:solidFill>
                <a:schemeClr val="dk1"/>
              </a:solidFill>
              <a:effectLst/>
              <a:latin typeface="+mn-lt"/>
              <a:ea typeface="+mn-ea"/>
              <a:cs typeface="+mn-cs"/>
            </a:rPr>
            <a:t> 6438N, 2.0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2 processors 32 cores (64 total), per Host  </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Intel Build 1: </a:t>
          </a:r>
          <a:r>
            <a:rPr lang="en-GB" sz="1100" b="0" i="0" baseline="0">
              <a:solidFill>
                <a:schemeClr val="dk1"/>
              </a:solidFill>
              <a:effectLst/>
              <a:latin typeface="+mn-lt"/>
              <a:ea typeface="+mn-ea"/>
              <a:cs typeface="+mn-cs"/>
            </a:rPr>
            <a:t>2 NICs (with 2 ports at 25Gbps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15 Gbps blade limit (when used for Signalling plane)</a:t>
          </a:r>
          <a:r>
            <a:rPr lang="en-GB" sz="1100" b="0" i="0" baseline="0">
              <a:solidFill>
                <a:schemeClr val="dk1"/>
              </a:solidFill>
              <a:effectLst/>
              <a:latin typeface="+mn-lt"/>
              <a:ea typeface="+mn-ea"/>
              <a:cs typeface="+mn-cs"/>
            </a:rPr>
            <a:t>-&gt; 30 Gbps blade limit (when used for Data plane)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Intel Build 2(Data plane blade): 2 NICs (with 2 ports at 100Gbps per NIC) in 1+1 redundancy (at NIC level), 50% usage limit with Blocking architecture -&gt;  50 Gbps blade limit (with EDP)</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HT is allowed to be enabled for control plane cnfs. This information needs to be captured in CNF_info tab.</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Blade limits available for the CNFs</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RM (hyperthreading disabled) = 56 vCPU(without EDP) 52 vCPU(withEDP) (additional 20% CPU processing power is already considered for VMware overhead, with the current CPU model it translates to 8 vCPUs without EDP and 12 with EDP)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Signalling Plane RM (hyperthreading enabled) = 112 vCPU (additional 20% CPU processing power is already considered for VMware overhead, with the current CPU model it translates to 8 vCPUs without EDP)</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a:t>
          </a:r>
          <a:r>
            <a:rPr lang="en-GB" sz="1100" b="0" i="0" baseline="0">
              <a:solidFill>
                <a:schemeClr val="dk1"/>
              </a:solidFill>
              <a:effectLst/>
              <a:latin typeface="+mn-lt"/>
              <a:ea typeface="+mn-ea"/>
              <a:cs typeface="+mn-cs"/>
            </a:rPr>
            <a:t>56 vCPU(without EDP) 52 vCPU(withEDP) (additional 20% CPU processing power is already considered for VMware overhead, with the current CPU model it translates to 8 vCPUs without EDP and 12 with EDP)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1 Core = 2 vCPU (hyperthreading enabled)</a:t>
          </a:r>
          <a:r>
            <a:rPr lang="en-GB" sz="1100">
              <a:solidFill>
                <a:schemeClr val="dk1"/>
              </a:solidFill>
              <a:effectLst/>
              <a:latin typeface="+mn-lt"/>
              <a:ea typeface="+mn-ea"/>
              <a:cs typeface="+mn-cs"/>
            </a:rPr>
            <a:t>( Note: this does not mean double the cpu Performance )</a:t>
          </a:r>
          <a:endParaRPr lang="en-US">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 with EDP(without probing)</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RM- 25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RM- 50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Networking with EDP(</a:t>
          </a:r>
          <a:r>
            <a:rPr lang="en-US" sz="1100" b="0" i="0">
              <a:solidFill>
                <a:schemeClr val="dk1"/>
              </a:solidFill>
              <a:effectLst/>
              <a:latin typeface="+mn-lt"/>
              <a:ea typeface="+mn-ea"/>
              <a:cs typeface="+mn-cs"/>
            </a:rPr>
            <a:t>where market uses VDS probing</a:t>
          </a:r>
          <a:r>
            <a:rPr lang="en-GB" sz="1100" b="0" i="0" baseline="0">
              <a:solidFill>
                <a:schemeClr val="dk1"/>
              </a:solidFill>
              <a:effectLst/>
              <a:latin typeface="+mn-lt"/>
              <a:ea typeface="+mn-ea"/>
              <a:cs typeface="+mn-cs"/>
            </a:rPr>
            <a:t>)</a:t>
          </a:r>
          <a:endParaRPr lang="en-US" sz="1100">
            <a:effectLst/>
          </a:endParaRPr>
        </a:p>
        <a:p>
          <a:pPr marL="1085850" lvl="2"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Signalling plane RM- 15 Gbps</a:t>
          </a:r>
          <a:endParaRPr lang="en-US">
            <a:effectLst/>
          </a:endParaRPr>
        </a:p>
        <a:p>
          <a:pPr marL="1085850" lvl="2"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Data plane RM- 30 Gbps</a:t>
          </a:r>
          <a:endParaRPr lang="en-US" sz="1100" b="0" i="0" baseline="0">
            <a:solidFill>
              <a:schemeClr val="dk1"/>
            </a:solidFill>
            <a:effectLst/>
            <a:latin typeface="+mn-lt"/>
            <a:ea typeface="+mn-ea"/>
            <a:cs typeface="+mn-cs"/>
          </a:endParaRPr>
        </a:p>
        <a:p>
          <a:pPr marL="1085850" lvl="2" indent="-171450" eaLnBrk="1" fontAlgn="auto" latinLnBrk="0" hangingPunct="1">
            <a:buFont typeface="Arial" panose="020B0604020202020204" pitchFamily="34" charset="0"/>
            <a:buChar cha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34" charset="0"/>
            <a:buNone/>
          </a:pPr>
          <a:r>
            <a:rPr kumimoji="0" lang="en-US" sz="1100" b="0" i="0" u="none" strike="noStrike" kern="0" cap="none" spc="0" normalizeH="0" baseline="0" noProof="0">
              <a:ln>
                <a:noFill/>
              </a:ln>
              <a:solidFill>
                <a:schemeClr val="dk1"/>
              </a:solidFill>
              <a:effectLst/>
              <a:uLnTx/>
              <a:uFillTx/>
              <a:latin typeface="+mn-lt"/>
              <a:ea typeface="+mn-ea"/>
              <a:cs typeface="+mn-cs"/>
            </a:rPr>
            <a:t>*Note: Above throughput can only be achieved with EDP(Enhanced data path)</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0" i="0" baseline="0">
              <a:solidFill>
                <a:schemeClr val="dk1"/>
              </a:solidFill>
              <a:effectLst/>
              <a:latin typeface="+mn-lt"/>
              <a:ea typeface="+mn-ea"/>
              <a:cs typeface="+mn-cs"/>
            </a:rPr>
            <a:t>*For even Higher Throughput with 100 gb NICs SRIOV needs to be considered</a:t>
          </a:r>
          <a:endParaRPr lang="en-US">
            <a:effectLst/>
          </a:endParaRPr>
        </a:p>
        <a:p>
          <a:pPr marL="0" lvl="0" indent="0" eaLnBrk="1" fontAlgn="auto" latinLnBrk="0" hangingPunct="1">
            <a:buFont typeface="Arial" panose="020B0604020202020204" pitchFamily="34" charset="0"/>
            <a:buNone/>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34" charset="0"/>
            <a:buNone/>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cBOM dimensioning rules</a:t>
          </a:r>
        </a:p>
        <a:p>
          <a:pPr marL="628650" lvl="1" indent="-171450" algn="just">
            <a:buFont typeface="Arial" panose="020B0604020202020204" pitchFamily="34" charset="0"/>
            <a:buChar char="•"/>
          </a:pPr>
          <a:r>
            <a:rPr lang="en-GB" sz="1100">
              <a:solidFill>
                <a:sysClr val="windowText" lastClr="000000"/>
              </a:solidFill>
            </a:rPr>
            <a:t>"Signalling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26vCPU(without EDP) 2 vCPU (with EDP) can be accepted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bandwidth requirements no more than defined in previous section for Signalling, (N/S + E/W) not considering/considering NUMA affinity</a:t>
          </a:r>
        </a:p>
        <a:p>
          <a:pPr marL="628650" lvl="1" indent="-171450" algn="just">
            <a:buFont typeface="Arial" panose="020B0604020202020204" pitchFamily="34" charset="0"/>
            <a:buChar char="•"/>
          </a:pPr>
          <a:r>
            <a:rPr lang="en-GB" sz="1100">
              <a:solidFill>
                <a:sysClr val="windowText" lastClr="000000"/>
              </a:solidFill>
            </a:rPr>
            <a:t>"Data</a:t>
          </a:r>
          <a:r>
            <a:rPr lang="en-GB" sz="1100" baseline="0">
              <a:solidFill>
                <a:sysClr val="windowText" lastClr="000000"/>
              </a:solidFill>
            </a:rPr>
            <a:t>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26vCPU(without EDP) 24 vCPU (with EDP)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bandwidth requirements no more than defined in previous section for Data, (N/S + E/W) not considering/considering NUMA affinity</a:t>
          </a:r>
          <a:endParaRPr lang="en-GB" sz="1100" b="0">
            <a:solidFill>
              <a:srgbClr val="FF0000"/>
            </a:solidFill>
            <a:effectLst/>
          </a:endParaRPr>
        </a:p>
        <a:p>
          <a:pPr marL="628650" lvl="1" indent="-171450" algn="just">
            <a:buFont typeface="Arial" panose="020B0604020202020204" pitchFamily="34" charset="0"/>
            <a:buChar char="•"/>
          </a:pPr>
          <a:r>
            <a:rPr lang="en-GB" sz="1100">
              <a:solidFill>
                <a:sysClr val="windowText" lastClr="000000"/>
              </a:solidFill>
            </a:rPr>
            <a:t>PODs shall be dimensioned for all applications and operating systems supporting the vendor solution. The CNF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PODs are to be used at the % level of utilization of an active POD's processing resources that is indicated in the deployment models of each CNF for each OpCo (that is contained in the OpCo's FSD document), which is also the same level of utilization at which the capacity statements are provided for each CNF/OpCo.</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Refer to Definitions &amp; Rules tab</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solidFill>
              <a:sysClr val="windowText" lastClr="000000"/>
            </a:solidFill>
            <a:effectLst/>
          </a:endParaRPr>
        </a:p>
        <a:p>
          <a:pPr eaLnBrk="1" fontAlgn="auto" latinLnBrk="0" hangingPunct="1"/>
          <a:r>
            <a:rPr lang="en-US" sz="1100" b="1">
              <a:solidFill>
                <a:schemeClr val="dk1"/>
              </a:solidFill>
              <a:effectLst/>
              <a:latin typeface="+mn-lt"/>
              <a:ea typeface="+mn-ea"/>
              <a:cs typeface="+mn-cs"/>
            </a:rPr>
            <a:t>Hyperthreading guidelines</a:t>
          </a:r>
          <a:endParaRPr lang="en-US" sz="1100">
            <a:effectLst/>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Hyperthreading enabled will only be considered fo control plane. Vendor can request for Hyperthreading for control plane.</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By default HT will not be considered for control plane, if vendor needs it they need to request it from "CNF_Info" TAB</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Hyperthreading will always be disabled for data plane.</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Guidelines:</a:t>
          </a:r>
          <a:endParaRPr lang="en-US" sz="1100">
            <a:solidFill>
              <a:sysClr val="windowText" lastClr="000000"/>
            </a:solidFill>
            <a:effectLst/>
            <a:latin typeface="+mn-lt"/>
            <a:ea typeface="+mn-ea"/>
            <a:cs typeface="+mn-cs"/>
          </a:endParaRPr>
        </a:p>
        <a:p>
          <a:r>
            <a:rPr lang="en-US" sz="1100" b="1">
              <a:solidFill>
                <a:schemeClr val="dk1"/>
              </a:solidFill>
              <a:effectLst/>
              <a:latin typeface="+mn-lt"/>
              <a:ea typeface="+mn-ea"/>
              <a:cs typeface="+mn-cs"/>
            </a:rPr>
            <a:t>Data plane:</a:t>
          </a:r>
          <a:endParaRPr lang="en-US">
            <a:effectLst/>
          </a:endParaRPr>
        </a:p>
        <a:p>
          <a:r>
            <a:rPr lang="en-US" sz="1100">
              <a:solidFill>
                <a:schemeClr val="dk1"/>
              </a:solidFill>
              <a:effectLst/>
              <a:latin typeface="+mn-lt"/>
              <a:ea typeface="+mn-ea"/>
              <a:cs typeface="+mn-cs"/>
            </a:rPr>
            <a:t>              Not applicable to data plane</a:t>
          </a:r>
          <a:endParaRPr lang="en-US">
            <a:effectLst/>
          </a:endParaRPr>
        </a:p>
        <a:p>
          <a:r>
            <a:rPr lang="en-US" sz="1100">
              <a:solidFill>
                <a:schemeClr val="dk1"/>
              </a:solidFill>
              <a:effectLst/>
              <a:latin typeface="+mn-lt"/>
              <a:ea typeface="+mn-ea"/>
              <a:cs typeface="+mn-cs"/>
            </a:rPr>
            <a:t> </a:t>
          </a:r>
          <a:endParaRPr lang="en-US">
            <a:effectLst/>
          </a:endParaRPr>
        </a:p>
        <a:p>
          <a:r>
            <a:rPr lang="en-US" sz="1100" b="1">
              <a:solidFill>
                <a:schemeClr val="dk1"/>
              </a:solidFill>
              <a:effectLst/>
              <a:latin typeface="+mn-lt"/>
              <a:ea typeface="+mn-ea"/>
              <a:cs typeface="+mn-cs"/>
            </a:rPr>
            <a:t>Control plane:</a:t>
          </a:r>
          <a:endParaRPr lang="en-US">
            <a:effectLst/>
          </a:endParaRPr>
        </a:p>
        <a:p>
          <a:pPr lvl="1"/>
          <a:r>
            <a:rPr lang="en-US" sz="1100" b="1">
              <a:solidFill>
                <a:schemeClr val="dk1"/>
              </a:solidFill>
              <a:effectLst/>
              <a:latin typeface="+mn-lt"/>
              <a:ea typeface="+mn-ea"/>
              <a:cs typeface="+mn-cs"/>
            </a:rPr>
            <a:t>If:</a:t>
          </a:r>
          <a:endParaRPr lang="en-US">
            <a:effectLst/>
          </a:endParaRPr>
        </a:p>
        <a:p>
          <a:pPr lvl="1"/>
          <a:r>
            <a:rPr lang="en-US" sz="1100">
              <a:solidFill>
                <a:schemeClr val="dk1"/>
              </a:solidFill>
              <a:effectLst/>
              <a:latin typeface="+mn-lt"/>
              <a:ea typeface="+mn-ea"/>
              <a:cs typeface="+mn-cs"/>
            </a:rPr>
            <a:t>Worker node cpu size less or equal to physical core count per numa minus reservations (current cpu as an example has 28 physical cores, 6 physical cores are reserved, current limit is 28-6=22).</a:t>
          </a:r>
          <a:endParaRPr lang="en-US">
            <a:effectLst/>
          </a:endParaRPr>
        </a:p>
        <a:p>
          <a:pPr lvl="1"/>
          <a:r>
            <a:rPr lang="en-US" sz="1100">
              <a:solidFill>
                <a:schemeClr val="dk1"/>
              </a:solidFill>
              <a:effectLst/>
              <a:latin typeface="+mn-lt"/>
              <a:ea typeface="+mn-ea"/>
              <a:cs typeface="+mn-cs"/>
            </a:rPr>
            <a:t>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1 physical core = 2 vCPU ( Note: this does not mean double the cpu Performance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a:effectLst/>
          </a:endParaRPr>
        </a:p>
        <a:p>
          <a:pPr marL="1085850" marR="0" lvl="2"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VM Advanced settings : </a:t>
          </a:r>
          <a:r>
            <a:rPr lang="en-GB" sz="1100" b="1">
              <a:solidFill>
                <a:schemeClr val="dk1"/>
              </a:solidFill>
              <a:effectLst/>
              <a:latin typeface="+mn-lt"/>
              <a:ea typeface="+mn-ea"/>
              <a:cs typeface="+mn-cs"/>
            </a:rPr>
            <a:t>numa.vcpu.preferHT=false </a:t>
          </a:r>
          <a:r>
            <a:rPr lang="en-GB" sz="1100" b="0">
              <a:solidFill>
                <a:schemeClr val="dk1"/>
              </a:solidFill>
              <a:effectLst/>
              <a:latin typeface="+mn-lt"/>
              <a:ea typeface="+mn-ea"/>
              <a:cs typeface="+mn-cs"/>
            </a:rPr>
            <a:t>(default setting)</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rPr>
            <a:t>TOSCA Definition Extension (vmware.com)</a:t>
          </a:r>
          <a:r>
            <a:rPr lang="en-US" sz="1100">
              <a:solidFill>
                <a:schemeClr val="dk1"/>
              </a:solidFill>
              <a:effectLst/>
              <a:latin typeface="+mn-lt"/>
              <a:ea typeface="+mn-ea"/>
              <a:cs typeface="+mn-cs"/>
            </a:rPr>
            <a:t>)</a:t>
          </a:r>
          <a:endParaRPr lang="en-US">
            <a:effectLst/>
          </a:endParaRPr>
        </a:p>
        <a:p>
          <a:pPr lvl="1"/>
          <a:r>
            <a:rPr lang="en-US" sz="1100" b="1">
              <a:solidFill>
                <a:schemeClr val="dk1"/>
              </a:solidFill>
              <a:effectLst/>
              <a:latin typeface="+mn-lt"/>
              <a:ea typeface="+mn-ea"/>
              <a:cs typeface="+mn-cs"/>
            </a:rPr>
            <a:t>Else:</a:t>
          </a:r>
          <a:endParaRPr lang="en-US">
            <a:effectLst/>
          </a:endParaRPr>
        </a:p>
        <a:p>
          <a:pPr lvl="1"/>
          <a:r>
            <a:rPr lang="en-US" sz="1100">
              <a:solidFill>
                <a:schemeClr val="dk1"/>
              </a:solidFill>
              <a:effectLst/>
              <a:latin typeface="+mn-lt"/>
              <a:ea typeface="+mn-ea"/>
              <a:cs typeface="+mn-cs"/>
            </a:rPr>
            <a:t>Worker node cpu size greater than physical core count per numa minus reservations (current cpu as an example has 28 physical cores, 6 physical cores are reserved, current limit is 28-6=22).</a:t>
          </a:r>
          <a:endParaRPr lang="en-US">
            <a:effectLst/>
          </a:endParaRPr>
        </a:p>
        <a:p>
          <a:pPr lvl="1"/>
          <a:r>
            <a:rPr lang="en-US" sz="1100">
              <a:solidFill>
                <a:schemeClr val="dk1"/>
              </a:solidFill>
              <a:effectLst/>
              <a:latin typeface="+mn-lt"/>
              <a:ea typeface="+mn-ea"/>
              <a:cs typeface="+mn-cs"/>
            </a:rPr>
            <a:t>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1 physcial core = 2 vCPU ( Note: this does not mean double the cpu Performance)</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VM Advanced settings </a:t>
          </a:r>
          <a:r>
            <a:rPr lang="en-GB" sz="1100" b="1">
              <a:solidFill>
                <a:schemeClr val="dk1"/>
              </a:solidFill>
              <a:effectLst/>
              <a:latin typeface="+mn-lt"/>
              <a:ea typeface="+mn-ea"/>
              <a:cs typeface="+mn-cs"/>
            </a:rPr>
            <a:t>: numa.vcpu.preferHT=true</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rPr>
            <a:t>TOSCA Definition Extension (vmware.com)</a:t>
          </a:r>
          <a:r>
            <a:rPr lang="en-US" sz="1100">
              <a:solidFill>
                <a:schemeClr val="dk1"/>
              </a:solidFill>
              <a:effectLst/>
              <a:latin typeface="+mn-lt"/>
              <a:ea typeface="+mn-ea"/>
              <a:cs typeface="+mn-cs"/>
            </a:rPr>
            <a:t>)</a:t>
          </a:r>
          <a:endParaRPr lang="en-US">
            <a:effectLst/>
          </a:endParaRPr>
        </a:p>
        <a:p>
          <a:pPr marL="628650" lvl="1" indent="-171450" algn="l" eaLnBrk="1" fontAlgn="auto" latinLnBrk="0" hangingPunct="1">
            <a:buFont typeface="Arial" panose="020B0604020202020204" pitchFamily="34" charset="0"/>
            <a:buChar char="•"/>
          </a:pPr>
          <a:endParaRPr lang="en-US" sz="1100">
            <a:solidFill>
              <a:sysClr val="windowText" lastClr="000000"/>
            </a:solidFill>
            <a:latin typeface="+mn-lt"/>
            <a:ea typeface="+mn-ea"/>
            <a:cs typeface="+mn-cs"/>
          </a:endParaRPr>
        </a:p>
        <a:p>
          <a:pPr marL="171450" lvl="0" indent="-171450" algn="just">
            <a:buFont typeface="Arial" panose="020B0604020202020204" pitchFamily="34" charset="0"/>
            <a:buChar char="•"/>
          </a:pPr>
          <a:endParaRPr lang="en-GB" sz="1200">
            <a:solidFill>
              <a:sysClr val="windowText" lastClr="000000"/>
            </a:solidFill>
          </a:endParaRPr>
        </a:p>
        <a:p>
          <a:endParaRPr lang="en-GB" sz="1100" b="0" i="0" u="none" strike="noStrike" baseline="0">
            <a:solidFill>
              <a:sysClr val="windowText" lastClr="000000"/>
            </a:solidFill>
            <a:latin typeface="+mn-lt"/>
            <a:ea typeface="+mn-ea"/>
            <a:cs typeface="+mn-cs"/>
          </a:endParaRPr>
        </a:p>
      </xdr:txBody>
    </xdr:sp>
    <xdr:clientData/>
  </xdr:twoCellAnchor>
  <xdr:twoCellAnchor>
    <xdr:from>
      <xdr:col>17</xdr:col>
      <xdr:colOff>0</xdr:colOff>
      <xdr:row>2</xdr:row>
      <xdr:rowOff>0</xdr:rowOff>
    </xdr:from>
    <xdr:to>
      <xdr:col>23</xdr:col>
      <xdr:colOff>1175384</xdr:colOff>
      <xdr:row>101</xdr:row>
      <xdr:rowOff>74815</xdr:rowOff>
    </xdr:to>
    <xdr:sp macro="" textlink="">
      <xdr:nvSpPr>
        <xdr:cNvPr id="9" name="TextBox 8">
          <a:extLst>
            <a:ext uri="{FF2B5EF4-FFF2-40B4-BE49-F238E27FC236}">
              <a16:creationId xmlns:a16="http://schemas.microsoft.com/office/drawing/2014/main" id="{44624FDB-7A05-45B9-99F3-0DD297A87AF4}"/>
            </a:ext>
          </a:extLst>
        </xdr:cNvPr>
        <xdr:cNvSpPr txBox="1"/>
      </xdr:nvSpPr>
      <xdr:spPr>
        <a:xfrm>
          <a:off x="26660475" y="1876425"/>
          <a:ext cx="8071484" cy="18048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600" b="1" i="0" u="none" strike="noStrike" kern="0" cap="none" spc="0" normalizeH="0" baseline="0" noProof="0">
              <a:ln>
                <a:noFill/>
              </a:ln>
              <a:solidFill>
                <a:srgbClr val="FF0000"/>
              </a:solidFill>
              <a:effectLst/>
              <a:uLnTx/>
              <a:uFillTx/>
              <a:latin typeface="+mn-lt"/>
              <a:ea typeface="+mn-ea"/>
              <a:cs typeface="+mn-cs"/>
            </a:rPr>
            <a:t>Scenario D:</a:t>
          </a:r>
          <a:r>
            <a:rPr kumimoji="0" lang="en-GB" sz="1600" b="1" i="0" u="none" strike="noStrike" kern="0" cap="none" spc="0" normalizeH="0" baseline="0">
              <a:ln>
                <a:noFill/>
              </a:ln>
              <a:solidFill>
                <a:srgbClr val="FF0000"/>
              </a:solidFill>
              <a:effectLst/>
              <a:uLnTx/>
              <a:uFillTx/>
              <a:latin typeface="+mn-lt"/>
              <a:ea typeface="+mn-ea"/>
              <a:cs typeface="+mn-cs"/>
            </a:rPr>
            <a:t> (Rackmount server-AMD)</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a:ln>
                <a:noFill/>
              </a:ln>
              <a:solidFill>
                <a:srgbClr val="FF0000"/>
              </a:solidFill>
              <a:effectLst/>
              <a:uLnTx/>
              <a:uFillTx/>
              <a:latin typeface="+mn-lt"/>
              <a:ea typeface="+mn-ea"/>
              <a:cs typeface="+mn-cs"/>
            </a:rPr>
            <a:t>VMware TKG CaaS on VMware TCI &amp; DELL RMS PowerEdgeR6615- AMD-Genoa</a:t>
          </a: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GB" sz="14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Reference HW</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 (including CPUs, I/O, RAM):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CPU </a:t>
          </a:r>
          <a:r>
            <a:rPr kumimoji="0" lang="pt-PT" sz="1100" b="0" i="0" u="none" strike="noStrike" kern="0" cap="none" spc="0" normalizeH="0" baseline="0" noProof="0">
              <a:ln>
                <a:noFill/>
              </a:ln>
              <a:solidFill>
                <a:schemeClr val="dk1"/>
              </a:solidFill>
              <a:effectLst/>
              <a:uLnTx/>
              <a:uFillTx/>
              <a:latin typeface="+mn-lt"/>
              <a:ea typeface="+mn-ea"/>
              <a:cs typeface="+mn-cs"/>
            </a:rPr>
            <a:t>AMD</a:t>
          </a:r>
          <a:r>
            <a:rPr lang="pt-PT" sz="1100" b="0" i="0">
              <a:solidFill>
                <a:schemeClr val="dk1"/>
              </a:solidFill>
              <a:effectLst/>
              <a:latin typeface="+mn-lt"/>
              <a:ea typeface="+mn-ea"/>
              <a:cs typeface="+mn-cs"/>
            </a:rPr>
            <a:t> </a:t>
          </a:r>
          <a:r>
            <a:rPr lang="en-US" sz="1100" b="0" i="0">
              <a:solidFill>
                <a:schemeClr val="dk1"/>
              </a:solidFill>
              <a:effectLst/>
              <a:latin typeface="+mn-lt"/>
              <a:ea typeface="+mn-ea"/>
              <a:cs typeface="+mn-cs"/>
            </a:rPr>
            <a:t>Genoa</a:t>
          </a:r>
          <a:r>
            <a:rPr lang="en-US" sz="1100">
              <a:solidFill>
                <a:schemeClr val="dk1"/>
              </a:solidFill>
              <a:effectLst/>
              <a:latin typeface="+mn-lt"/>
              <a:ea typeface="+mn-ea"/>
              <a:cs typeface="+mn-cs"/>
            </a:rPr>
            <a:t> 9534, 2.4 GHz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1 processor 64 cores , per Host  </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AMD Build 1(high memory): </a:t>
          </a:r>
          <a:r>
            <a:rPr kumimoji="0" lang="en-GB" sz="1100" b="0" i="0" u="none" strike="noStrike" kern="0" cap="none" spc="0" normalizeH="0" baseline="0" noProof="0">
              <a:ln>
                <a:noFill/>
              </a:ln>
              <a:solidFill>
                <a:schemeClr val="dk1"/>
              </a:solidFill>
              <a:effectLst/>
              <a:uLnTx/>
              <a:uFillTx/>
              <a:latin typeface="+mn-lt"/>
              <a:ea typeface="+mn-ea"/>
              <a:cs typeface="+mn-cs"/>
            </a:rPr>
            <a:t>2 </a:t>
          </a:r>
          <a:r>
            <a:rPr lang="en-GB" sz="1100" b="0" i="0" baseline="0">
              <a:solidFill>
                <a:schemeClr val="dk1"/>
              </a:solidFill>
              <a:effectLst/>
              <a:latin typeface="+mn-lt"/>
              <a:ea typeface="+mn-ea"/>
              <a:cs typeface="+mn-cs"/>
            </a:rPr>
            <a:t>NICs (with 2 ports at 25Gbps per NIC) in 1+1 redundancy (at NIC level), </a:t>
          </a:r>
          <a:r>
            <a:rPr kumimoji="0" lang="en-GB" sz="1100" b="0" i="0" u="none" strike="noStrike" kern="0" cap="none" spc="0" normalizeH="0" baseline="0" noProof="0">
              <a:ln>
                <a:noFill/>
              </a:ln>
              <a:solidFill>
                <a:sysClr val="windowText" lastClr="000000"/>
              </a:solidFill>
              <a:effectLst/>
              <a:uLnTx/>
              <a:uFillTx/>
              <a:latin typeface="+mn-lt"/>
              <a:ea typeface="+mn-ea"/>
              <a:cs typeface="+mn-cs"/>
            </a:rPr>
            <a:t> in 1+1 redundancy, 50% usage limit with Blocking architecture -&gt; 15 Gbps blade limit (when used for Signalling plane)</a:t>
          </a:r>
          <a:r>
            <a:rPr lang="en-GB" sz="1100" b="0" i="0" baseline="0">
              <a:solidFill>
                <a:schemeClr val="dk1"/>
              </a:solidFill>
              <a:effectLst/>
              <a:latin typeface="+mn-lt"/>
              <a:ea typeface="+mn-ea"/>
              <a:cs typeface="+mn-cs"/>
            </a:rPr>
            <a:t>-&gt; 30 Gbps blade limit (when used for Data plane)</a:t>
          </a: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AMD Build 2(High Memory): 1 NICs (with 2 ports at 100Gbps per NIC) in 1+1 redundancy (at NIC level), 50% usage limit with Blocking architecture -&gt;  50 Gbps blade limit (with EDP)</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AMD Build 3(Low memory): 2 NICs (with 2 ports at 25Gbps per NIC) in 1+1 redundancy (at NIC level),  in 1+1 redundancy, 50% usage limit with Blocking architecture -&gt; 15 Gbps blade limit (when used for Signalling plane)-&gt; 30 Gbps blade limit (when used for Data plane)</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AMD Build 2(Low Memory): 1 NICs (with 2 ports at 100Gbps per NIC) in 1+1 redundancy (at NIC level), 50% usage limit with Blocking architecture -&gt;  50 Gbps blade limit (with EDP)</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HT is allowed to be enabled for control plane cnfs. This information needs to be captured in CNF_info tab.</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pt-PT" sz="1100">
            <a:effectLst/>
          </a:endParaRPr>
        </a:p>
        <a:p>
          <a:pPr marL="0" marR="0" lvl="0" indent="0" algn="just"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GB" sz="1400" b="1" i="0" u="none" strike="noStrike" kern="0" cap="none" spc="0" normalizeH="0" baseline="0" noProof="0">
              <a:ln>
                <a:noFill/>
              </a:ln>
              <a:solidFill>
                <a:sysClr val="windowText" lastClr="000000"/>
              </a:solidFill>
              <a:effectLst/>
              <a:uLnTx/>
              <a:uFillTx/>
              <a:latin typeface="+mn-lt"/>
              <a:ea typeface="+mn-ea"/>
              <a:cs typeface="+mn-cs"/>
            </a:rPr>
            <a:t>Blade limits available for the CNFs</a:t>
          </a: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Compute</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chemeClr val="tx1"/>
              </a:solidFill>
              <a:effectLst/>
              <a:uLnTx/>
              <a:uFillTx/>
              <a:latin typeface="+mn-lt"/>
              <a:ea typeface="+mn-ea"/>
              <a:cs typeface="+mn-cs"/>
            </a:rPr>
            <a:t>Signalling Plane RM (hyperthreading disabled) = 56 vCPU(without EDP) 52 vCPU(withEDP) (additional 20% CPU processing power is already considered for VMware overhead, with the current CPU model it translates to 8 vCPUs without EDP and 12 with EDP)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Signalling Plane RM (hyperthreading enabled) = 112 vCPU (additional 20% CPU processing power is already considered for VMware overhead, with the current CPU model it translates to 8 vCPUs without EDP)</a:t>
          </a:r>
          <a:endParaRPr kumimoji="0" lang="en-GB" sz="1100" b="0" i="0" u="none" strike="noStrike" kern="0" cap="none" spc="0" normalizeH="0" baseline="0" noProof="0">
            <a:ln>
              <a:noFill/>
            </a:ln>
            <a:solidFill>
              <a:schemeClr val="tx1"/>
            </a:solidFill>
            <a:effectLst/>
            <a:uLnTx/>
            <a:uFillTx/>
            <a:latin typeface="+mn-lt"/>
            <a:ea typeface="+mn-ea"/>
            <a:cs typeface="+mn-cs"/>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a:t>
          </a:r>
          <a:r>
            <a:rPr lang="en-GB" sz="1100" b="0" i="0" baseline="0">
              <a:solidFill>
                <a:schemeClr val="dk1"/>
              </a:solidFill>
              <a:effectLst/>
              <a:latin typeface="+mn-lt"/>
              <a:ea typeface="+mn-ea"/>
              <a:cs typeface="+mn-cs"/>
            </a:rPr>
            <a:t>56 vCPU(without EDP) 52 vCPU(withEDP) (additional 20% CPU processing power is already considered for VMware overhead, with the current CPU model it translates to 8 vCPUs without EDP and 12 with EDP) </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1 Core = 1 vCPU (no hyperthreading)</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b="0" i="0" baseline="0">
              <a:solidFill>
                <a:schemeClr val="dk1"/>
              </a:solidFill>
              <a:effectLst/>
              <a:latin typeface="+mn-lt"/>
              <a:ea typeface="+mn-ea"/>
              <a:cs typeface="+mn-cs"/>
            </a:rPr>
            <a:t>1 Core = 2 vCPU (hyperthreading enabled)</a:t>
          </a:r>
          <a:r>
            <a:rPr lang="en-GB" sz="1100">
              <a:solidFill>
                <a:schemeClr val="dk1"/>
              </a:solidFill>
              <a:effectLst/>
              <a:latin typeface="+mn-lt"/>
              <a:ea typeface="+mn-ea"/>
              <a:cs typeface="+mn-cs"/>
            </a:rPr>
            <a:t>( Note: this does not mean double the cpu Performance )</a:t>
          </a:r>
          <a:endParaRPr lang="en-US">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a:effectLst/>
          </a:endParaRP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marR="0" lvl="0"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Networking with EDP(without probing)</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Signalling plane RM- 25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100" b="0" i="0" u="none" strike="noStrike" kern="0" cap="none" spc="0" normalizeH="0" baseline="0" noProof="0">
              <a:ln>
                <a:noFill/>
              </a:ln>
              <a:solidFill>
                <a:sysClr val="windowText" lastClr="000000"/>
              </a:solidFill>
              <a:effectLst/>
              <a:uLnTx/>
              <a:uFillTx/>
              <a:latin typeface="+mn-lt"/>
              <a:ea typeface="+mn-ea"/>
              <a:cs typeface="+mn-cs"/>
            </a:rPr>
            <a:t>Data plane RM- 50 Gbps</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marL="171450" lvl="0"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Networking with EDP(</a:t>
          </a:r>
          <a:r>
            <a:rPr lang="en-US" sz="1100" b="0" i="0">
              <a:solidFill>
                <a:schemeClr val="dk1"/>
              </a:solidFill>
              <a:effectLst/>
              <a:latin typeface="+mn-lt"/>
              <a:ea typeface="+mn-ea"/>
              <a:cs typeface="+mn-cs"/>
            </a:rPr>
            <a:t>where market uses VDS probing</a:t>
          </a:r>
          <a:r>
            <a:rPr lang="en-GB" sz="1100" b="0" i="0" baseline="0">
              <a:solidFill>
                <a:schemeClr val="dk1"/>
              </a:solidFill>
              <a:effectLst/>
              <a:latin typeface="+mn-lt"/>
              <a:ea typeface="+mn-ea"/>
              <a:cs typeface="+mn-cs"/>
            </a:rPr>
            <a:t>)</a:t>
          </a:r>
          <a:endParaRPr lang="en-US" sz="1100">
            <a:effectLst/>
          </a:endParaRPr>
        </a:p>
        <a:p>
          <a:pPr marL="1085850" lvl="2"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Signalling plane RM- 15 Gbps</a:t>
          </a:r>
          <a:endParaRPr lang="en-US">
            <a:effectLst/>
          </a:endParaRPr>
        </a:p>
        <a:p>
          <a:pPr marL="1085850" lvl="2" indent="-171450" eaLnBrk="1" fontAlgn="auto" latinLnBrk="0" hangingPunct="1">
            <a:buFont typeface="Arial" panose="020B0604020202020204" pitchFamily="34" charset="0"/>
            <a:buChar char="•"/>
          </a:pPr>
          <a:r>
            <a:rPr lang="en-GB" sz="1100" b="0" i="0" baseline="0">
              <a:solidFill>
                <a:schemeClr val="dk1"/>
              </a:solidFill>
              <a:effectLst/>
              <a:latin typeface="+mn-lt"/>
              <a:ea typeface="+mn-ea"/>
              <a:cs typeface="+mn-cs"/>
            </a:rPr>
            <a:t>Data plane RM- 30 Gbps</a:t>
          </a:r>
          <a:endParaRPr lang="en-US" sz="1100" b="0" i="0" baseline="0">
            <a:solidFill>
              <a:schemeClr val="dk1"/>
            </a:solidFill>
            <a:effectLst/>
            <a:latin typeface="+mn-lt"/>
            <a:ea typeface="+mn-ea"/>
            <a:cs typeface="+mn-cs"/>
          </a:endParaRPr>
        </a:p>
        <a:p>
          <a:pPr marL="1085850" lvl="2" indent="-171450" eaLnBrk="1" fontAlgn="auto" latinLnBrk="0" hangingPunct="1">
            <a:buFont typeface="Arial" panose="020B0604020202020204" pitchFamily="34" charset="0"/>
            <a:buChar char="•"/>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34" charset="0"/>
            <a:buNone/>
          </a:pPr>
          <a:r>
            <a:rPr kumimoji="0" lang="en-US" sz="1100" b="0" i="0" u="none" strike="noStrike" kern="0" cap="none" spc="0" normalizeH="0" baseline="0" noProof="0">
              <a:ln>
                <a:noFill/>
              </a:ln>
              <a:solidFill>
                <a:schemeClr val="dk1"/>
              </a:solidFill>
              <a:effectLst/>
              <a:uLnTx/>
              <a:uFillTx/>
              <a:latin typeface="+mn-lt"/>
              <a:ea typeface="+mn-ea"/>
              <a:cs typeface="+mn-cs"/>
            </a:rPr>
            <a:t>*Note: Above throughput can only be achieved with EDP(Enhanced data path)</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0" i="0" baseline="0">
              <a:solidFill>
                <a:schemeClr val="dk1"/>
              </a:solidFill>
              <a:effectLst/>
              <a:latin typeface="+mn-lt"/>
              <a:ea typeface="+mn-ea"/>
              <a:cs typeface="+mn-cs"/>
            </a:rPr>
            <a:t>*For even Higher Throughput with 100 GB NICs SRIOV needs to be considered</a:t>
          </a:r>
          <a:endParaRPr lang="en-US">
            <a:effectLst/>
          </a:endParaRPr>
        </a:p>
        <a:p>
          <a:pPr marL="0" lvl="0" indent="0" eaLnBrk="1" fontAlgn="auto" latinLnBrk="0" hangingPunct="1">
            <a:buFont typeface="Arial" panose="020B0604020202020204" pitchFamily="34" charset="0"/>
            <a:buNone/>
          </a:pPr>
          <a:endParaRPr kumimoji="0" lang="en-US" sz="1100" b="0" i="0" u="none" strike="noStrike" kern="0" cap="none" spc="0" normalizeH="0" baseline="0" noProof="0">
            <a:ln>
              <a:noFill/>
            </a:ln>
            <a:solidFill>
              <a:schemeClr val="dk1"/>
            </a:solidFill>
            <a:effectLst/>
            <a:uLnTx/>
            <a:uFillTx/>
            <a:latin typeface="+mn-lt"/>
            <a:ea typeface="+mn-ea"/>
            <a:cs typeface="+mn-cs"/>
          </a:endParaRPr>
        </a:p>
        <a:p>
          <a:pPr marL="0" lvl="0" indent="0" eaLnBrk="1" fontAlgn="auto" latinLnBrk="0" hangingPunct="1">
            <a:buFont typeface="Arial" panose="020B0604020202020204" pitchFamily="34" charset="0"/>
            <a:buNone/>
          </a:pPr>
          <a:endParaRPr kumimoji="0" lang="en-GB" sz="1100" b="0" i="0" u="none" strike="noStrike" kern="0" cap="none" spc="0" normalizeH="0" baseline="0" noProof="0">
            <a:ln>
              <a:noFill/>
            </a:ln>
            <a:solidFill>
              <a:sysClr val="windowText" lastClr="000000"/>
            </a:solidFill>
            <a:effectLst/>
            <a:uLnTx/>
            <a:uFillTx/>
            <a:latin typeface="+mn-lt"/>
            <a:ea typeface="+mn-ea"/>
            <a:cs typeface="+mn-cs"/>
          </a:endParaRPr>
        </a:p>
        <a:p>
          <a:pPr algn="just"/>
          <a:r>
            <a:rPr lang="en-GB" sz="1400" b="1">
              <a:solidFill>
                <a:sysClr val="windowText" lastClr="000000"/>
              </a:solidFill>
            </a:rPr>
            <a:t>cBOM dimensioning rules</a:t>
          </a:r>
        </a:p>
        <a:p>
          <a:pPr marL="628650" lvl="1" indent="-171450" algn="just">
            <a:buFont typeface="Arial" panose="020B0604020202020204" pitchFamily="34" charset="0"/>
            <a:buChar char="•"/>
          </a:pPr>
          <a:r>
            <a:rPr lang="en-GB" sz="1100">
              <a:solidFill>
                <a:sysClr val="windowText" lastClr="000000"/>
              </a:solidFill>
            </a:rPr>
            <a:t>"Signalling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26vCPU(without EDP) 24vCPU (with EDP) can be accepted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bandwidth requirements no more than defined in previous section for Signalling, (N/S + E/W) not considering/considering NUMA affinity</a:t>
          </a:r>
        </a:p>
        <a:p>
          <a:pPr marL="628650" lvl="1" indent="-171450" algn="just">
            <a:buFont typeface="Arial" panose="020B0604020202020204" pitchFamily="34" charset="0"/>
            <a:buChar char="•"/>
          </a:pPr>
          <a:r>
            <a:rPr lang="en-GB" sz="1100">
              <a:solidFill>
                <a:sysClr val="windowText" lastClr="000000"/>
              </a:solidFill>
            </a:rPr>
            <a:t>"Data</a:t>
          </a:r>
          <a:r>
            <a:rPr lang="en-GB" sz="1100" baseline="0">
              <a:solidFill>
                <a:sysClr val="windowText" lastClr="000000"/>
              </a:solidFill>
            </a:rPr>
            <a:t> plane POD"</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is not recommended to have no more than 10 vCPU.</a:t>
          </a:r>
          <a:r>
            <a:rPr lang="en-GB" sz="1100" baseline="0">
              <a:solidFill>
                <a:schemeClr val="dk1"/>
              </a:solidFill>
              <a:effectLst/>
              <a:latin typeface="+mn-lt"/>
              <a:ea typeface="+mn-ea"/>
              <a:cs typeface="+mn-cs"/>
            </a:rPr>
            <a:t> In exception cases and with justifcation POD size of 26vCPU(without EDP) 24 vCPU (with EDP) can be accepted</a:t>
          </a:r>
          <a:r>
            <a:rPr lang="en-GB" sz="1100" baseline="0">
              <a:solidFill>
                <a:sysClr val="windowText" lastClr="000000"/>
              </a:solidFill>
              <a:effectLst/>
              <a:latin typeface="+mn-lt"/>
              <a:ea typeface="+mn-ea"/>
              <a:cs typeface="+mn-cs"/>
            </a:rPr>
            <a:t>. </a:t>
          </a:r>
          <a:r>
            <a:rPr lang="en-GB" sz="1100" b="0" baseline="0">
              <a:solidFill>
                <a:schemeClr val="dk1"/>
              </a:solidFill>
              <a:effectLst/>
              <a:latin typeface="+mn-lt"/>
              <a:ea typeface="+mn-ea"/>
              <a:cs typeface="+mn-cs"/>
            </a:rPr>
            <a:t>Have to be stated as per template the number of lcores that will be use (lcore = 1, 2 or 4)</a:t>
          </a:r>
        </a:p>
        <a:p>
          <a:pPr marL="1085850" marR="0" lvl="2"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PODs shall have bandwidth requirements no more than defined in previous section for Data, (N/S + E/W) not considering/considering NUMA affinity</a:t>
          </a:r>
          <a:endParaRPr lang="en-GB" sz="1100" b="0">
            <a:solidFill>
              <a:srgbClr val="FF0000"/>
            </a:solidFill>
            <a:effectLst/>
          </a:endParaRPr>
        </a:p>
        <a:p>
          <a:pPr marL="628650" lvl="1" indent="-171450" algn="just">
            <a:buFont typeface="Arial" panose="020B0604020202020204" pitchFamily="34" charset="0"/>
            <a:buChar char="•"/>
          </a:pPr>
          <a:r>
            <a:rPr lang="en-GB" sz="1100">
              <a:solidFill>
                <a:sysClr val="windowText" lastClr="000000"/>
              </a:solidFill>
            </a:rPr>
            <a:t>PODs shall be dimensioned for all applications and operating systems supporting the vendor solution. The CNF vendor shall dimension the vCPU column taking into account that there is already CPU processing power reserved for VMware overhead (</a:t>
          </a:r>
          <a:r>
            <a:rPr lang="en-GB" sz="1100">
              <a:solidFill>
                <a:schemeClr val="dk1"/>
              </a:solidFill>
              <a:effectLst/>
              <a:latin typeface="+mn-lt"/>
              <a:ea typeface="+mn-ea"/>
              <a:cs typeface="+mn-cs"/>
            </a:rPr>
            <a:t>20% per blade</a:t>
          </a:r>
          <a:r>
            <a:rPr lang="en-GB" sz="1100">
              <a:solidFill>
                <a:sysClr val="windowText" lastClr="000000"/>
              </a:solidFill>
            </a:rPr>
            <a:t>).</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PODs are to be used at the % level of utilization of an active POD's processing resources that is indicated in the deployment models of each CNF for each OpCo (that is contained in the OpCo's FSD document), which is also the same level of utilization at which the capacity statements are provided for each CNF/OpCo.</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ysClr val="windowText" lastClr="000000"/>
              </a:solidFill>
              <a:effectLst/>
            </a:rPr>
            <a:t>Refer to Definitions &amp; Rules tab</a:t>
          </a:r>
        </a:p>
        <a:p>
          <a:pPr marL="628650" marR="0" lvl="1" indent="-17145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GB" sz="1100">
            <a:solidFill>
              <a:sysClr val="windowText" lastClr="000000"/>
            </a:solidFill>
            <a:effectLst/>
          </a:endParaRPr>
        </a:p>
        <a:p>
          <a:pPr eaLnBrk="1" fontAlgn="auto" latinLnBrk="0" hangingPunct="1"/>
          <a:r>
            <a:rPr lang="en-US" sz="1100" b="1">
              <a:solidFill>
                <a:schemeClr val="dk1"/>
              </a:solidFill>
              <a:effectLst/>
              <a:latin typeface="+mn-lt"/>
              <a:ea typeface="+mn-ea"/>
              <a:cs typeface="+mn-cs"/>
            </a:rPr>
            <a:t>Hyperthreading guidelines</a:t>
          </a:r>
          <a:endParaRPr lang="en-US" sz="1100">
            <a:effectLst/>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Hyperthreading enabled will only be considered fo control plane. Vendor can request for Hyperthreading for control plane.</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By default HT will not be considered for control plane, if vendor needs it they need to request it from "CNF_Info" TAB</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Hyperthreading will always be disabled for data plane.</a:t>
          </a:r>
          <a:endParaRPr lang="en-US" sz="1100">
            <a:solidFill>
              <a:sysClr val="windowText" lastClr="000000"/>
            </a:solidFill>
            <a:effectLst/>
            <a:latin typeface="+mn-lt"/>
            <a:ea typeface="+mn-ea"/>
            <a:cs typeface="+mn-cs"/>
          </a:endParaRPr>
        </a:p>
        <a:p>
          <a:pPr marL="171450" indent="-171450" eaLnBrk="1" fontAlgn="auto" latinLnBrk="0" hangingPunct="1">
            <a:buFont typeface="Arial" panose="020B0604020202020204" pitchFamily="34" charset="0"/>
            <a:buChar char="•"/>
          </a:pPr>
          <a:r>
            <a:rPr lang="en-GB" sz="1100">
              <a:solidFill>
                <a:sysClr val="windowText" lastClr="000000"/>
              </a:solidFill>
              <a:effectLst/>
              <a:latin typeface="+mn-lt"/>
              <a:ea typeface="+mn-ea"/>
              <a:cs typeface="+mn-cs"/>
            </a:rPr>
            <a:t>Guidelines:</a:t>
          </a:r>
          <a:endParaRPr lang="en-US" sz="1100">
            <a:solidFill>
              <a:sysClr val="windowText" lastClr="000000"/>
            </a:solidFill>
            <a:effectLst/>
            <a:latin typeface="+mn-lt"/>
            <a:ea typeface="+mn-ea"/>
            <a:cs typeface="+mn-cs"/>
          </a:endParaRPr>
        </a:p>
        <a:p>
          <a:r>
            <a:rPr lang="en-US" sz="1100" b="1">
              <a:solidFill>
                <a:schemeClr val="dk1"/>
              </a:solidFill>
              <a:effectLst/>
              <a:latin typeface="+mn-lt"/>
              <a:ea typeface="+mn-ea"/>
              <a:cs typeface="+mn-cs"/>
            </a:rPr>
            <a:t>Data plane:</a:t>
          </a:r>
          <a:endParaRPr lang="en-US">
            <a:effectLst/>
          </a:endParaRPr>
        </a:p>
        <a:p>
          <a:r>
            <a:rPr lang="en-US" sz="1100">
              <a:solidFill>
                <a:schemeClr val="dk1"/>
              </a:solidFill>
              <a:effectLst/>
              <a:latin typeface="+mn-lt"/>
              <a:ea typeface="+mn-ea"/>
              <a:cs typeface="+mn-cs"/>
            </a:rPr>
            <a:t>              Not applicable to data plane</a:t>
          </a:r>
          <a:endParaRPr lang="en-US">
            <a:effectLst/>
          </a:endParaRPr>
        </a:p>
        <a:p>
          <a:r>
            <a:rPr lang="en-US" sz="1100">
              <a:solidFill>
                <a:schemeClr val="dk1"/>
              </a:solidFill>
              <a:effectLst/>
              <a:latin typeface="+mn-lt"/>
              <a:ea typeface="+mn-ea"/>
              <a:cs typeface="+mn-cs"/>
            </a:rPr>
            <a:t> </a:t>
          </a:r>
          <a:endParaRPr lang="en-US">
            <a:effectLst/>
          </a:endParaRPr>
        </a:p>
        <a:p>
          <a:r>
            <a:rPr lang="en-US" sz="1100" b="1">
              <a:solidFill>
                <a:schemeClr val="dk1"/>
              </a:solidFill>
              <a:effectLst/>
              <a:latin typeface="+mn-lt"/>
              <a:ea typeface="+mn-ea"/>
              <a:cs typeface="+mn-cs"/>
            </a:rPr>
            <a:t>Control plane:</a:t>
          </a:r>
          <a:endParaRPr lang="en-US">
            <a:effectLst/>
          </a:endParaRPr>
        </a:p>
        <a:p>
          <a:pPr lvl="1"/>
          <a:r>
            <a:rPr lang="en-US" sz="1100" b="1">
              <a:solidFill>
                <a:schemeClr val="dk1"/>
              </a:solidFill>
              <a:effectLst/>
              <a:latin typeface="+mn-lt"/>
              <a:ea typeface="+mn-ea"/>
              <a:cs typeface="+mn-cs"/>
            </a:rPr>
            <a:t>If:</a:t>
          </a:r>
          <a:endParaRPr lang="en-US">
            <a:effectLst/>
          </a:endParaRPr>
        </a:p>
        <a:p>
          <a:pPr lvl="1"/>
          <a:r>
            <a:rPr lang="en-US" sz="1100">
              <a:solidFill>
                <a:schemeClr val="dk1"/>
              </a:solidFill>
              <a:effectLst/>
              <a:latin typeface="+mn-lt"/>
              <a:ea typeface="+mn-ea"/>
              <a:cs typeface="+mn-cs"/>
            </a:rPr>
            <a:t>Worker node cpu size less or equal to physical core count per numa minus reservations (current cpu as an example has 28 physical cores, 6 physical cores are reserved, current limit is 28-6=22).</a:t>
          </a:r>
          <a:endParaRPr lang="en-US">
            <a:effectLst/>
          </a:endParaRPr>
        </a:p>
        <a:p>
          <a:pPr lvl="1"/>
          <a:r>
            <a:rPr lang="en-US" sz="1100">
              <a:solidFill>
                <a:schemeClr val="dk1"/>
              </a:solidFill>
              <a:effectLst/>
              <a:latin typeface="+mn-lt"/>
              <a:ea typeface="+mn-ea"/>
              <a:cs typeface="+mn-cs"/>
            </a:rPr>
            <a:t>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1 physical core = 2 vCPU ( Note: this does not mean double the cpu Performance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a:effectLst/>
          </a:endParaRPr>
        </a:p>
        <a:p>
          <a:pPr marL="1085850" marR="0" lvl="2"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100">
              <a:solidFill>
                <a:schemeClr val="dk1"/>
              </a:solidFill>
              <a:effectLst/>
              <a:latin typeface="+mn-lt"/>
              <a:ea typeface="+mn-ea"/>
              <a:cs typeface="+mn-cs"/>
            </a:rPr>
            <a:t>VM Advanced settings : </a:t>
          </a:r>
          <a:r>
            <a:rPr lang="en-GB" sz="1100" b="1">
              <a:solidFill>
                <a:schemeClr val="dk1"/>
              </a:solidFill>
              <a:effectLst/>
              <a:latin typeface="+mn-lt"/>
              <a:ea typeface="+mn-ea"/>
              <a:cs typeface="+mn-cs"/>
            </a:rPr>
            <a:t>numa.vcpu.preferHT=false </a:t>
          </a:r>
          <a:r>
            <a:rPr lang="en-GB" sz="1100" b="0">
              <a:solidFill>
                <a:schemeClr val="dk1"/>
              </a:solidFill>
              <a:effectLst/>
              <a:latin typeface="+mn-lt"/>
              <a:ea typeface="+mn-ea"/>
              <a:cs typeface="+mn-cs"/>
            </a:rPr>
            <a:t>(default setting)</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rPr>
            <a:t>TOSCA Definition Extension (vmware.com)</a:t>
          </a:r>
          <a:r>
            <a:rPr lang="en-US" sz="1100">
              <a:solidFill>
                <a:schemeClr val="dk1"/>
              </a:solidFill>
              <a:effectLst/>
              <a:latin typeface="+mn-lt"/>
              <a:ea typeface="+mn-ea"/>
              <a:cs typeface="+mn-cs"/>
            </a:rPr>
            <a:t>)</a:t>
          </a:r>
          <a:endParaRPr lang="en-US">
            <a:effectLst/>
          </a:endParaRPr>
        </a:p>
        <a:p>
          <a:pPr lvl="1"/>
          <a:r>
            <a:rPr lang="en-US" sz="1100" b="1">
              <a:solidFill>
                <a:schemeClr val="dk1"/>
              </a:solidFill>
              <a:effectLst/>
              <a:latin typeface="+mn-lt"/>
              <a:ea typeface="+mn-ea"/>
              <a:cs typeface="+mn-cs"/>
            </a:rPr>
            <a:t>Else:</a:t>
          </a:r>
          <a:endParaRPr lang="en-US">
            <a:effectLst/>
          </a:endParaRPr>
        </a:p>
        <a:p>
          <a:pPr lvl="1"/>
          <a:r>
            <a:rPr lang="en-US" sz="1100">
              <a:solidFill>
                <a:schemeClr val="dk1"/>
              </a:solidFill>
              <a:effectLst/>
              <a:latin typeface="+mn-lt"/>
              <a:ea typeface="+mn-ea"/>
              <a:cs typeface="+mn-cs"/>
            </a:rPr>
            <a:t>Worker node cpu size greater than physical core count per numa minus reservations (current cpu as an example has 28 physical cores, 6 physical cores are reserved, current limit is 28-6=22).</a:t>
          </a:r>
          <a:endParaRPr lang="en-US">
            <a:effectLst/>
          </a:endParaRPr>
        </a:p>
        <a:p>
          <a:pPr lvl="1"/>
          <a:r>
            <a:rPr lang="en-US" sz="1100">
              <a:solidFill>
                <a:schemeClr val="dk1"/>
              </a:solidFill>
              <a:effectLst/>
              <a:latin typeface="+mn-lt"/>
              <a:ea typeface="+mn-ea"/>
              <a:cs typeface="+mn-cs"/>
            </a:rPr>
            <a:t> </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1 physcial core = 2 vCPU ( Note: this does not mean double the cpu Performance)</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HT is enabled on hardware and software by default, no configuration is required.</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VM Advanced settings </a:t>
          </a:r>
          <a:r>
            <a:rPr lang="en-GB" sz="1100" b="1">
              <a:solidFill>
                <a:schemeClr val="dk1"/>
              </a:solidFill>
              <a:effectLst/>
              <a:latin typeface="+mn-lt"/>
              <a:ea typeface="+mn-ea"/>
              <a:cs typeface="+mn-cs"/>
            </a:rPr>
            <a:t>: numa.vcpu.preferHT=true</a:t>
          </a:r>
          <a:endParaRPr lang="en-US">
            <a:effectLst/>
          </a:endParaRPr>
        </a:p>
        <a:p>
          <a:pPr marL="1085850" lvl="2" indent="-171450">
            <a:buFont typeface="Arial" panose="020B0604020202020204" pitchFamily="34" charset="0"/>
            <a:buChar char="•"/>
          </a:pPr>
          <a:r>
            <a:rPr lang="en-GB" sz="1100">
              <a:solidFill>
                <a:schemeClr val="dk1"/>
              </a:solidFill>
              <a:effectLst/>
              <a:latin typeface="+mn-lt"/>
              <a:ea typeface="+mn-ea"/>
              <a:cs typeface="+mn-cs"/>
            </a:rPr>
            <a:t>Tosca file configuration: </a:t>
          </a:r>
          <a:r>
            <a:rPr lang="en-GB" sz="1100" b="1">
              <a:solidFill>
                <a:schemeClr val="dk1"/>
              </a:solidFill>
              <a:effectLst/>
              <a:latin typeface="+mn-lt"/>
              <a:ea typeface="+mn-ea"/>
              <a:cs typeface="+mn-cs"/>
            </a:rPr>
            <a:t>isNumaConfigNeeded: false</a:t>
          </a:r>
          <a:r>
            <a:rPr lang="en-GB" sz="1100">
              <a:solidFill>
                <a:schemeClr val="dk1"/>
              </a:solidFill>
              <a:effectLst/>
              <a:latin typeface="+mn-lt"/>
              <a:ea typeface="+mn-ea"/>
              <a:cs typeface="+mn-cs"/>
            </a:rPr>
            <a:t> ( see : </a:t>
          </a:r>
          <a:r>
            <a:rPr lang="en-US" sz="1100" u="sng">
              <a:solidFill>
                <a:schemeClr val="dk1"/>
              </a:solidFill>
              <a:effectLst/>
              <a:latin typeface="+mn-lt"/>
              <a:ea typeface="+mn-ea"/>
              <a:cs typeface="+mn-cs"/>
            </a:rPr>
            <a:t>TOSCA Definition Extension (vmware.com)</a:t>
          </a:r>
          <a:r>
            <a:rPr lang="en-US" sz="1100">
              <a:solidFill>
                <a:schemeClr val="dk1"/>
              </a:solidFill>
              <a:effectLst/>
              <a:latin typeface="+mn-lt"/>
              <a:ea typeface="+mn-ea"/>
              <a:cs typeface="+mn-cs"/>
            </a:rPr>
            <a:t>)</a:t>
          </a:r>
          <a:endParaRPr lang="en-US">
            <a:effectLst/>
          </a:endParaRPr>
        </a:p>
        <a:p>
          <a:pPr marL="628650" lvl="1" indent="-171450" algn="l" eaLnBrk="1" fontAlgn="auto" latinLnBrk="0" hangingPunct="1">
            <a:buFont typeface="Arial" panose="020B0604020202020204" pitchFamily="34" charset="0"/>
            <a:buChar char="•"/>
          </a:pPr>
          <a:endParaRPr lang="en-US" sz="1100">
            <a:solidFill>
              <a:sysClr val="windowText" lastClr="000000"/>
            </a:solidFill>
            <a:latin typeface="+mn-lt"/>
            <a:ea typeface="+mn-ea"/>
            <a:cs typeface="+mn-cs"/>
          </a:endParaRPr>
        </a:p>
        <a:p>
          <a:pPr marL="171450" lvl="0" indent="-171450" algn="just">
            <a:buFont typeface="Arial" panose="020B0604020202020204" pitchFamily="34" charset="0"/>
            <a:buChar char="•"/>
          </a:pPr>
          <a:endParaRPr lang="en-GB" sz="1200">
            <a:solidFill>
              <a:sysClr val="windowText" lastClr="000000"/>
            </a:solidFill>
          </a:endParaRPr>
        </a:p>
        <a:p>
          <a:endParaRPr lang="en-GB" sz="1100" b="0" i="0" u="none" strike="noStrike" baseline="0">
            <a:solidFill>
              <a:sysClr val="windowText" lastClr="000000"/>
            </a:solidFill>
            <a:latin typeface="+mn-lt"/>
            <a:ea typeface="+mn-ea"/>
            <a:cs typeface="+mn-cs"/>
          </a:endParaRPr>
        </a:p>
      </xdr:txBody>
    </xdr:sp>
    <xdr:clientData/>
  </xdr:twoCellAnchor>
  <xdr:twoCellAnchor>
    <xdr:from>
      <xdr:col>2</xdr:col>
      <xdr:colOff>436088</xdr:colOff>
      <xdr:row>7</xdr:row>
      <xdr:rowOff>96942</xdr:rowOff>
    </xdr:from>
    <xdr:to>
      <xdr:col>3</xdr:col>
      <xdr:colOff>55915</xdr:colOff>
      <xdr:row>14</xdr:row>
      <xdr:rowOff>141018</xdr:rowOff>
    </xdr:to>
    <xdr:sp macro="" textlink="">
      <xdr:nvSpPr>
        <xdr:cNvPr id="10" name="TextBox 9">
          <a:extLst>
            <a:ext uri="{FF2B5EF4-FFF2-40B4-BE49-F238E27FC236}">
              <a16:creationId xmlns:a16="http://schemas.microsoft.com/office/drawing/2014/main" id="{A0A2020E-4BB9-4670-8EFF-6AAD706DA6CE}"/>
            </a:ext>
          </a:extLst>
        </xdr:cNvPr>
        <xdr:cNvSpPr txBox="1"/>
      </xdr:nvSpPr>
      <xdr:spPr>
        <a:xfrm rot="19556223">
          <a:off x="2083913" y="2935392"/>
          <a:ext cx="6201602" cy="131090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rgbClr val="FF0000"/>
              </a:solidFill>
            </a:rPr>
            <a:t>NOTE:  </a:t>
          </a:r>
          <a:r>
            <a:rPr lang="en-US" sz="1800" b="1">
              <a:solidFill>
                <a:srgbClr val="FF0000"/>
              </a:solidFill>
            </a:rPr>
            <a:t>HPE Synergy servers are still in use, but according to the new HW Blueprint they can no longer be purchased. Therefore, all the requirements in the cBOM will be analyzed taking into account the Rackmount DELL servers</a:t>
          </a:r>
          <a:endParaRPr lang="en-US" sz="2000" b="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71550" cy="742950"/>
    <xdr:pic>
      <xdr:nvPicPr>
        <xdr:cNvPr id="2" name="Picture 1" descr="powerPoint.p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664" t="48519" b="41192"/>
        <a:stretch/>
      </xdr:blipFill>
      <xdr:spPr bwMode="auto">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3" name="Picture 2" descr="powerPoint.p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664" t="48519" b="41192"/>
        <a:stretch/>
      </xdr:blipFill>
      <xdr:spPr bwMode="auto">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4" name="Picture 3" descr="powerPoint.png">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664" t="48519" b="41192"/>
        <a:stretch/>
      </xdr:blipFill>
      <xdr:spPr bwMode="auto">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5" name="Picture 4" descr="powerPoint.png">
          <a:extLst>
            <a:ext uri="{FF2B5EF4-FFF2-40B4-BE49-F238E27FC236}">
              <a16:creationId xmlns:a16="http://schemas.microsoft.com/office/drawing/2014/main" id="{00000000-0008-0000-0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664" t="48519" b="41192"/>
        <a:stretch/>
      </xdr:blipFill>
      <xdr:spPr bwMode="auto">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6" name="Picture 5" descr="powerPoint.png">
          <a:extLst>
            <a:ext uri="{FF2B5EF4-FFF2-40B4-BE49-F238E27FC236}">
              <a16:creationId xmlns:a16="http://schemas.microsoft.com/office/drawing/2014/main" id="{00000000-0008-0000-08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664" t="48519" b="41192"/>
        <a:stretch/>
      </xdr:blipFill>
      <xdr:spPr bwMode="auto">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971550" cy="742950"/>
    <xdr:pic>
      <xdr:nvPicPr>
        <xdr:cNvPr id="7" name="Picture 6" descr="powerPoint.png">
          <a:extLst>
            <a:ext uri="{FF2B5EF4-FFF2-40B4-BE49-F238E27FC236}">
              <a16:creationId xmlns:a16="http://schemas.microsoft.com/office/drawing/2014/main" id="{00000000-0008-0000-08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664" t="48519" b="41192"/>
        <a:stretch/>
      </xdr:blipFill>
      <xdr:spPr bwMode="auto">
        <a:xfrm>
          <a:off x="0" y="0"/>
          <a:ext cx="97155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8</xdr:col>
      <xdr:colOff>47625</xdr:colOff>
      <xdr:row>0</xdr:row>
      <xdr:rowOff>38100</xdr:rowOff>
    </xdr:from>
    <xdr:to>
      <xdr:col>16</xdr:col>
      <xdr:colOff>476252</xdr:colOff>
      <xdr:row>4</xdr:row>
      <xdr:rowOff>180975</xdr:rowOff>
    </xdr:to>
    <xdr:sp macro="" textlink="">
      <xdr:nvSpPr>
        <xdr:cNvPr id="3" name="CasellaDiTesto 2">
          <a:extLst>
            <a:ext uri="{FF2B5EF4-FFF2-40B4-BE49-F238E27FC236}">
              <a16:creationId xmlns:a16="http://schemas.microsoft.com/office/drawing/2014/main" id="{8A8EB517-6FD6-472C-A376-F44FEA2366D8}"/>
            </a:ext>
          </a:extLst>
        </xdr:cNvPr>
        <xdr:cNvSpPr txBox="1"/>
      </xdr:nvSpPr>
      <xdr:spPr>
        <a:xfrm>
          <a:off x="9620250" y="38100"/>
          <a:ext cx="5305427"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p>
        <a:p>
          <a:endParaRPr lang="it-IT" sz="1100"/>
        </a:p>
      </xdr:txBody>
    </xdr:sp>
    <xdr:clientData/>
  </xdr:twoCellAnchor>
  <xdr:twoCellAnchor>
    <xdr:from>
      <xdr:col>8</xdr:col>
      <xdr:colOff>47625</xdr:colOff>
      <xdr:row>0</xdr:row>
      <xdr:rowOff>38100</xdr:rowOff>
    </xdr:from>
    <xdr:to>
      <xdr:col>16</xdr:col>
      <xdr:colOff>476252</xdr:colOff>
      <xdr:row>4</xdr:row>
      <xdr:rowOff>180975</xdr:rowOff>
    </xdr:to>
    <xdr:sp macro="" textlink="">
      <xdr:nvSpPr>
        <xdr:cNvPr id="4" name="CasellaDiTesto 2">
          <a:extLst>
            <a:ext uri="{FF2B5EF4-FFF2-40B4-BE49-F238E27FC236}">
              <a16:creationId xmlns:a16="http://schemas.microsoft.com/office/drawing/2014/main" id="{A0DCE19C-4B00-4BF0-A666-5DD5222254FB}"/>
            </a:ext>
          </a:extLst>
        </xdr:cNvPr>
        <xdr:cNvSpPr txBox="1"/>
      </xdr:nvSpPr>
      <xdr:spPr>
        <a:xfrm>
          <a:off x="9620250" y="38100"/>
          <a:ext cx="5305427" cy="149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p>
        <a:p>
          <a:endParaRPr lang="it-IT" sz="1100"/>
        </a:p>
      </xdr:txBody>
    </xdr:sp>
    <xdr:clientData/>
  </xdr:twoCellAnchor>
  <xdr:twoCellAnchor>
    <xdr:from>
      <xdr:col>8</xdr:col>
      <xdr:colOff>47625</xdr:colOff>
      <xdr:row>62</xdr:row>
      <xdr:rowOff>38100</xdr:rowOff>
    </xdr:from>
    <xdr:to>
      <xdr:col>16</xdr:col>
      <xdr:colOff>476252</xdr:colOff>
      <xdr:row>66</xdr:row>
      <xdr:rowOff>180975</xdr:rowOff>
    </xdr:to>
    <xdr:sp macro="" textlink="">
      <xdr:nvSpPr>
        <xdr:cNvPr id="7" name="CasellaDiTesto 2">
          <a:extLst>
            <a:ext uri="{FF2B5EF4-FFF2-40B4-BE49-F238E27FC236}">
              <a16:creationId xmlns:a16="http://schemas.microsoft.com/office/drawing/2014/main" id="{B8779B60-922A-456D-B2E2-B82CCD15930C}"/>
            </a:ext>
          </a:extLst>
        </xdr:cNvPr>
        <xdr:cNvSpPr txBox="1"/>
      </xdr:nvSpPr>
      <xdr:spPr>
        <a:xfrm>
          <a:off x="8837839" y="38100"/>
          <a:ext cx="5327199" cy="1122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p>
        <a:p>
          <a:endParaRPr lang="it-IT" sz="1100"/>
        </a:p>
      </xdr:txBody>
    </xdr:sp>
    <xdr:clientData/>
  </xdr:twoCellAnchor>
  <xdr:twoCellAnchor>
    <xdr:from>
      <xdr:col>8</xdr:col>
      <xdr:colOff>47625</xdr:colOff>
      <xdr:row>62</xdr:row>
      <xdr:rowOff>38100</xdr:rowOff>
    </xdr:from>
    <xdr:to>
      <xdr:col>16</xdr:col>
      <xdr:colOff>476252</xdr:colOff>
      <xdr:row>66</xdr:row>
      <xdr:rowOff>180975</xdr:rowOff>
    </xdr:to>
    <xdr:sp macro="" textlink="">
      <xdr:nvSpPr>
        <xdr:cNvPr id="8" name="CasellaDiTesto 2">
          <a:extLst>
            <a:ext uri="{FF2B5EF4-FFF2-40B4-BE49-F238E27FC236}">
              <a16:creationId xmlns:a16="http://schemas.microsoft.com/office/drawing/2014/main" id="{9B5BAA66-4218-4E6F-B85F-7EA88CF6A98B}"/>
            </a:ext>
          </a:extLst>
        </xdr:cNvPr>
        <xdr:cNvSpPr txBox="1"/>
      </xdr:nvSpPr>
      <xdr:spPr>
        <a:xfrm>
          <a:off x="8837839" y="38100"/>
          <a:ext cx="5327199" cy="1122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 </a:t>
          </a:r>
          <a:r>
            <a:rPr lang="it-IT" sz="1100" b="1">
              <a:solidFill>
                <a:schemeClr val="dk1"/>
              </a:solidFill>
              <a:effectLst/>
              <a:latin typeface="+mn-lt"/>
              <a:ea typeface="+mn-ea"/>
              <a:cs typeface="+mn-cs"/>
            </a:rPr>
            <a:t>vCPU =  1 physical Core </a:t>
          </a:r>
          <a:r>
            <a:rPr lang="it-IT" sz="1100"/>
            <a:t> </a:t>
          </a:r>
        </a:p>
        <a:p>
          <a:endParaRPr lang="it-IT"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38100</xdr:colOff>
      <xdr:row>122</xdr:row>
      <xdr:rowOff>47625</xdr:rowOff>
    </xdr:from>
    <xdr:to>
      <xdr:col>17</xdr:col>
      <xdr:colOff>0</xdr:colOff>
      <xdr:row>127</xdr:row>
      <xdr:rowOff>104775</xdr:rowOff>
    </xdr:to>
    <xdr:sp macro="" textlink="">
      <xdr:nvSpPr>
        <xdr:cNvPr id="2" name="CasellaDiTesto 2">
          <a:extLst>
            <a:ext uri="{FF2B5EF4-FFF2-40B4-BE49-F238E27FC236}">
              <a16:creationId xmlns:a16="http://schemas.microsoft.com/office/drawing/2014/main" id="{00000000-0008-0000-0C00-000002000000}"/>
            </a:ext>
          </a:extLst>
        </xdr:cNvPr>
        <xdr:cNvSpPr txBox="1"/>
      </xdr:nvSpPr>
      <xdr:spPr>
        <a:xfrm>
          <a:off x="7588250" y="47625"/>
          <a:ext cx="5676900" cy="117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38100</xdr:colOff>
      <xdr:row>0</xdr:row>
      <xdr:rowOff>47625</xdr:rowOff>
    </xdr:from>
    <xdr:to>
      <xdr:col>17</xdr:col>
      <xdr:colOff>0</xdr:colOff>
      <xdr:row>5</xdr:row>
      <xdr:rowOff>104775</xdr:rowOff>
    </xdr:to>
    <xdr:sp macro="" textlink="">
      <xdr:nvSpPr>
        <xdr:cNvPr id="3" name="CasellaDiTesto 2">
          <a:extLst>
            <a:ext uri="{FF2B5EF4-FFF2-40B4-BE49-F238E27FC236}">
              <a16:creationId xmlns:a16="http://schemas.microsoft.com/office/drawing/2014/main" id="{6402EB4D-336D-4805-9226-1C04E6147E17}"/>
            </a:ext>
          </a:extLst>
        </xdr:cNvPr>
        <xdr:cNvSpPr txBox="1"/>
      </xdr:nvSpPr>
      <xdr:spPr>
        <a:xfrm>
          <a:off x="9982200" y="47625"/>
          <a:ext cx="544830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38100</xdr:colOff>
      <xdr:row>0</xdr:row>
      <xdr:rowOff>47625</xdr:rowOff>
    </xdr:from>
    <xdr:to>
      <xdr:col>17</xdr:col>
      <xdr:colOff>0</xdr:colOff>
      <xdr:row>5</xdr:row>
      <xdr:rowOff>104775</xdr:rowOff>
    </xdr:to>
    <xdr:sp macro="" textlink="">
      <xdr:nvSpPr>
        <xdr:cNvPr id="4" name="CasellaDiTesto 2">
          <a:extLst>
            <a:ext uri="{FF2B5EF4-FFF2-40B4-BE49-F238E27FC236}">
              <a16:creationId xmlns:a16="http://schemas.microsoft.com/office/drawing/2014/main" id="{06D37DAC-3C75-4998-A90B-B5066C3D1754}"/>
            </a:ext>
          </a:extLst>
        </xdr:cNvPr>
        <xdr:cNvSpPr txBox="1"/>
      </xdr:nvSpPr>
      <xdr:spPr>
        <a:xfrm>
          <a:off x="9982200" y="47625"/>
          <a:ext cx="544830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38100</xdr:colOff>
      <xdr:row>62</xdr:row>
      <xdr:rowOff>47625</xdr:rowOff>
    </xdr:from>
    <xdr:to>
      <xdr:col>17</xdr:col>
      <xdr:colOff>0</xdr:colOff>
      <xdr:row>67</xdr:row>
      <xdr:rowOff>104775</xdr:rowOff>
    </xdr:to>
    <xdr:sp macro="" textlink="">
      <xdr:nvSpPr>
        <xdr:cNvPr id="7" name="CasellaDiTesto 2">
          <a:extLst>
            <a:ext uri="{FF2B5EF4-FFF2-40B4-BE49-F238E27FC236}">
              <a16:creationId xmlns:a16="http://schemas.microsoft.com/office/drawing/2014/main" id="{61546D62-2978-4377-B159-5562B3D4129E}"/>
            </a:ext>
          </a:extLst>
        </xdr:cNvPr>
        <xdr:cNvSpPr txBox="1"/>
      </xdr:nvSpPr>
      <xdr:spPr>
        <a:xfrm>
          <a:off x="9195707" y="47625"/>
          <a:ext cx="5472793" cy="1227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twoCellAnchor>
    <xdr:from>
      <xdr:col>8</xdr:col>
      <xdr:colOff>38100</xdr:colOff>
      <xdr:row>62</xdr:row>
      <xdr:rowOff>47625</xdr:rowOff>
    </xdr:from>
    <xdr:to>
      <xdr:col>17</xdr:col>
      <xdr:colOff>0</xdr:colOff>
      <xdr:row>67</xdr:row>
      <xdr:rowOff>104775</xdr:rowOff>
    </xdr:to>
    <xdr:sp macro="" textlink="">
      <xdr:nvSpPr>
        <xdr:cNvPr id="8" name="CasellaDiTesto 2">
          <a:extLst>
            <a:ext uri="{FF2B5EF4-FFF2-40B4-BE49-F238E27FC236}">
              <a16:creationId xmlns:a16="http://schemas.microsoft.com/office/drawing/2014/main" id="{FC4E7C08-6F71-4515-B774-D9DE15B0CD19}"/>
            </a:ext>
          </a:extLst>
        </xdr:cNvPr>
        <xdr:cNvSpPr txBox="1"/>
      </xdr:nvSpPr>
      <xdr:spPr>
        <a:xfrm>
          <a:off x="9195707" y="47625"/>
          <a:ext cx="5472793" cy="1227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solidFill>
                <a:srgbClr val="FF0000"/>
              </a:solidFill>
            </a:rPr>
            <a:t>Note 1</a:t>
          </a:r>
          <a:r>
            <a:rPr lang="it-IT" sz="1100"/>
            <a:t>: please </a:t>
          </a:r>
          <a:r>
            <a:rPr lang="en-GB" sz="1100">
              <a:solidFill>
                <a:schemeClr val="dk1"/>
              </a:solidFill>
              <a:effectLst/>
              <a:latin typeface="+mn-lt"/>
              <a:ea typeface="+mn-ea"/>
              <a:cs typeface="+mn-cs"/>
            </a:rPr>
            <a:t>consider the proposed resiliency scheme for each POD type, e.g. if N PODs of a certain type are needed to manage the offered traffic/subscribers and they support 1+1 HA, the vendor shall already count 2 x N in the cBoM (and similarly for N+1 cases)</a:t>
          </a:r>
        </a:p>
        <a:p>
          <a:endParaRPr lang="it-IT" sz="1100"/>
        </a:p>
        <a:p>
          <a:r>
            <a:rPr lang="it-IT" sz="1100" b="1">
              <a:solidFill>
                <a:srgbClr val="FF0000"/>
              </a:solidFill>
            </a:rPr>
            <a:t>Note 2</a:t>
          </a:r>
          <a:r>
            <a:rPr lang="it-IT" sz="1100"/>
            <a:t>: </a:t>
          </a:r>
          <a:r>
            <a:rPr lang="it-IT" sz="1100" b="1"/>
            <a:t>1</a:t>
          </a:r>
          <a:r>
            <a:rPr lang="it-IT" sz="1100"/>
            <a:t> </a:t>
          </a:r>
          <a:r>
            <a:rPr lang="it-IT" sz="1100" b="1">
              <a:solidFill>
                <a:schemeClr val="dk1"/>
              </a:solidFill>
              <a:effectLst/>
              <a:latin typeface="+mn-lt"/>
              <a:ea typeface="+mn-ea"/>
              <a:cs typeface="+mn-cs"/>
            </a:rPr>
            <a:t>vCPU =  1 physical Core </a:t>
          </a:r>
          <a:endParaRPr lang="it-IT" sz="1100"/>
        </a:p>
        <a:p>
          <a:endParaRPr lang="it-IT" sz="1100"/>
        </a:p>
        <a:p>
          <a:endParaRPr lang="it-IT" sz="11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odafone-my.sharepoint.com/Users/klaus.schipke/AppData/Local/Microsoft/Windows/Temporary%20Internet%20Files/Content.Outlook/1226VI3S/DNS_Detailed_Project_Cost-0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odafone-my.sharepoint.com/Users/keenep1.VF-ROOT/Desktop/DB_20151025%20DATA%20CORE_CONSOLIDATED_V1%2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SEAROW\Downloads\CE_NVI_cBOM-template_v3.5.1.xlsx" TargetMode="External"/><Relationship Id="rId1" Type="http://schemas.openxmlformats.org/officeDocument/2006/relationships/externalLinkPath" Target="/Users/ESEAROW/Downloads/CE_NVI_cBOM-template_v3.5.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SEAROW\AppData\Local\Microsoft\Windows\INetCache\Content.Outlook\IAIVPEGI\CE_NVI_cBOM-template_v3.6.1.xlsx" TargetMode="External"/><Relationship Id="rId1" Type="http://schemas.openxmlformats.org/officeDocument/2006/relationships/externalLinkPath" Target="/Users/ESEAROW/AppData/Local/Microsoft/Windows/INetCache/Content.Outlook/IAIVPEGI/CE_NVI_cBOM-template_v3.6.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vodafone-my.sharepoint.com/Users/guido.machtemes/AppData/Local/Microsoft/Windows/Temporary%20Internet%20Files/Content.Outlook/58LZAPMB/Detailed_Project_Cost_KAPA_BY15-16.xlsm"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Configuration"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DiscountRate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icsson_Abhi/2022/EDA/Bids/May'2022/Vodafone%20UK/EDA2%20Dimensioning%20Tool%2021%20Mar'2022_Product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G1 Cost Details"/>
      <sheetName val="G1-Summary"/>
      <sheetName val="G2 Cost Details"/>
      <sheetName val="G2-Summary"/>
      <sheetName val="Consulting rationale"/>
      <sheetName val="PN-Antrag"/>
      <sheetName val="Parameter"/>
      <sheetName val="export"/>
      <sheetName val="PreDefinedValues"/>
      <sheetName val="DNS_Detailed_Project_Cost-03"/>
      <sheetName val="Margin Analysis YR1"/>
      <sheetName val="costing"/>
      <sheetName val="Margin Analysis YR2"/>
      <sheetName val="Margin Analysis YR3"/>
      <sheetName val="Margin Analysis YR4"/>
      <sheetName val="Margin Analysis YR5"/>
      <sheetName val="Picklist"/>
      <sheetName val="PacketCore_DropDownLists"/>
      <sheetName val="Input"/>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For Eng Use"/>
      <sheetName val="DB"/>
      <sheetName val="PIVOT TABLE_2"/>
      <sheetName val="PIVOT TABLE"/>
      <sheetName val="Project List"/>
      <sheetName val="Picklist"/>
      <sheetName val="Coding RUles"/>
      <sheetName val="Guidelines"/>
      <sheetName val="Legenda"/>
      <sheetName val="envelope"/>
      <sheetName val="calendar"/>
      <sheetName val="Organization"/>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first"/>
      <sheetName val="Version Control"/>
      <sheetName val="Capacity and Performance Req."/>
      <sheetName val="Definitions &amp; Rules "/>
      <sheetName val="Infra assumptions "/>
      <sheetName val="Please Complete"/>
      <sheetName val="DataSheet"/>
      <sheetName val="CNF_info"/>
      <sheetName val="cBOM"/>
      <sheetName val="Capacity KPIs"/>
      <sheetName val="Capacity statements"/>
      <sheetName val="Minimum size CNF config"/>
      <sheetName val="Maximum size CNF config"/>
      <sheetName val="CE_NVI_cBOM-template_v3.5.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first"/>
      <sheetName val="Version Control"/>
      <sheetName val="Capacity and Performance Req."/>
      <sheetName val="Definitions &amp; Rules "/>
      <sheetName val="Infra assumptions "/>
      <sheetName val="Please Complete"/>
      <sheetName val="DataSheet"/>
      <sheetName val="Hardware_profile"/>
      <sheetName val="CNF_info"/>
      <sheetName val="cBOM"/>
      <sheetName val="Capacity KPIs"/>
      <sheetName val="Capacity statements"/>
      <sheetName val="Minimum size CNF config"/>
      <sheetName val="Maximum size CNF config"/>
      <sheetName val="CE_NVI_cBOM-template_v3.6.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G1 Cost Details"/>
      <sheetName val="G1-Summary"/>
      <sheetName val="G2 Cost Details"/>
      <sheetName val="G2-Summary"/>
      <sheetName val="Consulting rationale"/>
      <sheetName val="PN-Antrag"/>
      <sheetName val="Parameter"/>
      <sheetName val="export"/>
      <sheetName val="PreDefinedValues"/>
      <sheetName val="Detailed_Project_Cost_KAPA_BY15"/>
      <sheetName val="AMC Margin Setting v.2.0.0"/>
      <sheetName val="Picklist"/>
      <sheetName val="PacketCore_DropDownLis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XP_CostInputSheet"/>
      <sheetName val="CostCalculationSheet_byS"/>
      <sheetName val="RevenueCalculationSheet"/>
      <sheetName val="CostInputSheet_byS"/>
      <sheetName val="RevenueInputSheet"/>
      <sheetName val="XP_RevenueInputSheet"/>
      <sheetName val="XP_CostInputSheet_byS"/>
      <sheetName val="G1 Cost Details"/>
      <sheetName val="G1-Summary"/>
      <sheetName val="G2 Cost Details"/>
      <sheetName val="G2-Summary"/>
      <sheetName val="Consulting rationale"/>
      <sheetName val="PN-Antrag"/>
      <sheetName val="Parameter"/>
      <sheetName val="export"/>
      <sheetName val="PreDefinedValues"/>
      <sheetName val="Pick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Rates"/>
      <sheetName val="Configuration"/>
      <sheetName val="Daten"/>
      <sheetName val="PreDefinedValues"/>
      <sheetName val="Parameter"/>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mensioning"/>
      <sheetName val="Introduction"/>
      <sheetName val="Revision History"/>
      <sheetName val="CSO Estimation"/>
      <sheetName val="Calculations"/>
      <sheetName val="Off the Shelf Support"/>
      <sheetName val="Container CPU usage"/>
      <sheetName val="Container Size Data"/>
      <sheetName val="Test Case Information"/>
    </sheetNames>
    <sheetDataSet>
      <sheetData sheetId="0">
        <row r="29">
          <cell r="J29" t="str">
            <v>yes</v>
          </cell>
        </row>
        <row r="31">
          <cell r="F31" t="str">
            <v>yes</v>
          </cell>
        </row>
      </sheetData>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B3307-2F5E-4910-973F-2DF4BF563DF3}" name="Table2" displayName="Table2" ref="C1:C4" totalsRowShown="0">
  <autoFilter ref="C1:C4" xr:uid="{A6841700-49EC-4F2D-9656-0AA24FEF6A79}"/>
  <tableColumns count="1">
    <tableColumn id="1" xr3:uid="{11D4DEF2-2ABF-4B04-AF26-A70A9F43E4D3}" name="set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D04602-FCA5-4916-8CCB-E0024A4771BC}" name="Table3" displayName="Table3" ref="A1:A3" totalsRowShown="0">
  <autoFilter ref="A1:A3" xr:uid="{0E5EE14E-8117-40B0-9851-517D1F85FE98}"/>
  <tableColumns count="1">
    <tableColumn id="1" xr3:uid="{AF7CEB74-D5C4-4094-89E9-F85E3B63BDA4}" name="Hyperthreading"/>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3D963D-7762-4610-A49F-83D7CE66C3B6}" name="Table5" displayName="Table5" ref="E1:E4" totalsRowShown="0">
  <autoFilter ref="E1:E4" xr:uid="{07A0B322-1B0A-4949-970E-9BFDA52A678F}"/>
  <tableColumns count="1">
    <tableColumn id="1" xr3:uid="{F39FC9F3-7116-433A-94FD-B34056AC1EE0}" name="Set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265B73-0E7F-41F1-8A33-1C9C59C4AC9D}" name="Table1" displayName="Table1" ref="A7:A11" totalsRowShown="0">
  <autoFilter ref="A7:A11" xr:uid="{AF4913B2-2336-4410-89F9-3DEEC77884D1}"/>
  <tableColumns count="1">
    <tableColumn id="1" xr3:uid="{5AED8A36-319D-4872-8770-3DC6D75EEE7F}" name="Requirement"/>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13EF29-FBC8-4417-B55D-AD4E32E1E042}" name="Table7" displayName="Table7" ref="C7:C9" totalsRowShown="0">
  <autoFilter ref="C7:C9" xr:uid="{7C2524A3-EAC6-40B9-9F39-4B61692F71AC}"/>
  <tableColumns count="1">
    <tableColumn id="1" xr3:uid="{C89D39D0-CCAF-4584-AB3C-58A4653B4EAD}" name="HTSet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F44444-F7D5-461B-A38F-13FEA29CBCBA}" name="Table8" displayName="Table8" ref="E7:E8" totalsRowShown="0">
  <autoFilter ref="E7:E8" xr:uid="{11D32231-E46F-49B0-BFE0-9A80D9B30CEB}"/>
  <tableColumns count="1">
    <tableColumn id="1" xr3:uid="{68A0AD64-0DEF-4D78-8BE3-4A6BE690C4E7}" name="HTSet4"/>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B63D16-1643-4A5E-B28D-3EFB3A9E6609}" name="Table9" displayName="Table9" ref="G7:G8" totalsRowShown="0">
  <autoFilter ref="G7:G8" xr:uid="{AD46B4BF-40B8-43C2-B6C4-0FC00105E780}"/>
  <tableColumns count="1">
    <tableColumn id="1" xr3:uid="{75397822-C8C6-4B9F-920B-BC1F99909112}" name="HTSet5"/>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83FA09-B440-43AF-9732-08C0EAF0011D}" name="Table10" displayName="Table10" ref="I7:I9" totalsRowShown="0">
  <autoFilter ref="I7:I9" xr:uid="{1566E938-7D3C-4137-848A-7F6F48CE5A83}"/>
  <tableColumns count="1">
    <tableColumn id="1" xr3:uid="{DE757038-9300-458A-BBC5-6A03D93E864A}" name="HTset6"/>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F49731-5CDD-40B1-98A6-FDF62A827B66}" name="Table11" displayName="Table11" ref="K7:K9" totalsRowShown="0">
  <autoFilter ref="K7:K9" xr:uid="{CC6706C9-9A34-46BB-9A2D-049D251FC9F9}"/>
  <tableColumns count="1">
    <tableColumn id="1" xr3:uid="{E3ADF20C-981C-4B3B-B5FC-D8D01EEFA76B}" name="HTset7"/>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C304BD7-9F90-4CAC-9E82-F025641B3836}" name="Table4" displayName="Table4" ref="C14:C19" totalsRowShown="0">
  <autoFilter ref="C14:C19" xr:uid="{F2C3CB9F-C7BD-43C2-A568-3EDC599C1F3D}"/>
  <tableColumns count="1">
    <tableColumn id="1" xr3:uid="{D5ABF4F6-7619-4342-94AE-FD62A6F1DC82}" name="OP_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941958A-E7CC-4AEB-9880-8A00AF40475C}" name="Table6" displayName="Table6" ref="E14:E17" totalsRowShown="0">
  <autoFilter ref="E14:E17" xr:uid="{FD464C38-75EB-403C-BAC6-03F0A5255FEE}"/>
  <tableColumns count="1">
    <tableColumn id="1" xr3:uid="{21D36511-533A-426B-A620-AA8762BEC9DF}" name="OP_2"/>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0587FBB-8257-4E38-9A02-E76C468FCC6F}" name="Table13" displayName="Table13" ref="A22:A27" totalsRowShown="0" tableBorderDxfId="29">
  <autoFilter ref="A22:A27" xr:uid="{BB5B6498-1951-4601-B2EB-5B13632994AA}"/>
  <tableColumns count="1">
    <tableColumn id="1" xr3:uid="{B02DA1AC-0A06-4D07-9730-4485F47854A1}" name="General_PurposeDisabled"/>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5DEF18-EA04-4EE6-B719-8FC2741BDD12}" name="Table14" displayName="Table14" ref="C22:C23" totalsRowShown="0" tableBorderDxfId="28">
  <autoFilter ref="C22:C23" xr:uid="{20427835-B385-41B3-8461-1AF1382980E6}"/>
  <tableColumns count="1">
    <tableColumn id="1" xr3:uid="{F81930FC-2561-4608-A9D2-9C3AB3B1702E}" name="General_PurposeEnabled"/>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9A469BC-C052-4C1F-ADE2-DED0960EA181}" name="Table15" displayName="Table15" ref="E22:E23" totalsRowShown="0">
  <autoFilter ref="E22:E23" xr:uid="{EE288104-321C-444C-B2AA-777C4625B5AC}"/>
  <tableColumns count="1">
    <tableColumn id="1" xr3:uid="{0E6058DE-66D2-455D-8D71-2D2642BEE648}" name="SRIOVDisabled"/>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9AC8B0E-91FA-49F6-9DB0-8FE99D50B2EB}" name="Table16" displayName="Table16" ref="G22:G23" totalsRowShown="0">
  <autoFilter ref="G22:G23" xr:uid="{1C741EE3-7F08-4128-861F-2CEB4AB38729}"/>
  <tableColumns count="1">
    <tableColumn id="1" xr3:uid="{443E9898-9347-4FE5-A491-A181DD3935FF}" name="EDPDisabled"/>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B215542-CBED-4877-AF1D-3E45C86CE06A}" name="Table17" displayName="Table17" ref="I22:I27" totalsRowShown="0" tableBorderDxfId="27">
  <autoFilter ref="I22:I27" xr:uid="{398893EB-5957-477F-8444-8F3472BFCA09}"/>
  <tableColumns count="1">
    <tableColumn id="1" xr3:uid="{9629A9CC-F526-4EB4-BEEB-206898D5E2F9}" name="Huge_PagesDisabled"/>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5387A84-00FE-46AB-A952-01F6AFC326C1}" name="Table18" displayName="Table18" ref="K22:K23" totalsRowShown="0" dataDxfId="26">
  <autoFilter ref="K22:K23" xr:uid="{6D5C27B5-EF82-4760-BD79-5D1560164ECA}"/>
  <tableColumns count="1">
    <tableColumn id="1" xr3:uid="{DD374276-0A7A-491E-BAC3-588143302C80}" name="Huge_PagesEnabled" dataDxfId="25"/>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F6871D2-0116-4A2C-B1C7-20C79248301E}" name="Table19" displayName="Table19" ref="M22:M27" totalsRowShown="0" tableBorderDxfId="24">
  <autoFilter ref="M22:M27" xr:uid="{1F8D639F-ED83-48E9-927E-72FDE8E0DE28}"/>
  <tableColumns count="1">
    <tableColumn id="1" xr3:uid="{033044F6-E6F7-4BAB-AB88-3DCE90D66600}" name="OthersDisabled"/>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7721927-3817-4161-A924-BA2C8CA82346}" name="Table20" displayName="Table20" ref="O22:O23" totalsRowShown="0" dataDxfId="23">
  <autoFilter ref="O22:O23" xr:uid="{94183449-BD04-492D-8C02-952AA284BBBC}"/>
  <tableColumns count="1">
    <tableColumn id="1" xr3:uid="{FBEEF8CC-1DED-470C-919D-2B48112E5E3C}" name="OthersEnabled" dataDxfId="22"/>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3DAD9E3-7B57-4ABA-9BB9-E631849A9A3C}" name="Table12" displayName="Table12" ref="C46:C51" totalsRowShown="0">
  <autoFilter ref="C46:C51" xr:uid="{043B8581-81C7-47EA-BADD-37CDC60FBF8F}"/>
  <tableColumns count="1">
    <tableColumn id="1" xr3:uid="{5C566819-DFF0-4417-AEF5-E6062BACBE31}" name="General_PurposeDisabledDisabled"/>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6A4A71D-D00D-4DE6-84BA-81EA93CA0E8C}" name="Table21" displayName="Table21" ref="E46:E51" totalsRowShown="0">
  <autoFilter ref="E46:E51" xr:uid="{4676C014-8CBD-48C4-B3D3-1FFE07B5B411}"/>
  <tableColumns count="1">
    <tableColumn id="1" xr3:uid="{C876E5F2-6443-4F0D-9423-1C737884E87C}" name="General_PurposeDisabledEnabled_POD_level_dimensioning_on_CPU_request"/>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3C6AFF6-51DE-430B-8D1A-886056510FFC}" name="Table22" displayName="Table22" ref="G46:G50" totalsRowShown="0">
  <autoFilter ref="G46:G50" xr:uid="{DD5FC924-8F5A-4471-8E36-1EDCCFAEC177}"/>
  <tableColumns count="1">
    <tableColumn id="1" xr3:uid="{FED083AF-23D4-40C3-8235-4BA65E28EE1A}" name="General_PurposeDisabledEnabled_WN_Level_2_to_1"/>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F021698-886D-42E0-BAB9-63B7B9716977}" name="Table23" displayName="Table23" ref="I46:I50" totalsRowShown="0">
  <autoFilter ref="I46:I50" xr:uid="{BD22C58A-CB42-4EA2-8AAA-032EDF0E81F3}"/>
  <tableColumns count="1">
    <tableColumn id="1" xr3:uid="{F19A566E-98B5-4167-B29C-6169EA96588A}" name="General_PurposeDisabledEnabled_WN_Level_3_to_1_only_for_non_service_affecting_nodepool"/>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D5011AF-8FE7-479F-8AEA-966AFDEC9EBA}" name="Table24" displayName="Table24" ref="K46:K50" totalsRowShown="0" headerRowDxfId="21">
  <autoFilter ref="K46:K50" xr:uid="{678C751B-20B7-45F4-86C7-625BD6A87135}"/>
  <tableColumns count="1">
    <tableColumn id="1" xr3:uid="{76C7CA48-4A12-4E57-9D4C-8ABA736DF3B7}" name="General_PurposeDisabledEnabled_WN_Level_4_to_1_only_for_non_service_affecting_nodepool"/>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AF3D5B6-F5C8-43E0-BCAA-B5D371CBA1E3}" name="Table25" displayName="Table25" ref="M46:M51" totalsRowShown="0" headerRowDxfId="20">
  <autoFilter ref="M46:M51" xr:uid="{1E6F68F4-9FB3-4912-A619-D941ED83D4CB}"/>
  <tableColumns count="1">
    <tableColumn id="1" xr3:uid="{5D05BAE3-FA72-4132-8C52-A8D58D8B0BF1}" name="General_PurposeEnabledDisabled"/>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0B18827-3055-47DC-8E4C-13C9F46790A6}" name="Table26" displayName="Table26" ref="O46:O51" totalsRowShown="0" headerRowDxfId="19">
  <autoFilter ref="O46:O51" xr:uid="{07B7F585-4270-46E6-99AC-98C57601CDAF}"/>
  <tableColumns count="1">
    <tableColumn id="1" xr3:uid="{09144993-084D-40E5-A089-4BD0AF9E5587}" name="SRIOVDisabledNA_SRIOV_is_Enabled"/>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1367137-150F-4866-8A73-15C47C62BF87}" name="Table27" displayName="Table27" ref="Q46:Q51" totalsRowShown="0" headerRowDxfId="18">
  <autoFilter ref="Q46:Q51" xr:uid="{A4D6AFF6-A5E6-4E44-902F-85573CF48DC6}"/>
  <tableColumns count="1">
    <tableColumn id="1" xr3:uid="{AF1E14DA-6A24-4519-BE92-F197E2DC564E}" name="EDPDisabledNA_EDP_is_Enabled"/>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D82D8ED-D4E7-43A3-8650-0AC2BB8F4E65}" name="Table28" displayName="Table28" ref="S46:S51" totalsRowShown="0" headerRowDxfId="17">
  <autoFilter ref="S46:S51" xr:uid="{18C71F4B-92FB-42A8-8503-8BBBC6D61CEF}"/>
  <tableColumns count="1">
    <tableColumn id="1" xr3:uid="{87CAD052-CCA9-4CE3-90B5-E5E604274781}" name="Huge_PagesDisabledDisabled"/>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36837F1-48CF-4631-BDA0-ECC4D36E1E24}" name="Table29" displayName="Table29" ref="U46:U51" totalsRowShown="0" headerRowDxfId="16">
  <autoFilter ref="U46:U51" xr:uid="{9F30952A-61E1-40FE-A631-206471D01ED9}"/>
  <tableColumns count="1">
    <tableColumn id="1" xr3:uid="{24C5AD9D-0271-4809-A0BD-914BF4C09AB6}" name="Huge_PagesDisabledEnabled_POD_level_dimensioning_on_CPU_request"/>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E40E6C8-8B90-42DE-A9B1-69E2262C8D84}" name="Table30" displayName="Table30" ref="W46:W51" totalsRowShown="0" headerRowDxfId="15">
  <autoFilter ref="W46:W51" xr:uid="{FB9C8842-0D64-4C1F-8A03-0C422F461BE3}"/>
  <tableColumns count="1">
    <tableColumn id="1" xr3:uid="{2E4D3532-9839-4836-8992-1F392EAA4DE7}" name="Huge_PagesDisabledEnabled_WN_Level_2_to_1"/>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092ADCC-72D1-42C8-93AA-B34DB176124C}" name="Table31" displayName="Table31" ref="Y46:Y50" totalsRowShown="0" headerRowDxfId="14">
  <autoFilter ref="Y46:Y50" xr:uid="{B5CA0445-882C-444F-98A1-D3601BEA92C9}"/>
  <tableColumns count="1">
    <tableColumn id="1" xr3:uid="{E9078DA3-E9DF-4EC7-8504-103EF171DFF6}" name="Huge_PagesDisabledEnabled_WN_Level_3_to_1_only_for_non_service_affecting_nodepool"/>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C222D24-2EE5-4D51-B318-4644188033E1}" name="Table32" displayName="Table32" ref="AA46:AA50" totalsRowShown="0" headerRowDxfId="13">
  <autoFilter ref="AA46:AA50" xr:uid="{BE118F6E-79D9-42EB-BB67-2FB0BBA7E806}"/>
  <tableColumns count="1">
    <tableColumn id="1" xr3:uid="{714BAB5A-A1F8-491F-8861-9E6A59B996AC}" name="Huge_PagesDisabledEnabled_WN_Level_4_to_1_only_for_non_service_affecting_nodepool"/>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F54E37B-8EF2-4710-8655-85419B0FAE2C}" name="Table33" displayName="Table33" ref="AC46:AC51" totalsRowShown="0">
  <autoFilter ref="AC46:AC51" xr:uid="{B572F16E-9452-4406-B814-B671B9373BCC}"/>
  <tableColumns count="1">
    <tableColumn id="1" xr3:uid="{92BA73EB-E83D-420E-A197-2F4529B81331}" name="Huge_PagesEnabledDisabled"/>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A915549-7E0E-4F26-AC57-7C34D2A176B0}" name="Table34" displayName="Table34" ref="A14:A16" totalsRowShown="0">
  <autoFilter ref="A14:A16" xr:uid="{E9C15F09-193B-4919-99C5-C125BFC22653}"/>
  <tableColumns count="1">
    <tableColumn id="1" xr3:uid="{DCB75D1E-A716-40BE-94D4-23939DD15900}" name="OP_HT"/>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kubernetes.io/docs/tasks/administer-cluster/reserve-compute-resource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sean.rowland@ericsson.com"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34" Type="http://schemas.openxmlformats.org/officeDocument/2006/relationships/table" Target="../tables/table33.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29" Type="http://schemas.openxmlformats.org/officeDocument/2006/relationships/table" Target="../tables/table28.xml"/><Relationship Id="rId1" Type="http://schemas.openxmlformats.org/officeDocument/2006/relationships/printerSettings" Target="../printerSettings/printerSettings7.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5"/>
  <sheetViews>
    <sheetView workbookViewId="0">
      <selection activeCell="B2" sqref="B2"/>
    </sheetView>
  </sheetViews>
  <sheetFormatPr defaultColWidth="9.1796875" defaultRowHeight="14.5"/>
  <cols>
    <col min="1" max="1" width="3.1796875" style="5" customWidth="1"/>
    <col min="2" max="2" width="33.453125" style="5" customWidth="1"/>
    <col min="3" max="3" width="126.453125" style="5" customWidth="1"/>
    <col min="4" max="16384" width="9.1796875" style="5"/>
  </cols>
  <sheetData>
    <row r="4" ht="131.25" customHeight="1"/>
    <row r="5" ht="12" customHeight="1"/>
  </sheetData>
  <pageMargins left="0.7" right="0.7" top="0.75" bottom="0.75" header="0.3" footer="0.3"/>
  <pageSetup paperSize="9" orientation="portrait" r:id="rId1"/>
  <headerFooter>
    <oddFooter>&amp;L&amp;1#&amp;"Calibri"&amp;7&amp;K000000C2 General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BD02-95A9-450B-9633-AAF533793E14}">
  <dimension ref="A1:B13"/>
  <sheetViews>
    <sheetView zoomScale="85" zoomScaleNormal="85" workbookViewId="0">
      <selection activeCell="I8" sqref="I8"/>
    </sheetView>
  </sheetViews>
  <sheetFormatPr defaultRowHeight="14.5"/>
  <cols>
    <col min="2" max="2" width="87.81640625" customWidth="1"/>
  </cols>
  <sheetData>
    <row r="1" spans="1:2">
      <c r="A1" s="42" t="s">
        <v>0</v>
      </c>
      <c r="B1" s="42" t="s">
        <v>1</v>
      </c>
    </row>
    <row r="2" spans="1:2" ht="72.5">
      <c r="A2" s="43" t="s">
        <v>2</v>
      </c>
      <c r="B2" s="44" t="s">
        <v>3</v>
      </c>
    </row>
    <row r="3" spans="1:2" ht="145">
      <c r="A3" s="43" t="s">
        <v>4</v>
      </c>
      <c r="B3" s="45" t="s">
        <v>5</v>
      </c>
    </row>
    <row r="4" spans="1:2">
      <c r="A4" s="43" t="s">
        <v>6</v>
      </c>
      <c r="B4" t="s">
        <v>7</v>
      </c>
    </row>
    <row r="5" spans="1:2">
      <c r="A5" s="43" t="s">
        <v>8</v>
      </c>
      <c r="B5" t="s">
        <v>7</v>
      </c>
    </row>
    <row r="6" spans="1:2">
      <c r="A6" s="43" t="s">
        <v>9</v>
      </c>
      <c r="B6" t="s">
        <v>7</v>
      </c>
    </row>
    <row r="7" spans="1:2">
      <c r="A7" s="43" t="s">
        <v>10</v>
      </c>
      <c r="B7" t="s">
        <v>7</v>
      </c>
    </row>
    <row r="8" spans="1:2" ht="174">
      <c r="A8" s="43" t="s">
        <v>11</v>
      </c>
      <c r="B8" s="45" t="s">
        <v>12</v>
      </c>
    </row>
    <row r="9" spans="1:2">
      <c r="A9" s="43" t="s">
        <v>13</v>
      </c>
      <c r="B9" s="45" t="s">
        <v>14</v>
      </c>
    </row>
    <row r="10" spans="1:2">
      <c r="A10" s="43" t="s">
        <v>15</v>
      </c>
      <c r="B10" t="s">
        <v>16</v>
      </c>
    </row>
    <row r="11" spans="1:2">
      <c r="A11" s="43">
        <v>3.5</v>
      </c>
      <c r="B11" t="s">
        <v>17</v>
      </c>
    </row>
    <row r="12" spans="1:2">
      <c r="A12" s="43" t="s">
        <v>18</v>
      </c>
      <c r="B12" t="s">
        <v>19</v>
      </c>
    </row>
    <row r="13" spans="1:2">
      <c r="A13" s="43" t="s">
        <v>20</v>
      </c>
      <c r="B13" t="s">
        <v>21</v>
      </c>
    </row>
  </sheetData>
  <pageMargins left="0.7" right="0.7" top="0.75" bottom="0.75" header="0.3" footer="0.3"/>
  <pageSetup paperSize="9" orientation="portrait" r:id="rId1"/>
  <headerFooter>
    <oddFooter>&amp;L&amp;1#&amp;"Calibri"&amp;7&amp;K000000C2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499984740745262"/>
  </sheetPr>
  <dimension ref="A1:C5"/>
  <sheetViews>
    <sheetView topLeftCell="A4" zoomScale="80" zoomScaleNormal="80" workbookViewId="0">
      <selection activeCell="B4" sqref="B4"/>
    </sheetView>
  </sheetViews>
  <sheetFormatPr defaultColWidth="8.81640625" defaultRowHeight="13"/>
  <cols>
    <col min="1" max="1" width="25" style="20" customWidth="1"/>
    <col min="2" max="2" width="166.453125" style="20" customWidth="1"/>
    <col min="3" max="3" width="68.81640625" style="20" customWidth="1"/>
    <col min="4" max="16384" width="8.81640625" style="20"/>
  </cols>
  <sheetData>
    <row r="1" spans="1:3" s="21" customFormat="1" ht="15.5">
      <c r="A1" s="37" t="s">
        <v>22</v>
      </c>
      <c r="B1" s="37"/>
    </row>
    <row r="2" spans="1:3" customFormat="1" ht="14.5">
      <c r="A2" s="12" t="s">
        <v>23</v>
      </c>
      <c r="B2" s="12" t="s">
        <v>24</v>
      </c>
      <c r="C2" s="17" t="s">
        <v>25</v>
      </c>
    </row>
    <row r="3" spans="1:3" ht="275.5" customHeight="1">
      <c r="A3" s="135" t="s">
        <v>26</v>
      </c>
      <c r="B3" s="136" t="s">
        <v>27</v>
      </c>
      <c r="C3" s="136"/>
    </row>
    <row r="4" spans="1:3" ht="331.75" customHeight="1">
      <c r="A4" s="135" t="s">
        <v>28</v>
      </c>
      <c r="B4" s="136" t="s">
        <v>29</v>
      </c>
      <c r="C4" s="136"/>
    </row>
    <row r="5" spans="1:3" ht="117">
      <c r="A5" s="135" t="s">
        <v>30</v>
      </c>
      <c r="B5" s="136" t="s">
        <v>31</v>
      </c>
    </row>
  </sheetData>
  <conditionalFormatting sqref="B3:B4">
    <cfRule type="duplicateValues" dxfId="12" priority="2"/>
  </conditionalFormatting>
  <conditionalFormatting sqref="B5">
    <cfRule type="duplicateValues" dxfId="11" priority="1"/>
  </conditionalFormatting>
  <pageMargins left="0.7" right="0.7" top="0.75" bottom="0.75" header="0.3" footer="0.3"/>
  <pageSetup scale="33" orientation="portrait" r:id="rId1"/>
  <headerFooter>
    <oddFooter>&amp;L&amp;1#&amp;"Calibri"&amp;7&amp;K000000C2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DA7D-E726-4145-B589-713D5C4E694D}">
  <sheetPr>
    <tabColor theme="1"/>
  </sheetPr>
  <dimension ref="A1:D32"/>
  <sheetViews>
    <sheetView topLeftCell="A13" zoomScale="55" zoomScaleNormal="55" workbookViewId="0">
      <selection activeCell="N16" sqref="N16"/>
    </sheetView>
  </sheetViews>
  <sheetFormatPr defaultRowHeight="14.5"/>
  <cols>
    <col min="1" max="1" width="42.7265625" customWidth="1"/>
    <col min="2" max="2" width="79.26953125" bestFit="1" customWidth="1"/>
    <col min="3" max="3" width="101.26953125" customWidth="1"/>
    <col min="4" max="4" width="16.81640625" bestFit="1" customWidth="1"/>
  </cols>
  <sheetData>
    <row r="1" spans="1:3" ht="15" thickBot="1">
      <c r="A1" s="15" t="s">
        <v>32</v>
      </c>
      <c r="B1" s="15" t="s">
        <v>33</v>
      </c>
      <c r="C1" s="15" t="s">
        <v>34</v>
      </c>
    </row>
    <row r="2" spans="1:3" ht="285" customHeight="1" thickBot="1">
      <c r="A2" s="16" t="s">
        <v>35</v>
      </c>
      <c r="B2" s="137" t="s">
        <v>36</v>
      </c>
      <c r="C2" s="138" t="s">
        <v>37</v>
      </c>
    </row>
    <row r="3" spans="1:3" ht="235.15" customHeight="1" thickBot="1">
      <c r="A3" s="16" t="s">
        <v>38</v>
      </c>
      <c r="B3" s="137" t="s">
        <v>39</v>
      </c>
      <c r="C3" s="138" t="s">
        <v>40</v>
      </c>
    </row>
    <row r="4" spans="1:3" ht="112.15" customHeight="1" thickBot="1">
      <c r="A4" s="13" t="s">
        <v>41</v>
      </c>
      <c r="B4" s="139" t="s">
        <v>42</v>
      </c>
      <c r="C4" s="140" t="s">
        <v>43</v>
      </c>
    </row>
    <row r="5" spans="1:3" ht="112.15" customHeight="1" thickBot="1">
      <c r="A5" s="13" t="s">
        <v>44</v>
      </c>
      <c r="B5" s="139" t="s">
        <v>45</v>
      </c>
      <c r="C5" s="140" t="s">
        <v>46</v>
      </c>
    </row>
    <row r="6" spans="1:3" ht="112.15" customHeight="1" thickBot="1">
      <c r="A6" s="13" t="s">
        <v>47</v>
      </c>
      <c r="B6" s="139" t="s">
        <v>48</v>
      </c>
      <c r="C6" s="140" t="s">
        <v>49</v>
      </c>
    </row>
    <row r="7" spans="1:3" ht="112.15" customHeight="1" thickBot="1">
      <c r="A7" s="13" t="s">
        <v>50</v>
      </c>
      <c r="B7" s="139" t="s">
        <v>51</v>
      </c>
      <c r="C7" s="140" t="s">
        <v>49</v>
      </c>
    </row>
    <row r="8" spans="1:3" ht="112.15" customHeight="1" thickBot="1">
      <c r="A8" s="13" t="s">
        <v>52</v>
      </c>
      <c r="B8" s="139" t="s">
        <v>53</v>
      </c>
      <c r="C8" s="140" t="s">
        <v>54</v>
      </c>
    </row>
    <row r="9" spans="1:3" ht="112.15" customHeight="1" thickBot="1">
      <c r="A9" s="13" t="s">
        <v>55</v>
      </c>
      <c r="B9" s="141" t="s">
        <v>56</v>
      </c>
      <c r="C9" s="140" t="s">
        <v>57</v>
      </c>
    </row>
    <row r="10" spans="1:3" ht="112.15" customHeight="1" thickBot="1">
      <c r="A10" s="13" t="s">
        <v>58</v>
      </c>
      <c r="B10" s="139" t="s">
        <v>59</v>
      </c>
      <c r="C10" s="140" t="s">
        <v>60</v>
      </c>
    </row>
    <row r="11" spans="1:3" ht="112.15" customHeight="1" thickBot="1">
      <c r="A11" s="13" t="s">
        <v>61</v>
      </c>
      <c r="B11" s="141" t="s">
        <v>62</v>
      </c>
      <c r="C11" s="140" t="s">
        <v>63</v>
      </c>
    </row>
    <row r="12" spans="1:3" ht="174.5" thickBot="1">
      <c r="A12" s="13" t="s">
        <v>64</v>
      </c>
      <c r="B12" s="142" t="s">
        <v>65</v>
      </c>
      <c r="C12" s="140" t="s">
        <v>66</v>
      </c>
    </row>
    <row r="13" spans="1:3" ht="163.9" customHeight="1" thickBot="1">
      <c r="A13" s="13" t="s">
        <v>67</v>
      </c>
      <c r="B13" s="143" t="s">
        <v>68</v>
      </c>
      <c r="C13" s="140" t="s">
        <v>69</v>
      </c>
    </row>
    <row r="14" spans="1:3" ht="203.5" thickBot="1">
      <c r="A14" s="13" t="s">
        <v>70</v>
      </c>
      <c r="B14" s="143" t="s">
        <v>68</v>
      </c>
      <c r="C14" s="140" t="s">
        <v>71</v>
      </c>
    </row>
    <row r="15" spans="1:3" ht="70.5" thickBot="1">
      <c r="A15" s="13" t="s">
        <v>72</v>
      </c>
      <c r="B15" s="213" t="s">
        <v>73</v>
      </c>
      <c r="C15" s="215" t="s">
        <v>74</v>
      </c>
    </row>
    <row r="16" spans="1:3" ht="70.5" thickBot="1">
      <c r="A16" s="13" t="s">
        <v>75</v>
      </c>
      <c r="B16" s="214"/>
      <c r="C16" s="216"/>
    </row>
    <row r="17" spans="1:4" ht="335.5" customHeight="1" thickBot="1">
      <c r="A17" s="13" t="s">
        <v>76</v>
      </c>
      <c r="B17" s="142" t="s">
        <v>73</v>
      </c>
      <c r="C17" s="140" t="s">
        <v>77</v>
      </c>
    </row>
    <row r="18" spans="1:4">
      <c r="A18" s="47"/>
      <c r="B18" s="48"/>
      <c r="C18" s="55"/>
    </row>
    <row r="19" spans="1:4" ht="15" thickBot="1">
      <c r="A19" s="47" t="s">
        <v>78</v>
      </c>
    </row>
    <row r="20" spans="1:4" ht="15" thickBot="1">
      <c r="A20" s="49" t="s">
        <v>79</v>
      </c>
      <c r="B20" s="50" t="s">
        <v>80</v>
      </c>
      <c r="C20" s="50" t="s">
        <v>81</v>
      </c>
      <c r="D20" s="50" t="s">
        <v>82</v>
      </c>
    </row>
    <row r="21" spans="1:4" ht="15" thickBot="1">
      <c r="A21" s="52" t="s">
        <v>83</v>
      </c>
      <c r="B21" s="53">
        <v>1000000</v>
      </c>
      <c r="C21" s="51" t="s">
        <v>84</v>
      </c>
      <c r="D21" s="54" t="b">
        <v>0</v>
      </c>
    </row>
    <row r="22" spans="1:4" ht="15" thickBot="1">
      <c r="A22" s="52" t="s">
        <v>85</v>
      </c>
      <c r="B22" s="53">
        <v>950000</v>
      </c>
      <c r="C22" s="51" t="s">
        <v>86</v>
      </c>
      <c r="D22" s="54" t="b">
        <v>0</v>
      </c>
    </row>
    <row r="23" spans="1:4" ht="15" thickBot="1">
      <c r="A23" s="52" t="s">
        <v>87</v>
      </c>
      <c r="B23" s="53">
        <v>900000</v>
      </c>
      <c r="C23" s="51" t="s">
        <v>84</v>
      </c>
      <c r="D23" s="54" t="b">
        <v>0</v>
      </c>
    </row>
    <row r="24" spans="1:4" ht="15" thickBot="1">
      <c r="A24" s="52" t="s">
        <v>88</v>
      </c>
      <c r="B24" s="53">
        <v>850000</v>
      </c>
      <c r="C24" s="51" t="s">
        <v>86</v>
      </c>
      <c r="D24" s="54" t="b">
        <v>0</v>
      </c>
    </row>
    <row r="25" spans="1:4" ht="15" thickBot="1">
      <c r="A25" s="52" t="s">
        <v>89</v>
      </c>
      <c r="B25" s="53">
        <v>800000</v>
      </c>
      <c r="C25" s="51" t="s">
        <v>84</v>
      </c>
      <c r="D25" s="54" t="b">
        <v>0</v>
      </c>
    </row>
    <row r="26" spans="1:4" ht="15" thickBot="1">
      <c r="A26" s="52" t="s">
        <v>90</v>
      </c>
      <c r="B26" s="53">
        <v>750000</v>
      </c>
      <c r="C26" s="51" t="s">
        <v>86</v>
      </c>
      <c r="D26" s="54" t="b">
        <v>0</v>
      </c>
    </row>
    <row r="27" spans="1:4" ht="15" thickBot="1">
      <c r="A27" s="52" t="s">
        <v>91</v>
      </c>
      <c r="B27" s="53">
        <v>700000</v>
      </c>
      <c r="C27" s="51" t="s">
        <v>84</v>
      </c>
      <c r="D27" s="54" t="b">
        <v>0</v>
      </c>
    </row>
    <row r="28" spans="1:4" ht="15" thickBot="1">
      <c r="A28" s="105" t="s">
        <v>92</v>
      </c>
      <c r="B28" s="106">
        <v>650000</v>
      </c>
      <c r="C28" s="107" t="s">
        <v>86</v>
      </c>
      <c r="D28" s="54" t="b">
        <v>0</v>
      </c>
    </row>
    <row r="29" spans="1:4">
      <c r="A29" s="144" t="s">
        <v>93</v>
      </c>
      <c r="B29" s="145" t="s">
        <v>94</v>
      </c>
      <c r="C29" s="217" t="s">
        <v>95</v>
      </c>
    </row>
    <row r="30" spans="1:4">
      <c r="A30" s="144" t="s">
        <v>96</v>
      </c>
      <c r="B30" s="145" t="s">
        <v>97</v>
      </c>
      <c r="C30" s="217"/>
    </row>
    <row r="31" spans="1:4">
      <c r="A31" s="144" t="s">
        <v>98</v>
      </c>
      <c r="B31" s="145" t="s">
        <v>99</v>
      </c>
      <c r="C31" s="217"/>
    </row>
    <row r="32" spans="1:4">
      <c r="A32" s="144" t="s">
        <v>100</v>
      </c>
      <c r="B32" s="145" t="s">
        <v>101</v>
      </c>
      <c r="C32" s="217"/>
    </row>
  </sheetData>
  <mergeCells count="3">
    <mergeCell ref="B15:B16"/>
    <mergeCell ref="C15:C16"/>
    <mergeCell ref="C29:C32"/>
  </mergeCells>
  <hyperlinks>
    <hyperlink ref="C29" r:id="rId1" xr:uid="{586C015A-51C3-4D10-A665-7FFE7903C043}"/>
  </hyperlinks>
  <pageMargins left="0.7" right="0.7" top="0.75" bottom="0.75" header="0.3" footer="0.3"/>
  <pageSetup orientation="portrait" r:id="rId2"/>
  <headerFooter>
    <oddFooter>&amp;L&amp;1#&amp;"Calibri"&amp;7&amp;K000000C2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307AA-BED6-44AB-AAA5-FEBBD4EDC047}">
  <sheetPr>
    <tabColor rgb="FFFFC000"/>
  </sheetPr>
  <dimension ref="A1:C3"/>
  <sheetViews>
    <sheetView topLeftCell="A20" zoomScale="70" zoomScaleNormal="70" workbookViewId="0">
      <selection activeCell="A38" sqref="A38"/>
    </sheetView>
  </sheetViews>
  <sheetFormatPr defaultColWidth="17.26953125" defaultRowHeight="14"/>
  <cols>
    <col min="1" max="1" width="7.453125" style="6" customWidth="1"/>
    <col min="2" max="2" width="17.26953125" style="6"/>
    <col min="3" max="3" width="98.7265625" style="6" customWidth="1"/>
    <col min="4" max="8" width="21.7265625" style="6" customWidth="1"/>
    <col min="9" max="9" width="25.26953125" style="6" customWidth="1"/>
    <col min="10" max="10" width="24.453125" style="6" bestFit="1" customWidth="1"/>
    <col min="11" max="11" width="17.26953125" style="6" bestFit="1" customWidth="1"/>
    <col min="12" max="12" width="16" style="6" bestFit="1" customWidth="1"/>
    <col min="13" max="13" width="15.7265625" style="6" bestFit="1" customWidth="1"/>
    <col min="14" max="16384" width="17.26953125" style="6"/>
  </cols>
  <sheetData>
    <row r="1" spans="1:3" ht="15.5">
      <c r="A1" s="218" t="s">
        <v>102</v>
      </c>
      <c r="B1" s="218"/>
      <c r="C1" s="218"/>
    </row>
    <row r="2" spans="1:3" ht="132" customHeight="1">
      <c r="A2" s="219" t="s">
        <v>103</v>
      </c>
      <c r="B2" s="219"/>
      <c r="C2" s="219"/>
    </row>
    <row r="3" spans="1:3" ht="18.5">
      <c r="B3" s="7"/>
    </row>
  </sheetData>
  <mergeCells count="2">
    <mergeCell ref="A1:C1"/>
    <mergeCell ref="A2:C2"/>
  </mergeCells>
  <pageMargins left="0.7" right="0.7" top="0.75" bottom="0.75" header="0.3" footer="0.3"/>
  <pageSetup paperSize="9" orientation="portrait" r:id="rId1"/>
  <headerFooter>
    <oddFooter>&amp;L&amp;1#&amp;"Calibri"&amp;7&amp;K000000C2 General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B19"/>
  <sheetViews>
    <sheetView zoomScale="75" zoomScaleNormal="75" workbookViewId="0">
      <selection activeCell="B11" sqref="B11"/>
    </sheetView>
  </sheetViews>
  <sheetFormatPr defaultRowHeight="14.5"/>
  <cols>
    <col min="1" max="1" width="40.54296875" customWidth="1"/>
    <col min="2" max="2" width="85.453125" customWidth="1"/>
  </cols>
  <sheetData>
    <row r="1" spans="1:2" ht="18">
      <c r="A1" s="220" t="s">
        <v>104</v>
      </c>
      <c r="B1" s="221"/>
    </row>
    <row r="3" spans="1:2" ht="18">
      <c r="A3" s="222" t="s">
        <v>105</v>
      </c>
      <c r="B3" s="223"/>
    </row>
    <row r="4" spans="1:2">
      <c r="A4" s="146" t="s">
        <v>106</v>
      </c>
      <c r="B4" s="147" t="s">
        <v>20</v>
      </c>
    </row>
    <row r="5" spans="1:2">
      <c r="A5" s="197" t="s">
        <v>107</v>
      </c>
      <c r="B5" s="198" t="s">
        <v>108</v>
      </c>
    </row>
    <row r="7" spans="1:2" ht="18">
      <c r="A7" s="222" t="s">
        <v>109</v>
      </c>
      <c r="B7" s="223"/>
    </row>
    <row r="8" spans="1:2">
      <c r="A8" s="197" t="s">
        <v>110</v>
      </c>
      <c r="B8" s="14" t="s">
        <v>111</v>
      </c>
    </row>
    <row r="9" spans="1:2">
      <c r="A9" s="197" t="s">
        <v>112</v>
      </c>
      <c r="B9" s="58" t="s">
        <v>113</v>
      </c>
    </row>
    <row r="10" spans="1:2">
      <c r="A10" s="197" t="s">
        <v>114</v>
      </c>
      <c r="B10" s="59">
        <v>45818</v>
      </c>
    </row>
    <row r="11" spans="1:2">
      <c r="A11" s="197" t="s">
        <v>115</v>
      </c>
      <c r="B11" s="14" t="s">
        <v>116</v>
      </c>
    </row>
    <row r="12" spans="1:2">
      <c r="A12" s="197" t="s">
        <v>117</v>
      </c>
      <c r="B12" s="14" t="s">
        <v>118</v>
      </c>
    </row>
    <row r="14" spans="1:2" ht="18">
      <c r="A14" s="222" t="s">
        <v>119</v>
      </c>
      <c r="B14" s="223"/>
    </row>
    <row r="15" spans="1:2" ht="206.25" customHeight="1">
      <c r="A15" s="224" t="s">
        <v>120</v>
      </c>
      <c r="B15" s="224"/>
    </row>
    <row r="17" spans="1:1">
      <c r="A17" s="84" t="s">
        <v>121</v>
      </c>
    </row>
    <row r="18" spans="1:1">
      <c r="A18" t="s">
        <v>122</v>
      </c>
    </row>
    <row r="19" spans="1:1">
      <c r="A19" t="s">
        <v>123</v>
      </c>
    </row>
  </sheetData>
  <mergeCells count="5">
    <mergeCell ref="A1:B1"/>
    <mergeCell ref="A3:B3"/>
    <mergeCell ref="A7:B7"/>
    <mergeCell ref="A14:B14"/>
    <mergeCell ref="A15:B15"/>
  </mergeCells>
  <hyperlinks>
    <hyperlink ref="B9" r:id="rId1" xr:uid="{35188D36-8D4C-456B-BBC3-D5FF257184F7}"/>
  </hyperlinks>
  <pageMargins left="0.7" right="0.7" top="0.75" bottom="0.75" header="0.3" footer="0.3"/>
  <pageSetup orientation="portrait" r:id="rId2"/>
  <headerFooter>
    <oddFooter>&amp;L&amp;1#&amp;"Calibri"&amp;7&amp;K000000C2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ED96-7D5B-4A26-80CD-7D41287C8111}">
  <sheetPr>
    <tabColor rgb="FF7030A0"/>
  </sheetPr>
  <dimension ref="A1:AO77"/>
  <sheetViews>
    <sheetView workbookViewId="0">
      <selection activeCell="C57" sqref="C57:C77"/>
    </sheetView>
  </sheetViews>
  <sheetFormatPr defaultRowHeight="14.5"/>
  <cols>
    <col min="1" max="1" width="36.7265625" customWidth="1"/>
    <col min="3" max="3" width="37.7265625" bestFit="1" customWidth="1"/>
    <col min="5" max="5" width="56.1796875" customWidth="1"/>
    <col min="7" max="7" width="56.1796875" customWidth="1"/>
    <col min="9" max="9" width="44.7265625" customWidth="1"/>
    <col min="11" max="11" width="32.26953125" customWidth="1"/>
    <col min="13" max="13" width="28.81640625" customWidth="1"/>
    <col min="15" max="15" width="26" customWidth="1"/>
    <col min="17" max="17" width="54.453125" customWidth="1"/>
    <col min="19" max="19" width="56.1796875" customWidth="1"/>
    <col min="21" max="21" width="40.7265625" customWidth="1"/>
    <col min="23" max="23" width="21.7265625" customWidth="1"/>
    <col min="25" max="25" width="50.26953125" customWidth="1"/>
    <col min="27" max="27" width="52.7265625" customWidth="1"/>
    <col min="29" max="29" width="36.54296875" customWidth="1"/>
    <col min="31" max="31" width="15.26953125" customWidth="1"/>
    <col min="37" max="37" width="19.81640625" customWidth="1"/>
    <col min="39" max="39" width="21.1796875" bestFit="1" customWidth="1"/>
  </cols>
  <sheetData>
    <row r="1" spans="1:11">
      <c r="A1" t="s">
        <v>124</v>
      </c>
      <c r="C1" t="s">
        <v>125</v>
      </c>
      <c r="E1" t="s">
        <v>126</v>
      </c>
    </row>
    <row r="2" spans="1:11">
      <c r="A2" t="s">
        <v>127</v>
      </c>
      <c r="C2" t="s">
        <v>128</v>
      </c>
      <c r="E2" t="s">
        <v>128</v>
      </c>
    </row>
    <row r="3" spans="1:11">
      <c r="A3" t="s">
        <v>129</v>
      </c>
      <c r="C3" t="s">
        <v>130</v>
      </c>
      <c r="E3" t="s">
        <v>131</v>
      </c>
    </row>
    <row r="4" spans="1:11">
      <c r="C4" t="s">
        <v>132</v>
      </c>
      <c r="E4" t="s">
        <v>133</v>
      </c>
    </row>
    <row r="7" spans="1:11">
      <c r="A7" t="s">
        <v>134</v>
      </c>
      <c r="C7" t="s">
        <v>135</v>
      </c>
      <c r="E7" t="s">
        <v>136</v>
      </c>
      <c r="G7" t="s">
        <v>137</v>
      </c>
      <c r="I7" t="s">
        <v>138</v>
      </c>
      <c r="K7" t="s">
        <v>139</v>
      </c>
    </row>
    <row r="8" spans="1:11">
      <c r="A8" t="s">
        <v>140</v>
      </c>
      <c r="C8" t="s">
        <v>129</v>
      </c>
      <c r="E8" t="s">
        <v>129</v>
      </c>
      <c r="G8" t="s">
        <v>129</v>
      </c>
      <c r="I8" t="s">
        <v>129</v>
      </c>
      <c r="K8" t="s">
        <v>129</v>
      </c>
    </row>
    <row r="9" spans="1:11">
      <c r="A9" t="s">
        <v>141</v>
      </c>
      <c r="C9" t="s">
        <v>127</v>
      </c>
      <c r="I9" t="s">
        <v>127</v>
      </c>
      <c r="K9" t="s">
        <v>127</v>
      </c>
    </row>
    <row r="10" spans="1:11">
      <c r="A10" t="s">
        <v>142</v>
      </c>
    </row>
    <row r="11" spans="1:11">
      <c r="A11" t="s">
        <v>143</v>
      </c>
    </row>
    <row r="14" spans="1:11">
      <c r="A14" t="s">
        <v>144</v>
      </c>
      <c r="C14" t="s">
        <v>145</v>
      </c>
      <c r="E14" t="s">
        <v>146</v>
      </c>
    </row>
    <row r="15" spans="1:11">
      <c r="A15" t="s">
        <v>147</v>
      </c>
      <c r="C15" t="s">
        <v>129</v>
      </c>
      <c r="E15" t="s">
        <v>129</v>
      </c>
    </row>
    <row r="16" spans="1:11">
      <c r="A16" t="s">
        <v>148</v>
      </c>
      <c r="C16" t="s">
        <v>149</v>
      </c>
    </row>
    <row r="17" spans="1:15">
      <c r="C17" t="s">
        <v>150</v>
      </c>
    </row>
    <row r="18" spans="1:15">
      <c r="C18" t="s">
        <v>151</v>
      </c>
    </row>
    <row r="19" spans="1:15">
      <c r="C19" t="s">
        <v>152</v>
      </c>
    </row>
    <row r="22" spans="1:15">
      <c r="A22" t="s">
        <v>153</v>
      </c>
      <c r="C22" t="s">
        <v>154</v>
      </c>
      <c r="E22" t="s">
        <v>155</v>
      </c>
      <c r="G22" t="s">
        <v>156</v>
      </c>
      <c r="I22" t="s">
        <v>157</v>
      </c>
      <c r="K22" t="s">
        <v>158</v>
      </c>
      <c r="M22" t="s">
        <v>159</v>
      </c>
      <c r="O22" t="s">
        <v>160</v>
      </c>
    </row>
    <row r="23" spans="1:15">
      <c r="A23" t="s">
        <v>129</v>
      </c>
      <c r="C23" s="108" t="s">
        <v>129</v>
      </c>
      <c r="E23" t="s">
        <v>161</v>
      </c>
      <c r="G23" t="s">
        <v>162</v>
      </c>
      <c r="I23" t="s">
        <v>129</v>
      </c>
      <c r="K23" s="108" t="s">
        <v>129</v>
      </c>
      <c r="M23" t="s">
        <v>129</v>
      </c>
      <c r="O23" s="108" t="s">
        <v>129</v>
      </c>
    </row>
    <row r="24" spans="1:15">
      <c r="A24" t="s">
        <v>149</v>
      </c>
      <c r="I24" t="s">
        <v>149</v>
      </c>
      <c r="M24" t="s">
        <v>149</v>
      </c>
    </row>
    <row r="25" spans="1:15">
      <c r="A25" t="s">
        <v>150</v>
      </c>
      <c r="I25" t="s">
        <v>150</v>
      </c>
      <c r="M25" t="s">
        <v>150</v>
      </c>
    </row>
    <row r="26" spans="1:15">
      <c r="A26" t="s">
        <v>151</v>
      </c>
      <c r="I26" t="s">
        <v>151</v>
      </c>
      <c r="M26" t="s">
        <v>151</v>
      </c>
    </row>
    <row r="27" spans="1:15">
      <c r="A27" t="s">
        <v>152</v>
      </c>
      <c r="I27" t="s">
        <v>152</v>
      </c>
      <c r="M27" t="s">
        <v>152</v>
      </c>
    </row>
    <row r="29" spans="1:15">
      <c r="C29" t="s">
        <v>163</v>
      </c>
    </row>
    <row r="30" spans="1:15">
      <c r="C30" t="s">
        <v>164</v>
      </c>
    </row>
    <row r="31" spans="1:15">
      <c r="C31" t="s">
        <v>165</v>
      </c>
    </row>
    <row r="32" spans="1:15">
      <c r="C32" t="s">
        <v>166</v>
      </c>
    </row>
    <row r="33" spans="3:41">
      <c r="C33" t="s">
        <v>167</v>
      </c>
    </row>
    <row r="34" spans="3:41">
      <c r="C34" t="s">
        <v>168</v>
      </c>
    </row>
    <row r="35" spans="3:41">
      <c r="C35" t="s">
        <v>169</v>
      </c>
    </row>
    <row r="36" spans="3:41">
      <c r="C36" t="s">
        <v>170</v>
      </c>
      <c r="K36" t="s">
        <v>171</v>
      </c>
    </row>
    <row r="37" spans="3:41">
      <c r="C37" t="s">
        <v>172</v>
      </c>
    </row>
    <row r="38" spans="3:41">
      <c r="C38" t="s">
        <v>173</v>
      </c>
    </row>
    <row r="39" spans="3:41">
      <c r="C39" t="s">
        <v>174</v>
      </c>
      <c r="K39" t="s">
        <v>175</v>
      </c>
    </row>
    <row r="40" spans="3:41">
      <c r="C40" t="s">
        <v>176</v>
      </c>
      <c r="W40" t="s">
        <v>177</v>
      </c>
    </row>
    <row r="41" spans="3:41">
      <c r="C41" t="s">
        <v>178</v>
      </c>
      <c r="AC41" t="s">
        <v>179</v>
      </c>
    </row>
    <row r="42" spans="3:41">
      <c r="C42" t="s">
        <v>180</v>
      </c>
    </row>
    <row r="43" spans="3:41">
      <c r="C43" t="s">
        <v>181</v>
      </c>
    </row>
    <row r="46" spans="3:41">
      <c r="C46" t="s">
        <v>182</v>
      </c>
      <c r="E46" t="s">
        <v>183</v>
      </c>
      <c r="G46" t="s">
        <v>184</v>
      </c>
      <c r="I46" t="s">
        <v>185</v>
      </c>
      <c r="K46" s="84" t="s">
        <v>186</v>
      </c>
      <c r="M46" s="84" t="s">
        <v>187</v>
      </c>
      <c r="O46" s="84" t="s">
        <v>175</v>
      </c>
      <c r="Q46" s="84" t="s">
        <v>171</v>
      </c>
      <c r="S46" s="84" t="s">
        <v>188</v>
      </c>
      <c r="U46" s="109" t="s">
        <v>189</v>
      </c>
      <c r="W46" s="109" t="s">
        <v>190</v>
      </c>
      <c r="Y46" s="109" t="s">
        <v>191</v>
      </c>
      <c r="AA46" s="109" t="s">
        <v>192</v>
      </c>
      <c r="AC46" t="s">
        <v>193</v>
      </c>
      <c r="AE46" s="104" t="s">
        <v>177</v>
      </c>
      <c r="AG46" t="s">
        <v>194</v>
      </c>
      <c r="AI46" t="s">
        <v>195</v>
      </c>
      <c r="AK46" t="s">
        <v>196</v>
      </c>
      <c r="AM46" t="s">
        <v>197</v>
      </c>
      <c r="AO46" t="s">
        <v>198</v>
      </c>
    </row>
    <row r="47" spans="3:41">
      <c r="C47" t="s">
        <v>199</v>
      </c>
      <c r="E47" t="s">
        <v>199</v>
      </c>
      <c r="G47" t="s">
        <v>200</v>
      </c>
      <c r="I47" t="s">
        <v>200</v>
      </c>
      <c r="K47" t="s">
        <v>201</v>
      </c>
      <c r="M47" t="s">
        <v>202</v>
      </c>
      <c r="O47" t="s">
        <v>203</v>
      </c>
      <c r="Q47" t="s">
        <v>204</v>
      </c>
      <c r="S47" t="s">
        <v>199</v>
      </c>
      <c r="U47" t="s">
        <v>199</v>
      </c>
      <c r="W47" t="s">
        <v>199</v>
      </c>
      <c r="Y47" t="s">
        <v>200</v>
      </c>
      <c r="AA47" t="s">
        <v>200</v>
      </c>
      <c r="AC47" t="s">
        <v>202</v>
      </c>
      <c r="AE47" s="108" t="s">
        <v>199</v>
      </c>
      <c r="AG47" s="108" t="s">
        <v>199</v>
      </c>
      <c r="AI47" s="108" t="s">
        <v>199</v>
      </c>
      <c r="AK47" s="110" t="s">
        <v>200</v>
      </c>
      <c r="AM47" s="110" t="s">
        <v>200</v>
      </c>
      <c r="AO47" s="108" t="s">
        <v>202</v>
      </c>
    </row>
    <row r="48" spans="3:41">
      <c r="C48" t="s">
        <v>205</v>
      </c>
      <c r="E48" t="s">
        <v>205</v>
      </c>
      <c r="G48" t="s">
        <v>206</v>
      </c>
      <c r="I48" t="s">
        <v>206</v>
      </c>
      <c r="K48" t="s">
        <v>206</v>
      </c>
      <c r="M48" t="s">
        <v>207</v>
      </c>
      <c r="O48" t="s">
        <v>206</v>
      </c>
      <c r="Q48" t="s">
        <v>208</v>
      </c>
      <c r="S48" t="s">
        <v>205</v>
      </c>
      <c r="U48" t="s">
        <v>205</v>
      </c>
      <c r="W48" t="s">
        <v>205</v>
      </c>
      <c r="Y48" t="s">
        <v>206</v>
      </c>
      <c r="AA48" t="s">
        <v>206</v>
      </c>
      <c r="AC48" t="s">
        <v>207</v>
      </c>
      <c r="AE48" t="s">
        <v>205</v>
      </c>
      <c r="AG48" s="110" t="s">
        <v>205</v>
      </c>
      <c r="AI48" s="110" t="s">
        <v>205</v>
      </c>
      <c r="AK48" s="108" t="s">
        <v>206</v>
      </c>
      <c r="AM48" s="108" t="s">
        <v>206</v>
      </c>
      <c r="AO48" s="110" t="s">
        <v>207</v>
      </c>
    </row>
    <row r="49" spans="3:41">
      <c r="C49" t="s">
        <v>206</v>
      </c>
      <c r="E49" t="s">
        <v>206</v>
      </c>
      <c r="G49" t="s">
        <v>209</v>
      </c>
      <c r="I49" t="s">
        <v>209</v>
      </c>
      <c r="K49" t="s">
        <v>209</v>
      </c>
      <c r="M49" t="s">
        <v>206</v>
      </c>
      <c r="O49" t="s">
        <v>209</v>
      </c>
      <c r="Q49" t="s">
        <v>206</v>
      </c>
      <c r="S49" t="s">
        <v>206</v>
      </c>
      <c r="U49" t="s">
        <v>206</v>
      </c>
      <c r="W49" t="s">
        <v>206</v>
      </c>
      <c r="Y49" t="s">
        <v>209</v>
      </c>
      <c r="AA49" t="s">
        <v>209</v>
      </c>
      <c r="AC49" t="s">
        <v>206</v>
      </c>
      <c r="AE49" s="108" t="s">
        <v>206</v>
      </c>
      <c r="AG49" s="108" t="s">
        <v>206</v>
      </c>
      <c r="AI49" s="108" t="s">
        <v>206</v>
      </c>
      <c r="AK49" t="s">
        <v>209</v>
      </c>
      <c r="AM49" t="s">
        <v>209</v>
      </c>
      <c r="AO49" s="108" t="s">
        <v>206</v>
      </c>
    </row>
    <row r="50" spans="3:41">
      <c r="C50" t="s">
        <v>209</v>
      </c>
      <c r="E50" t="s">
        <v>209</v>
      </c>
      <c r="G50" t="s">
        <v>210</v>
      </c>
      <c r="I50" t="s">
        <v>210</v>
      </c>
      <c r="K50" t="s">
        <v>210</v>
      </c>
      <c r="M50" t="s">
        <v>209</v>
      </c>
      <c r="O50" t="s">
        <v>210</v>
      </c>
      <c r="Q50" t="s">
        <v>209</v>
      </c>
      <c r="S50" t="s">
        <v>209</v>
      </c>
      <c r="U50" t="s">
        <v>209</v>
      </c>
      <c r="W50" t="s">
        <v>209</v>
      </c>
      <c r="Y50" t="s">
        <v>210</v>
      </c>
      <c r="AA50" t="s">
        <v>210</v>
      </c>
      <c r="AC50" t="s">
        <v>209</v>
      </c>
      <c r="AE50" t="s">
        <v>209</v>
      </c>
      <c r="AG50" t="s">
        <v>209</v>
      </c>
      <c r="AI50" t="s">
        <v>209</v>
      </c>
      <c r="AK50" s="111" t="s">
        <v>210</v>
      </c>
      <c r="AM50" s="111" t="s">
        <v>210</v>
      </c>
      <c r="AO50" t="s">
        <v>209</v>
      </c>
    </row>
    <row r="51" spans="3:41">
      <c r="C51" t="s">
        <v>210</v>
      </c>
      <c r="E51" t="s">
        <v>210</v>
      </c>
      <c r="M51" t="s">
        <v>210</v>
      </c>
      <c r="Q51" t="s">
        <v>210</v>
      </c>
      <c r="S51" t="s">
        <v>210</v>
      </c>
      <c r="U51" t="s">
        <v>210</v>
      </c>
      <c r="W51" t="s">
        <v>210</v>
      </c>
      <c r="AC51" t="s">
        <v>210</v>
      </c>
      <c r="AE51" s="111" t="s">
        <v>210</v>
      </c>
      <c r="AG51" s="111" t="s">
        <v>210</v>
      </c>
      <c r="AI51" s="111" t="s">
        <v>210</v>
      </c>
      <c r="AO51" s="111" t="s">
        <v>210</v>
      </c>
    </row>
    <row r="57" spans="3:41">
      <c r="C57" t="s">
        <v>163</v>
      </c>
    </row>
    <row r="58" spans="3:41">
      <c r="C58" t="s">
        <v>164</v>
      </c>
    </row>
    <row r="59" spans="3:41">
      <c r="C59" t="s">
        <v>165</v>
      </c>
    </row>
    <row r="60" spans="3:41">
      <c r="C60" t="s">
        <v>166</v>
      </c>
    </row>
    <row r="61" spans="3:41">
      <c r="C61" t="s">
        <v>167</v>
      </c>
    </row>
    <row r="62" spans="3:41">
      <c r="C62" t="s">
        <v>168</v>
      </c>
    </row>
    <row r="63" spans="3:41">
      <c r="C63" t="s">
        <v>169</v>
      </c>
    </row>
    <row r="64" spans="3:41">
      <c r="C64" t="s">
        <v>170</v>
      </c>
    </row>
    <row r="65" spans="3:3">
      <c r="C65" t="s">
        <v>172</v>
      </c>
    </row>
    <row r="66" spans="3:3">
      <c r="C66" t="s">
        <v>173</v>
      </c>
    </row>
    <row r="67" spans="3:3">
      <c r="C67" t="s">
        <v>174</v>
      </c>
    </row>
    <row r="68" spans="3:3">
      <c r="C68" t="s">
        <v>176</v>
      </c>
    </row>
    <row r="69" spans="3:3">
      <c r="C69" t="s">
        <v>178</v>
      </c>
    </row>
    <row r="70" spans="3:3">
      <c r="C70" t="s">
        <v>180</v>
      </c>
    </row>
    <row r="71" spans="3:3">
      <c r="C71" t="s">
        <v>181</v>
      </c>
    </row>
    <row r="72" spans="3:3">
      <c r="C72" s="112" t="s">
        <v>211</v>
      </c>
    </row>
    <row r="73" spans="3:3">
      <c r="C73" s="112" t="s">
        <v>212</v>
      </c>
    </row>
    <row r="74" spans="3:3">
      <c r="C74" s="112" t="s">
        <v>213</v>
      </c>
    </row>
    <row r="75" spans="3:3">
      <c r="C75" s="112" t="s">
        <v>214</v>
      </c>
    </row>
    <row r="76" spans="3:3">
      <c r="C76" s="112" t="s">
        <v>215</v>
      </c>
    </row>
    <row r="77" spans="3:3">
      <c r="C77" s="112" t="s">
        <v>216</v>
      </c>
    </row>
  </sheetData>
  <pageMargins left="0.7" right="0.7" top="0.75" bottom="0.75" header="0.3" footer="0.3"/>
  <pageSetup paperSize="9" orientation="portrait" r:id="rId1"/>
  <headerFooter>
    <oddFooter>&amp;L&amp;1#&amp;"Calibri"&amp;7&amp;K000000C2 General</oddFooter>
  </headerFooter>
  <tableParts count="3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8DFA-AD77-4660-A68D-D36A8D4C0A1C}">
  <sheetPr>
    <tabColor rgb="FF0070C0"/>
  </sheetPr>
  <dimension ref="A1:J27"/>
  <sheetViews>
    <sheetView workbookViewId="0">
      <selection activeCell="D31" sqref="D31"/>
    </sheetView>
  </sheetViews>
  <sheetFormatPr defaultColWidth="9.1796875" defaultRowHeight="14.5"/>
  <cols>
    <col min="1" max="1" width="38.453125" bestFit="1" customWidth="1"/>
    <col min="2" max="2" width="11.26953125" bestFit="1" customWidth="1"/>
    <col min="6" max="6" width="17.26953125" bestFit="1" customWidth="1"/>
    <col min="7" max="7" width="18" bestFit="1" customWidth="1"/>
    <col min="9" max="9" width="13" bestFit="1" customWidth="1"/>
    <col min="10" max="10" width="2.453125" customWidth="1"/>
  </cols>
  <sheetData>
    <row r="1" spans="1:10" ht="15" thickBot="1">
      <c r="A1" s="131" t="s">
        <v>217</v>
      </c>
      <c r="B1" s="131" t="s">
        <v>163</v>
      </c>
      <c r="C1" s="131" t="s">
        <v>218</v>
      </c>
      <c r="D1" s="131" t="s">
        <v>219</v>
      </c>
      <c r="E1" s="131" t="s">
        <v>220</v>
      </c>
      <c r="F1" s="131" t="s">
        <v>221</v>
      </c>
      <c r="G1" s="131" t="s">
        <v>222</v>
      </c>
      <c r="H1" s="131" t="s">
        <v>223</v>
      </c>
      <c r="I1" s="131" t="s">
        <v>224</v>
      </c>
      <c r="J1" s="131" t="s">
        <v>225</v>
      </c>
    </row>
    <row r="2" spans="1:10" ht="15" thickBot="1">
      <c r="A2" s="133" t="s">
        <v>226</v>
      </c>
      <c r="B2" s="132">
        <v>50000</v>
      </c>
      <c r="C2" s="132">
        <v>56</v>
      </c>
      <c r="D2" s="132">
        <v>576</v>
      </c>
      <c r="E2" s="132">
        <v>2</v>
      </c>
      <c r="F2" s="132">
        <f>C2 - H2</f>
        <v>12</v>
      </c>
      <c r="G2" s="132">
        <f>D2 - I2</f>
        <v>116</v>
      </c>
      <c r="H2" s="132">
        <v>44</v>
      </c>
      <c r="I2" s="132">
        <v>460</v>
      </c>
      <c r="J2" s="132">
        <v>12</v>
      </c>
    </row>
    <row r="3" spans="1:10" ht="15" thickBot="1">
      <c r="A3" s="133" t="s">
        <v>227</v>
      </c>
      <c r="B3" s="132">
        <v>30000</v>
      </c>
      <c r="C3" s="132">
        <v>56</v>
      </c>
      <c r="D3" s="132">
        <v>576</v>
      </c>
      <c r="E3" s="132">
        <v>2</v>
      </c>
      <c r="F3" s="132">
        <f t="shared" ref="F3:G24" si="0">C3 - H3</f>
        <v>12</v>
      </c>
      <c r="G3" s="132">
        <f t="shared" si="0"/>
        <v>116</v>
      </c>
      <c r="H3" s="132">
        <v>44</v>
      </c>
      <c r="I3" s="132">
        <v>460</v>
      </c>
      <c r="J3" s="132">
        <v>12</v>
      </c>
    </row>
    <row r="4" spans="1:10" ht="15" thickBot="1">
      <c r="A4" s="133" t="s">
        <v>228</v>
      </c>
      <c r="B4" s="132">
        <v>30000</v>
      </c>
      <c r="C4" s="132">
        <v>56</v>
      </c>
      <c r="D4" s="132">
        <v>576</v>
      </c>
      <c r="E4" s="132">
        <v>2</v>
      </c>
      <c r="F4" s="132">
        <f t="shared" si="0"/>
        <v>8</v>
      </c>
      <c r="G4" s="132">
        <f t="shared" si="0"/>
        <v>116</v>
      </c>
      <c r="H4" s="132">
        <v>48</v>
      </c>
      <c r="I4" s="132">
        <v>460</v>
      </c>
      <c r="J4" s="132">
        <v>12</v>
      </c>
    </row>
    <row r="5" spans="1:10" ht="15" thickBot="1">
      <c r="A5" s="133" t="s">
        <v>229</v>
      </c>
      <c r="B5" s="132">
        <v>20000</v>
      </c>
      <c r="C5" s="132">
        <v>56</v>
      </c>
      <c r="D5" s="132">
        <v>576</v>
      </c>
      <c r="E5" s="132">
        <v>2</v>
      </c>
      <c r="F5" s="132">
        <f t="shared" si="0"/>
        <v>8</v>
      </c>
      <c r="G5" s="132">
        <f t="shared" si="0"/>
        <v>116</v>
      </c>
      <c r="H5" s="132">
        <v>48</v>
      </c>
      <c r="I5" s="132">
        <v>460</v>
      </c>
      <c r="J5" s="132">
        <v>12</v>
      </c>
    </row>
    <row r="6" spans="1:10" ht="15" thickBot="1">
      <c r="A6" s="133" t="s">
        <v>230</v>
      </c>
      <c r="B6" s="132">
        <v>25000</v>
      </c>
      <c r="C6" s="132">
        <v>56</v>
      </c>
      <c r="D6" s="132">
        <v>576</v>
      </c>
      <c r="E6" s="132">
        <v>2</v>
      </c>
      <c r="F6" s="132">
        <v>12</v>
      </c>
      <c r="G6" s="132">
        <f t="shared" si="0"/>
        <v>116</v>
      </c>
      <c r="H6" s="132">
        <v>48</v>
      </c>
      <c r="I6" s="132">
        <v>460</v>
      </c>
      <c r="J6" s="132">
        <v>12</v>
      </c>
    </row>
    <row r="7" spans="1:10" ht="15" thickBot="1">
      <c r="A7" s="133" t="s">
        <v>231</v>
      </c>
      <c r="B7" s="132">
        <v>15000</v>
      </c>
      <c r="C7" s="132">
        <v>56</v>
      </c>
      <c r="D7" s="132">
        <v>576</v>
      </c>
      <c r="E7" s="132">
        <v>2</v>
      </c>
      <c r="F7" s="132">
        <v>12</v>
      </c>
      <c r="G7" s="132">
        <f t="shared" si="0"/>
        <v>116</v>
      </c>
      <c r="H7" s="132">
        <v>48</v>
      </c>
      <c r="I7" s="132">
        <v>460</v>
      </c>
      <c r="J7" s="132">
        <v>12</v>
      </c>
    </row>
    <row r="8" spans="1:10" ht="15" thickBot="1">
      <c r="A8" s="133" t="s">
        <v>232</v>
      </c>
      <c r="B8" s="132">
        <v>15000</v>
      </c>
      <c r="C8" s="132">
        <v>56</v>
      </c>
      <c r="D8" s="132">
        <v>576</v>
      </c>
      <c r="E8" s="132">
        <v>2</v>
      </c>
      <c r="F8" s="132">
        <f t="shared" si="0"/>
        <v>8</v>
      </c>
      <c r="G8" s="132">
        <f t="shared" si="0"/>
        <v>116</v>
      </c>
      <c r="H8" s="132">
        <v>48</v>
      </c>
      <c r="I8" s="132">
        <v>460</v>
      </c>
      <c r="J8" s="132">
        <v>12</v>
      </c>
    </row>
    <row r="9" spans="1:10" ht="15" thickBot="1">
      <c r="A9" s="133" t="s">
        <v>233</v>
      </c>
      <c r="B9" s="132">
        <v>10000</v>
      </c>
      <c r="C9" s="132">
        <v>56</v>
      </c>
      <c r="D9" s="132">
        <v>576</v>
      </c>
      <c r="E9" s="132">
        <v>2</v>
      </c>
      <c r="F9" s="132">
        <f t="shared" si="0"/>
        <v>8</v>
      </c>
      <c r="G9" s="132">
        <f t="shared" si="0"/>
        <v>116</v>
      </c>
      <c r="H9" s="132">
        <v>48</v>
      </c>
      <c r="I9" s="132">
        <v>460</v>
      </c>
      <c r="J9" s="132">
        <v>0</v>
      </c>
    </row>
    <row r="10" spans="1:10" ht="15" thickBot="1">
      <c r="A10" s="133" t="s">
        <v>234</v>
      </c>
      <c r="B10" s="132">
        <v>20000</v>
      </c>
      <c r="C10" s="132">
        <v>56</v>
      </c>
      <c r="D10" s="132">
        <v>576</v>
      </c>
      <c r="E10" s="132">
        <v>2</v>
      </c>
      <c r="F10" s="132">
        <f t="shared" si="0"/>
        <v>12</v>
      </c>
      <c r="G10" s="132">
        <f t="shared" si="0"/>
        <v>116</v>
      </c>
      <c r="H10" s="132">
        <v>44</v>
      </c>
      <c r="I10" s="132">
        <v>460</v>
      </c>
      <c r="J10" s="132">
        <v>0</v>
      </c>
    </row>
    <row r="11" spans="1:10" ht="15" thickBot="1">
      <c r="A11" s="133" t="s">
        <v>235</v>
      </c>
      <c r="B11" s="132">
        <v>10000</v>
      </c>
      <c r="C11" s="132">
        <v>56</v>
      </c>
      <c r="D11" s="132">
        <v>576</v>
      </c>
      <c r="E11" s="132">
        <v>2</v>
      </c>
      <c r="F11" s="132">
        <f t="shared" si="0"/>
        <v>12</v>
      </c>
      <c r="G11" s="132">
        <f t="shared" si="0"/>
        <v>116</v>
      </c>
      <c r="H11" s="132">
        <v>44</v>
      </c>
      <c r="I11" s="132">
        <v>460</v>
      </c>
      <c r="J11" s="132">
        <v>0</v>
      </c>
    </row>
    <row r="12" spans="1:10" ht="15" thickBot="1">
      <c r="A12" s="133" t="s">
        <v>236</v>
      </c>
      <c r="B12" s="132">
        <v>16000</v>
      </c>
      <c r="C12" s="132">
        <v>56</v>
      </c>
      <c r="D12" s="132">
        <v>576</v>
      </c>
      <c r="E12" s="132">
        <v>2</v>
      </c>
      <c r="F12" s="132">
        <f t="shared" si="0"/>
        <v>12</v>
      </c>
      <c r="G12" s="132">
        <f t="shared" si="0"/>
        <v>116</v>
      </c>
      <c r="H12" s="132">
        <v>44</v>
      </c>
      <c r="I12" s="132">
        <v>460</v>
      </c>
      <c r="J12" s="132">
        <v>0</v>
      </c>
    </row>
    <row r="13" spans="1:10" ht="15" thickBot="1">
      <c r="A13" s="133" t="s">
        <v>237</v>
      </c>
      <c r="B13" s="132">
        <v>8000</v>
      </c>
      <c r="C13" s="132">
        <v>56</v>
      </c>
      <c r="D13" s="132">
        <v>576</v>
      </c>
      <c r="E13" s="132">
        <v>2</v>
      </c>
      <c r="F13" s="132">
        <f t="shared" si="0"/>
        <v>12</v>
      </c>
      <c r="G13" s="132">
        <f t="shared" si="0"/>
        <v>116</v>
      </c>
      <c r="H13" s="132">
        <v>44</v>
      </c>
      <c r="I13" s="132">
        <v>460</v>
      </c>
      <c r="J13" s="132">
        <v>0</v>
      </c>
    </row>
    <row r="14" spans="1:10" ht="15" thickBot="1">
      <c r="A14" s="133" t="s">
        <v>238</v>
      </c>
      <c r="B14" s="132">
        <v>12000</v>
      </c>
      <c r="C14" s="132">
        <v>40</v>
      </c>
      <c r="D14" s="132">
        <v>576</v>
      </c>
      <c r="E14" s="132">
        <v>2</v>
      </c>
      <c r="F14" s="132">
        <f t="shared" si="0"/>
        <v>8</v>
      </c>
      <c r="G14" s="132">
        <f t="shared" si="0"/>
        <v>116</v>
      </c>
      <c r="H14" s="132">
        <v>32</v>
      </c>
      <c r="I14" s="132">
        <v>460</v>
      </c>
      <c r="J14" s="132">
        <v>0</v>
      </c>
    </row>
    <row r="15" spans="1:10" ht="15" thickBot="1">
      <c r="A15" s="133" t="s">
        <v>239</v>
      </c>
      <c r="B15" s="132">
        <v>6000</v>
      </c>
      <c r="C15" s="132">
        <v>40</v>
      </c>
      <c r="D15" s="132">
        <v>576</v>
      </c>
      <c r="E15" s="132">
        <v>2</v>
      </c>
      <c r="F15" s="132">
        <f t="shared" si="0"/>
        <v>8</v>
      </c>
      <c r="G15" s="132">
        <f t="shared" si="0"/>
        <v>116</v>
      </c>
      <c r="H15" s="132">
        <v>32</v>
      </c>
      <c r="I15" s="132">
        <v>460</v>
      </c>
      <c r="J15" s="132">
        <v>0</v>
      </c>
    </row>
    <row r="16" spans="1:10" ht="15" thickBot="1">
      <c r="A16" s="133" t="s">
        <v>240</v>
      </c>
      <c r="B16" s="132">
        <v>100000</v>
      </c>
      <c r="C16" s="132">
        <v>64</v>
      </c>
      <c r="D16" s="132">
        <v>512</v>
      </c>
      <c r="E16" s="132">
        <v>2</v>
      </c>
      <c r="F16" s="132">
        <f t="shared" si="0"/>
        <v>12</v>
      </c>
      <c r="G16" s="132">
        <f t="shared" si="0"/>
        <v>102</v>
      </c>
      <c r="H16" s="132">
        <v>52</v>
      </c>
      <c r="I16" s="132">
        <v>410</v>
      </c>
      <c r="J16" s="132">
        <v>12</v>
      </c>
    </row>
    <row r="17" spans="1:10" ht="15" thickBot="1">
      <c r="A17" s="133" t="s">
        <v>241</v>
      </c>
      <c r="B17" s="132">
        <v>50000</v>
      </c>
      <c r="C17" s="132">
        <v>64</v>
      </c>
      <c r="D17" s="132">
        <v>512</v>
      </c>
      <c r="E17" s="132">
        <v>2</v>
      </c>
      <c r="F17" s="132">
        <f t="shared" si="0"/>
        <v>8</v>
      </c>
      <c r="G17" s="132">
        <f t="shared" si="0"/>
        <v>102</v>
      </c>
      <c r="H17" s="132">
        <v>56</v>
      </c>
      <c r="I17" s="132">
        <v>410</v>
      </c>
      <c r="J17" s="132">
        <v>0</v>
      </c>
    </row>
    <row r="18" spans="1:10" ht="15" thickBot="1">
      <c r="A18" s="133" t="s">
        <v>242</v>
      </c>
      <c r="B18" s="132">
        <v>25000</v>
      </c>
      <c r="C18" s="132">
        <v>64</v>
      </c>
      <c r="D18" s="132">
        <v>512</v>
      </c>
      <c r="E18" s="132">
        <v>2</v>
      </c>
      <c r="F18" s="132">
        <f t="shared" si="0"/>
        <v>8</v>
      </c>
      <c r="G18" s="132">
        <f t="shared" si="0"/>
        <v>102</v>
      </c>
      <c r="H18" s="132">
        <v>56</v>
      </c>
      <c r="I18" s="132">
        <v>410</v>
      </c>
      <c r="J18" s="132">
        <v>0</v>
      </c>
    </row>
    <row r="19" spans="1:10" ht="15" thickBot="1">
      <c r="A19" s="133" t="s">
        <v>243</v>
      </c>
      <c r="B19" s="132">
        <v>100000</v>
      </c>
      <c r="C19" s="132">
        <v>64</v>
      </c>
      <c r="D19" s="132">
        <v>768</v>
      </c>
      <c r="E19" s="132">
        <v>2</v>
      </c>
      <c r="F19" s="132">
        <f t="shared" si="0"/>
        <v>12</v>
      </c>
      <c r="G19" s="132">
        <f t="shared" si="0"/>
        <v>148</v>
      </c>
      <c r="H19" s="132">
        <v>52</v>
      </c>
      <c r="I19" s="132">
        <v>620</v>
      </c>
      <c r="J19" s="132">
        <v>12</v>
      </c>
    </row>
    <row r="20" spans="1:10" ht="15" thickBot="1">
      <c r="A20" s="133" t="s">
        <v>244</v>
      </c>
      <c r="B20" s="132">
        <v>100000</v>
      </c>
      <c r="C20" s="132">
        <v>64</v>
      </c>
      <c r="D20" s="132">
        <v>384</v>
      </c>
      <c r="E20" s="132">
        <v>2</v>
      </c>
      <c r="F20" s="132">
        <f t="shared" si="0"/>
        <v>12</v>
      </c>
      <c r="G20" s="132">
        <f t="shared" si="0"/>
        <v>74</v>
      </c>
      <c r="H20" s="132">
        <v>52</v>
      </c>
      <c r="I20" s="132">
        <v>310</v>
      </c>
      <c r="J20" s="132">
        <v>12</v>
      </c>
    </row>
    <row r="21" spans="1:10" ht="15" thickBot="1">
      <c r="A21" s="133" t="s">
        <v>245</v>
      </c>
      <c r="B21" s="132">
        <v>50000</v>
      </c>
      <c r="C21" s="132">
        <v>64</v>
      </c>
      <c r="D21" s="132">
        <v>768</v>
      </c>
      <c r="E21" s="132">
        <v>2</v>
      </c>
      <c r="F21" s="132">
        <f t="shared" si="0"/>
        <v>8</v>
      </c>
      <c r="G21" s="132">
        <f t="shared" si="0"/>
        <v>148</v>
      </c>
      <c r="H21" s="132">
        <v>56</v>
      </c>
      <c r="I21" s="132">
        <v>620</v>
      </c>
      <c r="J21" s="132">
        <v>0</v>
      </c>
    </row>
    <row r="22" spans="1:10" ht="15" thickBot="1">
      <c r="A22" s="133" t="s">
        <v>246</v>
      </c>
      <c r="B22" s="132">
        <v>25000</v>
      </c>
      <c r="C22" s="132">
        <v>64</v>
      </c>
      <c r="D22" s="132">
        <v>384</v>
      </c>
      <c r="E22" s="132">
        <v>2</v>
      </c>
      <c r="F22" s="132">
        <f t="shared" si="0"/>
        <v>8</v>
      </c>
      <c r="G22" s="132">
        <f t="shared" si="0"/>
        <v>74</v>
      </c>
      <c r="H22" s="132">
        <v>56</v>
      </c>
      <c r="I22" s="132">
        <v>310</v>
      </c>
      <c r="J22" s="132">
        <v>0</v>
      </c>
    </row>
    <row r="23" spans="1:10" ht="15" thickBot="1">
      <c r="A23" s="133" t="s">
        <v>247</v>
      </c>
      <c r="B23" s="132">
        <v>50000</v>
      </c>
      <c r="C23" s="132">
        <v>64</v>
      </c>
      <c r="D23" s="132">
        <v>768</v>
      </c>
      <c r="E23" s="132">
        <v>2</v>
      </c>
      <c r="F23" s="132">
        <f t="shared" si="0"/>
        <v>8</v>
      </c>
      <c r="G23" s="132">
        <f t="shared" si="0"/>
        <v>148</v>
      </c>
      <c r="H23" s="132">
        <v>56</v>
      </c>
      <c r="I23" s="132">
        <v>620</v>
      </c>
      <c r="J23" s="132">
        <v>0</v>
      </c>
    </row>
    <row r="24" spans="1:10" ht="15" thickBot="1">
      <c r="A24" s="133" t="s">
        <v>248</v>
      </c>
      <c r="B24" s="132">
        <v>25000</v>
      </c>
      <c r="C24" s="132">
        <v>64</v>
      </c>
      <c r="D24" s="132">
        <v>384</v>
      </c>
      <c r="E24" s="132">
        <v>2</v>
      </c>
      <c r="F24" s="132">
        <f t="shared" si="0"/>
        <v>8</v>
      </c>
      <c r="G24" s="132">
        <f t="shared" si="0"/>
        <v>74</v>
      </c>
      <c r="H24" s="132">
        <v>56</v>
      </c>
      <c r="I24" s="132">
        <v>310</v>
      </c>
      <c r="J24" s="132">
        <v>0</v>
      </c>
    </row>
    <row r="25" spans="1:10" ht="15" thickBot="1">
      <c r="A25" s="134" t="s">
        <v>249</v>
      </c>
      <c r="B25" s="132">
        <v>50000</v>
      </c>
      <c r="C25" s="132">
        <v>64</v>
      </c>
      <c r="D25" s="132">
        <v>384</v>
      </c>
      <c r="E25" s="132">
        <v>1</v>
      </c>
      <c r="F25" s="132">
        <v>8</v>
      </c>
      <c r="G25" s="132">
        <v>74</v>
      </c>
      <c r="H25" s="132">
        <f t="shared" ref="H25:I27" si="1">C25-F25</f>
        <v>56</v>
      </c>
      <c r="I25" s="132">
        <f t="shared" si="1"/>
        <v>310</v>
      </c>
      <c r="J25" s="132">
        <v>12</v>
      </c>
    </row>
    <row r="26" spans="1:10" ht="15" thickBot="1">
      <c r="A26" s="134" t="s">
        <v>250</v>
      </c>
      <c r="B26" s="132">
        <v>50000</v>
      </c>
      <c r="C26" s="132">
        <v>64</v>
      </c>
      <c r="D26" s="132">
        <v>384</v>
      </c>
      <c r="E26" s="132">
        <v>1</v>
      </c>
      <c r="F26" s="132">
        <v>8</v>
      </c>
      <c r="G26" s="132">
        <v>74</v>
      </c>
      <c r="H26" s="132">
        <f t="shared" si="1"/>
        <v>56</v>
      </c>
      <c r="I26" s="132">
        <f t="shared" si="1"/>
        <v>310</v>
      </c>
      <c r="J26" s="132">
        <v>12</v>
      </c>
    </row>
    <row r="27" spans="1:10" ht="15" thickBot="1">
      <c r="A27" s="134" t="s">
        <v>251</v>
      </c>
      <c r="B27" s="132">
        <v>50000</v>
      </c>
      <c r="C27" s="132">
        <v>64</v>
      </c>
      <c r="D27" s="132">
        <v>384</v>
      </c>
      <c r="E27" s="132">
        <v>1</v>
      </c>
      <c r="F27" s="132">
        <v>8</v>
      </c>
      <c r="G27" s="132">
        <v>74</v>
      </c>
      <c r="H27" s="132">
        <f t="shared" si="1"/>
        <v>56</v>
      </c>
      <c r="I27" s="132">
        <f t="shared" si="1"/>
        <v>310</v>
      </c>
      <c r="J27" s="132">
        <v>12</v>
      </c>
    </row>
  </sheetData>
  <pageMargins left="0.7" right="0.7" top="0.75" bottom="0.75" header="0.3" footer="0.3"/>
  <pageSetup paperSize="9" orientation="portrait" r:id="rId1"/>
  <headerFooter>
    <oddFooter>&amp;L&amp;1#&amp;"Calibri"&amp;7&amp;K000000C2 General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D975-FC9F-4242-8F8E-2E461F3A1DD0}">
  <sheetPr>
    <tabColor rgb="FFFF0000"/>
  </sheetPr>
  <dimension ref="A1:Q7"/>
  <sheetViews>
    <sheetView workbookViewId="0">
      <selection activeCell="D5" sqref="D5"/>
    </sheetView>
  </sheetViews>
  <sheetFormatPr defaultRowHeight="14.5"/>
  <cols>
    <col min="1" max="1" width="17.26953125" customWidth="1"/>
    <col min="2" max="2" width="18.81640625" customWidth="1"/>
    <col min="3" max="3" width="24.54296875" customWidth="1"/>
    <col min="4" max="4" width="27.7265625" customWidth="1"/>
    <col min="5" max="5" width="25.81640625" customWidth="1"/>
    <col min="6" max="6" width="21.453125" customWidth="1"/>
    <col min="7" max="7" width="15.7265625" customWidth="1"/>
    <col min="8" max="8" width="15.1796875" bestFit="1" customWidth="1"/>
    <col min="9" max="9" width="22.26953125" customWidth="1"/>
    <col min="16" max="16" width="15.1796875" bestFit="1" customWidth="1"/>
    <col min="17" max="17" width="17.81640625" customWidth="1"/>
  </cols>
  <sheetData>
    <row r="1" spans="1:17" ht="266">
      <c r="A1" s="113" t="s">
        <v>252</v>
      </c>
      <c r="B1" s="56" t="s">
        <v>253</v>
      </c>
      <c r="C1" s="56" t="s">
        <v>254</v>
      </c>
      <c r="D1" s="57" t="s">
        <v>255</v>
      </c>
      <c r="E1" s="114" t="s">
        <v>256</v>
      </c>
      <c r="F1" s="57" t="s">
        <v>257</v>
      </c>
      <c r="G1" s="114" t="s">
        <v>258</v>
      </c>
      <c r="H1" s="57" t="s">
        <v>259</v>
      </c>
      <c r="I1" s="115" t="s">
        <v>260</v>
      </c>
      <c r="J1" s="116" t="s">
        <v>261</v>
      </c>
      <c r="K1" s="116" t="s">
        <v>262</v>
      </c>
      <c r="L1" s="116" t="s">
        <v>263</v>
      </c>
      <c r="M1" s="116" t="s">
        <v>264</v>
      </c>
      <c r="N1" s="117" t="s">
        <v>265</v>
      </c>
      <c r="O1" s="118"/>
      <c r="P1" s="56" t="s">
        <v>252</v>
      </c>
      <c r="Q1" s="119" t="s">
        <v>266</v>
      </c>
    </row>
    <row r="2" spans="1:17">
      <c r="A2" s="148"/>
      <c r="B2" s="148"/>
      <c r="C2" s="148"/>
      <c r="D2" s="148"/>
      <c r="E2" s="148"/>
      <c r="F2" s="148"/>
      <c r="G2" s="148"/>
      <c r="H2" s="148"/>
      <c r="I2" s="149"/>
      <c r="J2" s="150"/>
      <c r="K2" s="150"/>
      <c r="L2" s="150"/>
      <c r="M2" s="150"/>
      <c r="N2" s="148"/>
      <c r="P2" s="151"/>
      <c r="Q2" s="152"/>
    </row>
    <row r="3" spans="1:17">
      <c r="A3" s="151"/>
      <c r="B3" s="148"/>
      <c r="C3" s="148"/>
      <c r="D3" s="148"/>
      <c r="E3" s="148"/>
      <c r="F3" s="148"/>
      <c r="G3" s="148"/>
      <c r="H3" s="148"/>
      <c r="I3" s="149"/>
      <c r="J3" s="150"/>
      <c r="K3" s="150"/>
      <c r="L3" s="150"/>
      <c r="M3" s="150"/>
      <c r="N3" s="148"/>
      <c r="P3" s="85"/>
      <c r="Q3" s="153"/>
    </row>
    <row r="4" spans="1:17">
      <c r="A4" s="151"/>
      <c r="B4" s="148"/>
      <c r="C4" s="148"/>
      <c r="D4" s="148"/>
      <c r="E4" s="148"/>
      <c r="F4" s="148"/>
      <c r="G4" s="148"/>
      <c r="H4" s="148"/>
      <c r="I4" s="149"/>
      <c r="J4" s="150"/>
      <c r="K4" s="150"/>
      <c r="L4" s="150"/>
      <c r="M4" s="150"/>
      <c r="N4" s="148"/>
      <c r="P4" s="151"/>
      <c r="Q4" s="153"/>
    </row>
    <row r="5" spans="1:17">
      <c r="A5" s="151"/>
      <c r="B5" s="148"/>
      <c r="C5" s="148"/>
      <c r="D5" s="148"/>
      <c r="E5" s="148"/>
      <c r="F5" s="148"/>
      <c r="G5" s="148"/>
      <c r="H5" s="148"/>
      <c r="I5" s="149"/>
      <c r="J5" s="150"/>
      <c r="K5" s="150"/>
      <c r="L5" s="150"/>
      <c r="M5" s="150"/>
      <c r="N5" s="148"/>
      <c r="P5" s="151"/>
      <c r="Q5" s="153"/>
    </row>
    <row r="6" spans="1:17">
      <c r="A6" s="151"/>
      <c r="B6" s="148"/>
      <c r="C6" s="148"/>
      <c r="D6" s="148"/>
      <c r="E6" s="148"/>
      <c r="F6" s="148"/>
      <c r="G6" s="148"/>
      <c r="H6" s="148"/>
      <c r="I6" s="149"/>
      <c r="J6" s="150"/>
      <c r="K6" s="150"/>
      <c r="L6" s="150"/>
      <c r="M6" s="150"/>
      <c r="N6" s="148"/>
      <c r="P6" s="151"/>
      <c r="Q6" s="153"/>
    </row>
    <row r="7" spans="1:17" ht="15" thickBot="1">
      <c r="A7" s="154"/>
      <c r="B7" s="155"/>
      <c r="C7" s="155"/>
      <c r="D7" s="155"/>
      <c r="E7" s="155"/>
      <c r="F7" s="155"/>
      <c r="G7" s="155"/>
      <c r="H7" s="155"/>
      <c r="I7" s="156"/>
      <c r="J7" s="157"/>
      <c r="K7" s="157"/>
      <c r="L7" s="157"/>
      <c r="M7" s="157"/>
      <c r="N7" s="155"/>
      <c r="P7" s="155"/>
      <c r="Q7" s="158"/>
    </row>
  </sheetData>
  <phoneticPr fontId="52" type="noConversion"/>
  <dataValidations count="6">
    <dataValidation type="list" allowBlank="1" showInputMessage="1" showErrorMessage="1" sqref="D8:D1048576 F2:F6" xr:uid="{6C48609E-AC6F-4BC3-A0A8-4B84FA1C7ED9}">
      <formula1>HT</formula1>
    </dataValidation>
    <dataValidation type="list" showInputMessage="1" showErrorMessage="1" sqref="C8:C609 D2:D7" xr:uid="{A7D29BC4-B7FF-4AB7-87A4-6926D381AE80}">
      <formula1>"Yes,No"</formula1>
    </dataValidation>
    <dataValidation type="list" allowBlank="1" showInputMessage="1" showErrorMessage="1" sqref="E8:E964 F7" xr:uid="{CDB9411C-6C81-4BD4-8793-40743DE88399}">
      <formula1>INDIRECT(D7)</formula1>
    </dataValidation>
    <dataValidation type="list" allowBlank="1" showInputMessage="1" showErrorMessage="1" sqref="H2:H7" xr:uid="{9BF0959C-C09B-4452-A36E-D7DFA19335F6}">
      <formula1>INDIRECT(E2&amp;F2&amp;G2)</formula1>
    </dataValidation>
    <dataValidation type="list" allowBlank="1" showInputMessage="1" showErrorMessage="1" sqref="G2:G7" xr:uid="{191AA85C-DB21-4A08-A0E6-1513785CEC05}">
      <formula1>INDIRECT(E2&amp;F2)</formula1>
    </dataValidation>
    <dataValidation type="list" allowBlank="1" showInputMessage="1" showErrorMessage="1" sqref="E2:E7" xr:uid="{89690EB2-F1A6-4C8B-8AF9-1EC141E50D37}">
      <formula1>Requirement</formula1>
    </dataValidation>
  </dataValidations>
  <pageMargins left="0.7" right="0.7" top="0.75" bottom="0.75" header="0.3" footer="0.3"/>
  <pageSetup paperSize="9" orientation="portrait" r:id="rId1"/>
  <headerFooter>
    <oddFooter>&amp;L&amp;1#&amp;"Calibri"&amp;7&amp;K000000C2 General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3FBC-4591-4FF0-BE9F-9C82842AA32E}">
  <sheetPr>
    <tabColor rgb="FFFF0000"/>
  </sheetPr>
  <dimension ref="A1:AH148"/>
  <sheetViews>
    <sheetView tabSelected="1" zoomScale="68" zoomScaleNormal="68" workbookViewId="0">
      <selection activeCell="I20" sqref="I20"/>
    </sheetView>
  </sheetViews>
  <sheetFormatPr defaultRowHeight="14.5"/>
  <cols>
    <col min="1" max="1" width="13.7265625" style="69" bestFit="1" customWidth="1"/>
    <col min="2" max="2" width="8" style="71" customWidth="1"/>
    <col min="3" max="3" width="12.54296875" style="69" bestFit="1" customWidth="1"/>
    <col min="4" max="4" width="19.453125" style="69" bestFit="1" customWidth="1"/>
    <col min="5" max="5" width="18.26953125" style="69" bestFit="1" customWidth="1"/>
    <col min="6" max="6" width="14" style="69" bestFit="1" customWidth="1"/>
    <col min="7" max="7" width="13.81640625" style="69" bestFit="1" customWidth="1"/>
    <col min="8" max="8" width="19.54296875" style="69" customWidth="1"/>
    <col min="9" max="9" width="54.1796875" style="70" bestFit="1" customWidth="1"/>
    <col min="10" max="10" width="29.81640625" style="70" customWidth="1"/>
    <col min="11" max="11" width="13.453125" style="69" customWidth="1"/>
    <col min="12" max="12" width="19.1796875" style="69" bestFit="1" customWidth="1"/>
    <col min="13" max="13" width="7.26953125" style="69" customWidth="1"/>
    <col min="14" max="14" width="15.26953125" style="69" bestFit="1" customWidth="1"/>
    <col min="15" max="15" width="14.26953125" style="69" customWidth="1"/>
    <col min="16" max="17" width="7.26953125" style="69" customWidth="1"/>
    <col min="18" max="18" width="7.81640625" customWidth="1"/>
    <col min="19" max="19" width="11.1796875" customWidth="1"/>
    <col min="20" max="20" width="27.7265625" bestFit="1" customWidth="1"/>
    <col min="21" max="25" width="7.81640625" customWidth="1"/>
    <col min="26" max="26" width="7.81640625" style="63" customWidth="1"/>
    <col min="27" max="27" width="7.81640625" style="75" customWidth="1"/>
    <col min="28" max="33" width="7.81640625" customWidth="1"/>
    <col min="34" max="34" width="15" customWidth="1"/>
    <col min="35" max="45" width="7.81640625" customWidth="1"/>
    <col min="46" max="46" width="14.54296875" bestFit="1" customWidth="1"/>
    <col min="47" max="47" width="23.26953125" bestFit="1" customWidth="1"/>
    <col min="48" max="50" width="7.81640625" customWidth="1"/>
    <col min="51" max="51" width="46.26953125" bestFit="1" customWidth="1"/>
    <col min="52" max="60" width="7.81640625" customWidth="1"/>
    <col min="61" max="61" width="9.26953125" customWidth="1"/>
    <col min="62" max="62" width="12.26953125" bestFit="1" customWidth="1"/>
    <col min="63" max="63" width="14.54296875" bestFit="1" customWidth="1"/>
    <col min="64" max="64" width="23.26953125" bestFit="1" customWidth="1"/>
    <col min="65" max="66" width="14.54296875" bestFit="1" customWidth="1"/>
    <col min="67" max="67" width="7.81640625" customWidth="1"/>
    <col min="68" max="68" width="46.26953125" bestFit="1" customWidth="1"/>
    <col min="81" max="81" width="22.81640625" bestFit="1" customWidth="1"/>
    <col min="85" max="85" width="46.26953125" bestFit="1" customWidth="1"/>
  </cols>
  <sheetData>
    <row r="1" spans="1:34" ht="20.5" thickBot="1">
      <c r="A1" s="225" t="s">
        <v>267</v>
      </c>
      <c r="B1" s="225"/>
      <c r="C1" s="225"/>
      <c r="D1" s="225"/>
      <c r="N1" s="38"/>
      <c r="O1" s="38"/>
      <c r="P1" s="38"/>
      <c r="Q1" s="38"/>
      <c r="R1" s="38"/>
      <c r="S1" s="38"/>
      <c r="T1" s="39"/>
      <c r="U1" s="39"/>
      <c r="V1" s="39"/>
      <c r="W1" s="39"/>
      <c r="X1" s="39"/>
      <c r="Y1" s="39"/>
      <c r="Z1" s="39"/>
      <c r="AA1" s="74"/>
      <c r="AB1" s="39"/>
      <c r="AC1" s="39"/>
      <c r="AD1" s="39"/>
      <c r="AE1" s="39"/>
      <c r="AF1" s="39"/>
      <c r="AG1" s="39"/>
    </row>
    <row r="2" spans="1:34" ht="20.5" thickBot="1">
      <c r="A2" s="226"/>
      <c r="B2" s="226"/>
      <c r="C2" s="226"/>
      <c r="D2" s="226"/>
      <c r="N2" s="38"/>
      <c r="O2" s="38"/>
      <c r="P2" s="38"/>
      <c r="Q2" s="38"/>
      <c r="R2" s="38"/>
      <c r="S2" s="38"/>
      <c r="T2" s="39"/>
      <c r="U2" s="39"/>
      <c r="V2" s="39"/>
      <c r="W2" s="39"/>
      <c r="X2" s="39"/>
      <c r="Y2" s="39"/>
      <c r="Z2" s="39"/>
      <c r="AA2" s="74"/>
      <c r="AB2" s="39"/>
      <c r="AC2" s="39"/>
      <c r="AD2" s="39"/>
      <c r="AE2" s="39"/>
      <c r="AF2" s="39"/>
      <c r="AG2" s="39"/>
    </row>
    <row r="3" spans="1:34" ht="15" thickBot="1">
      <c r="A3" s="67" t="s">
        <v>268</v>
      </c>
      <c r="B3" s="72"/>
      <c r="C3" s="68"/>
      <c r="D3" s="68"/>
      <c r="N3" s="68"/>
      <c r="O3" s="68"/>
      <c r="P3" s="68"/>
      <c r="Q3" s="68"/>
      <c r="R3" s="227" t="s">
        <v>269</v>
      </c>
      <c r="S3" s="227"/>
      <c r="T3" s="227"/>
      <c r="U3" s="227"/>
      <c r="V3" s="227"/>
      <c r="W3" s="227"/>
      <c r="X3" s="227"/>
      <c r="Y3" s="227"/>
      <c r="Z3" s="227"/>
      <c r="AA3" s="227"/>
      <c r="AB3" s="227"/>
      <c r="AC3" s="227"/>
      <c r="AD3" s="227"/>
      <c r="AE3" s="227"/>
      <c r="AF3" s="227"/>
      <c r="AG3" s="227"/>
      <c r="AH3" s="227"/>
    </row>
    <row r="4" spans="1:34" ht="30" customHeight="1" thickBot="1">
      <c r="A4" s="40" t="s">
        <v>270</v>
      </c>
      <c r="B4" s="73" t="s">
        <v>41</v>
      </c>
      <c r="C4" s="40" t="s">
        <v>271</v>
      </c>
      <c r="D4" s="40" t="s">
        <v>272</v>
      </c>
      <c r="E4" s="40" t="s">
        <v>47</v>
      </c>
      <c r="F4" s="46" t="s">
        <v>50</v>
      </c>
      <c r="G4" s="46" t="s">
        <v>52</v>
      </c>
      <c r="H4" s="41" t="s">
        <v>273</v>
      </c>
      <c r="I4" s="41" t="s">
        <v>274</v>
      </c>
      <c r="J4" s="13" t="s">
        <v>275</v>
      </c>
      <c r="K4" s="64" t="s">
        <v>55</v>
      </c>
      <c r="L4" s="65" t="s">
        <v>276</v>
      </c>
      <c r="M4" s="66" t="s">
        <v>277</v>
      </c>
      <c r="N4" s="65" t="s">
        <v>278</v>
      </c>
      <c r="O4" s="13" t="s">
        <v>279</v>
      </c>
      <c r="P4" s="40" t="s">
        <v>280</v>
      </c>
      <c r="Q4" s="13" t="s">
        <v>281</v>
      </c>
      <c r="R4" s="88" t="s">
        <v>282</v>
      </c>
      <c r="S4" s="88" t="s">
        <v>283</v>
      </c>
      <c r="T4" s="89" t="s">
        <v>284</v>
      </c>
      <c r="U4" s="89" t="s">
        <v>285</v>
      </c>
      <c r="V4" s="89" t="s">
        <v>286</v>
      </c>
      <c r="W4" s="90" t="s">
        <v>287</v>
      </c>
      <c r="X4" s="90" t="s">
        <v>288</v>
      </c>
      <c r="Y4" s="90" t="s">
        <v>289</v>
      </c>
      <c r="Z4" s="91" t="s">
        <v>290</v>
      </c>
      <c r="AA4" s="92" t="s">
        <v>291</v>
      </c>
      <c r="AB4" s="90" t="s">
        <v>292</v>
      </c>
      <c r="AC4" s="90" t="s">
        <v>293</v>
      </c>
      <c r="AD4" s="90" t="s">
        <v>294</v>
      </c>
      <c r="AE4" s="90" t="s">
        <v>295</v>
      </c>
      <c r="AF4" s="90" t="s">
        <v>296</v>
      </c>
      <c r="AG4" s="93" t="s">
        <v>297</v>
      </c>
      <c r="AH4" s="120" t="s">
        <v>298</v>
      </c>
    </row>
    <row r="5" spans="1:34" ht="15.5">
      <c r="A5" s="159"/>
      <c r="B5" s="159"/>
      <c r="C5" s="159"/>
      <c r="D5" s="159"/>
      <c r="E5" s="159"/>
      <c r="F5" s="160"/>
      <c r="G5" s="159"/>
      <c r="H5" s="86"/>
      <c r="I5" s="83"/>
      <c r="J5" s="161"/>
      <c r="K5" s="87"/>
      <c r="L5" s="87"/>
      <c r="M5" s="87"/>
      <c r="N5" s="162"/>
      <c r="O5" s="87"/>
      <c r="P5" s="87"/>
      <c r="Q5" s="94"/>
      <c r="R5" s="162"/>
      <c r="S5" s="162"/>
      <c r="T5" s="162"/>
      <c r="U5" s="162"/>
      <c r="V5" s="162"/>
      <c r="W5" s="163"/>
      <c r="X5" s="163"/>
      <c r="Y5" s="162"/>
      <c r="Z5" s="162"/>
      <c r="AA5" s="162"/>
      <c r="AB5" s="162"/>
      <c r="AC5" s="162"/>
      <c r="AD5" s="162"/>
      <c r="AE5" s="162"/>
      <c r="AF5" s="162"/>
      <c r="AG5" s="162"/>
      <c r="AH5" s="162"/>
    </row>
    <row r="6" spans="1:34" ht="15.5">
      <c r="A6" s="159"/>
      <c r="B6" s="159"/>
      <c r="C6" s="159"/>
      <c r="D6" s="159"/>
      <c r="E6" s="159"/>
      <c r="F6" s="101"/>
      <c r="G6" s="159"/>
      <c r="H6" s="86"/>
      <c r="I6" s="83"/>
      <c r="J6" s="161"/>
      <c r="K6" s="87"/>
      <c r="L6" s="87"/>
      <c r="M6" s="87"/>
      <c r="N6" s="162"/>
      <c r="O6" s="87"/>
      <c r="P6" s="87"/>
      <c r="Q6" s="94"/>
      <c r="R6" s="162"/>
      <c r="S6" s="162"/>
      <c r="T6" s="162"/>
      <c r="U6" s="162"/>
      <c r="V6" s="162"/>
      <c r="W6" s="163"/>
      <c r="X6" s="163"/>
      <c r="Y6" s="162"/>
      <c r="Z6" s="162"/>
      <c r="AA6" s="162"/>
      <c r="AB6" s="162"/>
      <c r="AC6" s="162"/>
      <c r="AD6" s="162"/>
      <c r="AE6" s="162"/>
      <c r="AF6" s="162"/>
      <c r="AG6" s="162"/>
      <c r="AH6" s="162"/>
    </row>
    <row r="7" spans="1:34" ht="15.5">
      <c r="A7" s="159"/>
      <c r="B7" s="159"/>
      <c r="C7" s="159"/>
      <c r="D7" s="159"/>
      <c r="E7" s="159"/>
      <c r="F7" s="101"/>
      <c r="G7" s="159"/>
      <c r="H7" s="86"/>
      <c r="I7" s="83"/>
      <c r="J7" s="161"/>
      <c r="K7" s="87"/>
      <c r="L7" s="87"/>
      <c r="M7" s="87"/>
      <c r="N7" s="162"/>
      <c r="O7" s="87"/>
      <c r="P7" s="87"/>
      <c r="Q7" s="94"/>
      <c r="R7" s="162"/>
      <c r="S7" s="162"/>
      <c r="T7" s="162"/>
      <c r="U7" s="162"/>
      <c r="V7" s="162"/>
      <c r="W7" s="163"/>
      <c r="X7" s="163"/>
      <c r="Y7" s="162"/>
      <c r="Z7" s="162"/>
      <c r="AA7" s="162"/>
      <c r="AB7" s="162"/>
      <c r="AC7" s="162"/>
      <c r="AD7" s="162"/>
      <c r="AE7" s="162"/>
      <c r="AF7" s="162"/>
      <c r="AG7" s="162"/>
      <c r="AH7" s="162"/>
    </row>
    <row r="8" spans="1:34" ht="15.5">
      <c r="A8" s="159"/>
      <c r="B8" s="159"/>
      <c r="C8" s="159"/>
      <c r="D8" s="159"/>
      <c r="E8" s="159"/>
      <c r="F8" s="160"/>
      <c r="G8" s="159"/>
      <c r="H8" s="86"/>
      <c r="I8" s="83"/>
      <c r="J8" s="161"/>
      <c r="K8" s="87"/>
      <c r="L8" s="87"/>
      <c r="M8" s="87"/>
      <c r="N8" s="162"/>
      <c r="O8" s="87"/>
      <c r="P8" s="87"/>
      <c r="Q8" s="94"/>
      <c r="R8" s="162"/>
      <c r="S8" s="162"/>
      <c r="T8" s="162"/>
      <c r="U8" s="162"/>
      <c r="V8" s="162"/>
      <c r="W8" s="163"/>
      <c r="X8" s="163"/>
      <c r="Y8" s="162"/>
      <c r="Z8" s="162"/>
      <c r="AA8" s="162"/>
      <c r="AB8" s="162"/>
      <c r="AC8" s="162"/>
      <c r="AD8" s="162"/>
      <c r="AE8" s="162"/>
      <c r="AF8" s="162"/>
      <c r="AG8" s="162"/>
      <c r="AH8" s="162"/>
    </row>
    <row r="9" spans="1:34" ht="15.5">
      <c r="A9" s="159"/>
      <c r="B9" s="159"/>
      <c r="C9" s="159"/>
      <c r="D9" s="159"/>
      <c r="E9" s="159"/>
      <c r="F9" s="101"/>
      <c r="G9" s="159"/>
      <c r="H9" s="86"/>
      <c r="I9" s="83"/>
      <c r="J9" s="161"/>
      <c r="K9" s="87"/>
      <c r="L9" s="87"/>
      <c r="M9" s="87"/>
      <c r="N9" s="162"/>
      <c r="O9" s="87"/>
      <c r="P9" s="87"/>
      <c r="Q9" s="94"/>
      <c r="R9" s="162"/>
      <c r="S9" s="162"/>
      <c r="T9" s="162"/>
      <c r="U9" s="162"/>
      <c r="V9" s="162"/>
      <c r="W9" s="163"/>
      <c r="X9" s="163"/>
      <c r="Y9" s="162"/>
      <c r="Z9" s="162"/>
      <c r="AA9" s="162"/>
      <c r="AB9" s="162"/>
      <c r="AC9" s="162"/>
      <c r="AD9" s="162"/>
      <c r="AE9" s="162"/>
      <c r="AF9" s="162"/>
      <c r="AG9" s="162"/>
      <c r="AH9" s="162"/>
    </row>
    <row r="10" spans="1:34" ht="15.5">
      <c r="A10" s="159"/>
      <c r="B10" s="159"/>
      <c r="C10" s="159"/>
      <c r="D10" s="159"/>
      <c r="E10" s="159"/>
      <c r="F10" s="101"/>
      <c r="G10" s="159"/>
      <c r="H10" s="86"/>
      <c r="I10" s="83"/>
      <c r="J10" s="161"/>
      <c r="K10" s="87"/>
      <c r="L10" s="87"/>
      <c r="M10" s="87"/>
      <c r="N10" s="162"/>
      <c r="O10" s="87"/>
      <c r="P10" s="87"/>
      <c r="Q10" s="94"/>
      <c r="R10" s="162"/>
      <c r="S10" s="162"/>
      <c r="T10" s="162"/>
      <c r="U10" s="162"/>
      <c r="V10" s="162"/>
      <c r="W10" s="163"/>
      <c r="X10" s="163"/>
      <c r="Y10" s="162"/>
      <c r="Z10" s="162"/>
      <c r="AA10" s="162"/>
      <c r="AB10" s="162"/>
      <c r="AC10" s="162"/>
      <c r="AD10" s="162"/>
      <c r="AE10" s="162"/>
      <c r="AF10" s="162"/>
      <c r="AG10" s="162"/>
      <c r="AH10" s="162"/>
    </row>
    <row r="11" spans="1:34" ht="15.5">
      <c r="A11" s="159"/>
      <c r="B11" s="159"/>
      <c r="C11" s="159"/>
      <c r="D11" s="159"/>
      <c r="E11" s="159"/>
      <c r="F11" s="160"/>
      <c r="G11" s="159"/>
      <c r="H11" s="86"/>
      <c r="I11" s="83"/>
      <c r="J11" s="161"/>
      <c r="K11" s="87"/>
      <c r="L11" s="87"/>
      <c r="M11" s="87"/>
      <c r="N11" s="162"/>
      <c r="O11" s="87"/>
      <c r="P11" s="87"/>
      <c r="Q11" s="94"/>
      <c r="R11" s="162"/>
      <c r="S11" s="162"/>
      <c r="T11" s="162"/>
      <c r="U11" s="162"/>
      <c r="V11" s="162"/>
      <c r="W11" s="162"/>
      <c r="X11" s="162"/>
      <c r="Y11" s="162"/>
      <c r="Z11" s="162"/>
      <c r="AA11" s="162"/>
      <c r="AB11" s="162"/>
      <c r="AC11" s="162"/>
      <c r="AD11" s="162"/>
      <c r="AE11" s="162"/>
      <c r="AF11" s="162"/>
      <c r="AG11" s="162"/>
      <c r="AH11" s="162"/>
    </row>
    <row r="12" spans="1:34" ht="15.5">
      <c r="A12" s="159"/>
      <c r="B12" s="159"/>
      <c r="C12" s="159"/>
      <c r="D12" s="159"/>
      <c r="E12" s="159"/>
      <c r="F12" s="101"/>
      <c r="G12" s="159"/>
      <c r="H12" s="86"/>
      <c r="I12" s="83"/>
      <c r="J12" s="161"/>
      <c r="K12" s="87"/>
      <c r="L12" s="87"/>
      <c r="M12" s="87"/>
      <c r="N12" s="162"/>
      <c r="O12" s="87"/>
      <c r="P12" s="87"/>
      <c r="Q12" s="94"/>
      <c r="R12" s="162"/>
      <c r="S12" s="162"/>
      <c r="T12" s="162"/>
      <c r="U12" s="162"/>
      <c r="V12" s="162"/>
      <c r="W12" s="162"/>
      <c r="X12" s="162"/>
      <c r="Y12" s="162"/>
      <c r="Z12" s="162"/>
      <c r="AA12" s="162"/>
      <c r="AB12" s="162"/>
      <c r="AC12" s="162"/>
      <c r="AD12" s="162"/>
      <c r="AE12" s="162"/>
      <c r="AF12" s="162"/>
      <c r="AG12" s="162"/>
      <c r="AH12" s="162"/>
    </row>
    <row r="13" spans="1:34" ht="15.5">
      <c r="A13" s="159"/>
      <c r="B13" s="159"/>
      <c r="C13" s="159"/>
      <c r="D13" s="159"/>
      <c r="E13" s="159"/>
      <c r="F13" s="101"/>
      <c r="G13" s="159"/>
      <c r="H13" s="86"/>
      <c r="I13" s="83"/>
      <c r="J13" s="161"/>
      <c r="K13" s="87"/>
      <c r="L13" s="87"/>
      <c r="M13" s="87"/>
      <c r="N13" s="162"/>
      <c r="O13" s="87"/>
      <c r="P13" s="87"/>
      <c r="Q13" s="94"/>
      <c r="R13" s="162"/>
      <c r="S13" s="162"/>
      <c r="T13" s="162"/>
      <c r="U13" s="162"/>
      <c r="V13" s="162"/>
      <c r="W13" s="162"/>
      <c r="X13" s="162"/>
      <c r="Y13" s="162"/>
      <c r="Z13" s="162"/>
      <c r="AA13" s="162"/>
      <c r="AB13" s="162"/>
      <c r="AC13" s="162"/>
      <c r="AD13" s="162"/>
      <c r="AE13" s="162"/>
      <c r="AF13" s="162"/>
      <c r="AG13" s="162"/>
      <c r="AH13" s="162"/>
    </row>
    <row r="14" spans="1:34" ht="15.5">
      <c r="A14" s="159"/>
      <c r="B14" s="159"/>
      <c r="C14" s="159"/>
      <c r="D14" s="159"/>
      <c r="E14" s="159"/>
      <c r="F14" s="160"/>
      <c r="G14" s="159"/>
      <c r="H14" s="86"/>
      <c r="I14" s="83"/>
      <c r="J14" s="161"/>
      <c r="K14" s="87"/>
      <c r="L14" s="87"/>
      <c r="M14" s="87"/>
      <c r="N14" s="162"/>
      <c r="O14" s="87"/>
      <c r="P14" s="87"/>
      <c r="Q14" s="94"/>
      <c r="R14" s="162"/>
      <c r="S14" s="162"/>
      <c r="T14" s="162"/>
      <c r="U14" s="162"/>
      <c r="V14" s="162"/>
      <c r="W14" s="162"/>
      <c r="X14" s="162"/>
      <c r="Y14" s="162"/>
      <c r="Z14" s="162"/>
      <c r="AA14" s="162"/>
      <c r="AB14" s="162"/>
      <c r="AC14" s="162"/>
      <c r="AD14" s="162"/>
      <c r="AE14" s="162"/>
      <c r="AF14" s="162"/>
      <c r="AG14" s="162"/>
      <c r="AH14" s="162"/>
    </row>
    <row r="15" spans="1:34" ht="15.5">
      <c r="A15" s="159"/>
      <c r="B15" s="159"/>
      <c r="C15" s="159"/>
      <c r="D15" s="159"/>
      <c r="E15" s="159"/>
      <c r="F15" s="101"/>
      <c r="G15" s="159"/>
      <c r="H15" s="86"/>
      <c r="I15" s="83"/>
      <c r="J15" s="161"/>
      <c r="K15" s="87"/>
      <c r="L15" s="87"/>
      <c r="M15" s="87"/>
      <c r="N15" s="162"/>
      <c r="O15" s="87"/>
      <c r="P15" s="87"/>
      <c r="Q15" s="94"/>
      <c r="R15" s="162"/>
      <c r="S15" s="162"/>
      <c r="T15" s="162"/>
      <c r="U15" s="162"/>
      <c r="V15" s="162"/>
      <c r="W15" s="162"/>
      <c r="X15" s="162"/>
      <c r="Y15" s="162"/>
      <c r="Z15" s="162"/>
      <c r="AA15" s="162"/>
      <c r="AB15" s="162"/>
      <c r="AC15" s="162"/>
      <c r="AD15" s="162"/>
      <c r="AE15" s="162"/>
      <c r="AF15" s="162"/>
      <c r="AG15" s="162"/>
      <c r="AH15" s="162"/>
    </row>
    <row r="16" spans="1:34" ht="15.5">
      <c r="A16" s="159"/>
      <c r="B16" s="159"/>
      <c r="C16" s="159"/>
      <c r="D16" s="159"/>
      <c r="E16" s="159"/>
      <c r="F16" s="101"/>
      <c r="G16" s="159"/>
      <c r="H16" s="86"/>
      <c r="I16" s="83"/>
      <c r="J16" s="161"/>
      <c r="K16" s="87"/>
      <c r="L16" s="87"/>
      <c r="M16" s="87"/>
      <c r="N16" s="162"/>
      <c r="O16" s="87"/>
      <c r="P16" s="87"/>
      <c r="Q16" s="94"/>
      <c r="R16" s="162"/>
      <c r="S16" s="162"/>
      <c r="T16" s="162"/>
      <c r="U16" s="162"/>
      <c r="V16" s="162"/>
      <c r="W16" s="162"/>
      <c r="X16" s="162"/>
      <c r="Y16" s="162"/>
      <c r="Z16" s="162"/>
      <c r="AA16" s="162"/>
      <c r="AB16" s="162"/>
      <c r="AC16" s="162"/>
      <c r="AD16" s="162"/>
      <c r="AE16" s="162"/>
      <c r="AF16" s="162"/>
      <c r="AG16" s="162"/>
      <c r="AH16" s="162"/>
    </row>
    <row r="17" spans="1:34" ht="15.5">
      <c r="A17" s="159"/>
      <c r="B17" s="159"/>
      <c r="C17" s="159"/>
      <c r="D17" s="159"/>
      <c r="E17" s="159"/>
      <c r="F17" s="160"/>
      <c r="G17" s="159"/>
      <c r="H17" s="86"/>
      <c r="I17" s="83"/>
      <c r="J17" s="161"/>
      <c r="K17" s="87"/>
      <c r="L17" s="87"/>
      <c r="M17" s="87"/>
      <c r="N17" s="162"/>
      <c r="O17" s="87"/>
      <c r="P17" s="87"/>
      <c r="Q17" s="94"/>
      <c r="R17" s="162"/>
      <c r="S17" s="162"/>
      <c r="T17" s="162"/>
      <c r="U17" s="162"/>
      <c r="V17" s="162"/>
      <c r="W17" s="162"/>
      <c r="X17" s="162"/>
      <c r="Y17" s="162"/>
      <c r="Z17" s="162"/>
      <c r="AA17" s="162"/>
      <c r="AB17" s="162"/>
      <c r="AC17" s="162"/>
      <c r="AD17" s="162"/>
      <c r="AE17" s="162"/>
      <c r="AF17" s="162"/>
      <c r="AG17" s="162"/>
      <c r="AH17" s="162"/>
    </row>
    <row r="18" spans="1:34" ht="15.5">
      <c r="A18" s="159"/>
      <c r="B18" s="159"/>
      <c r="C18" s="159"/>
      <c r="D18" s="159"/>
      <c r="E18" s="159"/>
      <c r="F18" s="101"/>
      <c r="G18" s="159"/>
      <c r="H18" s="86"/>
      <c r="I18" s="83"/>
      <c r="J18" s="161"/>
      <c r="K18" s="87"/>
      <c r="L18" s="87"/>
      <c r="M18" s="87"/>
      <c r="N18" s="162"/>
      <c r="O18" s="87"/>
      <c r="P18" s="87"/>
      <c r="Q18" s="94"/>
      <c r="R18" s="162"/>
      <c r="S18" s="162"/>
      <c r="T18" s="162"/>
      <c r="U18" s="162"/>
      <c r="V18" s="162"/>
      <c r="W18" s="162"/>
      <c r="X18" s="162"/>
      <c r="Y18" s="162"/>
      <c r="Z18" s="162"/>
      <c r="AA18" s="162"/>
      <c r="AB18" s="162"/>
      <c r="AC18" s="162"/>
      <c r="AD18" s="162"/>
      <c r="AE18" s="162"/>
      <c r="AF18" s="162"/>
      <c r="AG18" s="162"/>
      <c r="AH18" s="162"/>
    </row>
    <row r="19" spans="1:34" ht="15.5">
      <c r="A19" s="159"/>
      <c r="B19" s="159"/>
      <c r="C19" s="159"/>
      <c r="D19" s="159"/>
      <c r="E19" s="159"/>
      <c r="F19" s="101"/>
      <c r="G19" s="159"/>
      <c r="H19" s="86"/>
      <c r="I19" s="83"/>
      <c r="J19" s="161"/>
      <c r="K19" s="87"/>
      <c r="L19" s="87"/>
      <c r="M19" s="87"/>
      <c r="N19" s="162"/>
      <c r="O19" s="87"/>
      <c r="P19" s="87"/>
      <c r="Q19" s="94"/>
      <c r="R19" s="162"/>
      <c r="S19" s="162"/>
      <c r="T19" s="162"/>
      <c r="U19" s="162"/>
      <c r="V19" s="162"/>
      <c r="W19" s="162"/>
      <c r="X19" s="162"/>
      <c r="Y19" s="162"/>
      <c r="Z19" s="162"/>
      <c r="AA19" s="162"/>
      <c r="AB19" s="162"/>
      <c r="AC19" s="162"/>
      <c r="AD19" s="162"/>
      <c r="AE19" s="162"/>
      <c r="AF19" s="162"/>
      <c r="AG19" s="162"/>
      <c r="AH19" s="162"/>
    </row>
    <row r="20" spans="1:34" ht="15.5">
      <c r="A20" s="159"/>
      <c r="B20" s="159"/>
      <c r="C20" s="159"/>
      <c r="D20" s="159"/>
      <c r="E20" s="159"/>
      <c r="F20" s="160"/>
      <c r="G20" s="159"/>
      <c r="H20" s="86"/>
      <c r="I20" s="83"/>
      <c r="J20" s="161"/>
      <c r="K20" s="87"/>
      <c r="L20" s="87"/>
      <c r="M20" s="87"/>
      <c r="N20" s="162"/>
      <c r="O20" s="87"/>
      <c r="P20" s="87"/>
      <c r="Q20" s="94"/>
      <c r="R20" s="162"/>
      <c r="S20" s="162"/>
      <c r="T20" s="162"/>
      <c r="U20" s="162"/>
      <c r="V20" s="162"/>
      <c r="W20" s="162"/>
      <c r="X20" s="162"/>
      <c r="Y20" s="162"/>
      <c r="Z20" s="162"/>
      <c r="AA20" s="162"/>
      <c r="AB20" s="162"/>
      <c r="AC20" s="162"/>
      <c r="AD20" s="162"/>
      <c r="AE20" s="162"/>
      <c r="AF20" s="162"/>
      <c r="AG20" s="162"/>
      <c r="AH20" s="162"/>
    </row>
    <row r="21" spans="1:34" ht="15.5">
      <c r="A21" s="159"/>
      <c r="B21" s="159"/>
      <c r="C21" s="159"/>
      <c r="D21" s="159"/>
      <c r="E21" s="159"/>
      <c r="F21" s="101"/>
      <c r="G21" s="159"/>
      <c r="H21" s="86"/>
      <c r="I21" s="83"/>
      <c r="J21" s="161"/>
      <c r="K21" s="87"/>
      <c r="L21" s="87"/>
      <c r="M21" s="87"/>
      <c r="N21" s="162"/>
      <c r="O21" s="87"/>
      <c r="P21" s="87"/>
      <c r="Q21" s="94"/>
      <c r="R21" s="162"/>
      <c r="S21" s="162"/>
      <c r="T21" s="162"/>
      <c r="U21" s="162"/>
      <c r="V21" s="162"/>
      <c r="W21" s="162"/>
      <c r="X21" s="162"/>
      <c r="Y21" s="162"/>
      <c r="Z21" s="162"/>
      <c r="AA21" s="162"/>
      <c r="AB21" s="162"/>
      <c r="AC21" s="162"/>
      <c r="AD21" s="162"/>
      <c r="AE21" s="162"/>
      <c r="AF21" s="162"/>
      <c r="AG21" s="162"/>
      <c r="AH21" s="162"/>
    </row>
    <row r="22" spans="1:34" ht="15.5">
      <c r="A22" s="159"/>
      <c r="B22" s="159"/>
      <c r="C22" s="159"/>
      <c r="D22" s="159"/>
      <c r="E22" s="159"/>
      <c r="F22" s="101"/>
      <c r="G22" s="159"/>
      <c r="H22" s="86"/>
      <c r="I22" s="83"/>
      <c r="J22" s="161"/>
      <c r="K22" s="87"/>
      <c r="L22" s="87"/>
      <c r="M22" s="87"/>
      <c r="N22" s="162"/>
      <c r="O22" s="87"/>
      <c r="P22" s="87"/>
      <c r="Q22" s="94"/>
      <c r="R22" s="162"/>
      <c r="S22" s="162"/>
      <c r="T22" s="162"/>
      <c r="U22" s="162"/>
      <c r="V22" s="162"/>
      <c r="W22" s="162"/>
      <c r="X22" s="162"/>
      <c r="Y22" s="162"/>
      <c r="Z22" s="162"/>
      <c r="AA22" s="162"/>
      <c r="AB22" s="162"/>
      <c r="AC22" s="162"/>
      <c r="AD22" s="162"/>
      <c r="AE22" s="162"/>
      <c r="AF22" s="162"/>
      <c r="AG22" s="162"/>
      <c r="AH22" s="162"/>
    </row>
    <row r="23" spans="1:34" ht="15.5">
      <c r="A23" s="159"/>
      <c r="B23" s="159"/>
      <c r="C23" s="159"/>
      <c r="D23" s="159"/>
      <c r="E23" s="159"/>
      <c r="F23" s="160"/>
      <c r="G23" s="159"/>
      <c r="H23" s="86"/>
      <c r="I23" s="83"/>
      <c r="J23" s="161"/>
      <c r="K23" s="87"/>
      <c r="L23" s="87"/>
      <c r="M23" s="87"/>
      <c r="N23" s="162"/>
      <c r="O23" s="87"/>
      <c r="P23" s="87"/>
      <c r="Q23" s="94"/>
      <c r="R23" s="162"/>
      <c r="S23" s="162"/>
      <c r="T23" s="162"/>
      <c r="U23" s="162"/>
      <c r="V23" s="162"/>
      <c r="W23" s="162"/>
      <c r="X23" s="162"/>
      <c r="Y23" s="162"/>
      <c r="Z23" s="162"/>
      <c r="AA23" s="162"/>
      <c r="AB23" s="162"/>
      <c r="AC23" s="162"/>
      <c r="AD23" s="162"/>
      <c r="AE23" s="162"/>
      <c r="AF23" s="162"/>
      <c r="AG23" s="162"/>
      <c r="AH23" s="162"/>
    </row>
    <row r="24" spans="1:34" ht="15.5">
      <c r="A24" s="159"/>
      <c r="B24" s="159"/>
      <c r="C24" s="159"/>
      <c r="D24" s="159"/>
      <c r="E24" s="159"/>
      <c r="F24" s="101"/>
      <c r="G24" s="159"/>
      <c r="H24" s="86"/>
      <c r="I24" s="83"/>
      <c r="J24" s="161"/>
      <c r="K24" s="87"/>
      <c r="L24" s="87"/>
      <c r="M24" s="87"/>
      <c r="N24" s="162"/>
      <c r="O24" s="87"/>
      <c r="P24" s="87"/>
      <c r="Q24" s="94"/>
      <c r="R24" s="162"/>
      <c r="S24" s="162"/>
      <c r="T24" s="162"/>
      <c r="U24" s="162"/>
      <c r="V24" s="162"/>
      <c r="W24" s="162"/>
      <c r="X24" s="162"/>
      <c r="Y24" s="162"/>
      <c r="Z24" s="162"/>
      <c r="AA24" s="162"/>
      <c r="AB24" s="162"/>
      <c r="AC24" s="162"/>
      <c r="AD24" s="162"/>
      <c r="AE24" s="162"/>
      <c r="AF24" s="162"/>
      <c r="AG24" s="162"/>
      <c r="AH24" s="162"/>
    </row>
    <row r="25" spans="1:34" ht="15.5">
      <c r="A25" s="159"/>
      <c r="B25" s="159"/>
      <c r="C25" s="159"/>
      <c r="D25" s="159"/>
      <c r="E25" s="159"/>
      <c r="F25" s="101"/>
      <c r="G25" s="159"/>
      <c r="H25" s="86"/>
      <c r="I25" s="83"/>
      <c r="J25" s="161"/>
      <c r="K25" s="87"/>
      <c r="L25" s="87"/>
      <c r="M25" s="87"/>
      <c r="N25" s="162"/>
      <c r="O25" s="87"/>
      <c r="P25" s="87"/>
      <c r="Q25" s="94"/>
      <c r="R25" s="162"/>
      <c r="S25" s="162"/>
      <c r="T25" s="162"/>
      <c r="U25" s="162"/>
      <c r="V25" s="162"/>
      <c r="W25" s="162"/>
      <c r="X25" s="162"/>
      <c r="Y25" s="162"/>
      <c r="Z25" s="162"/>
      <c r="AA25" s="162"/>
      <c r="AB25" s="162"/>
      <c r="AC25" s="162"/>
      <c r="AD25" s="162"/>
      <c r="AE25" s="162"/>
      <c r="AF25" s="162"/>
      <c r="AG25" s="162"/>
      <c r="AH25" s="162"/>
    </row>
    <row r="26" spans="1:34" ht="15.5">
      <c r="A26" s="159"/>
      <c r="B26" s="159"/>
      <c r="C26" s="159"/>
      <c r="D26" s="159"/>
      <c r="E26" s="159"/>
      <c r="F26" s="160"/>
      <c r="G26" s="159"/>
      <c r="H26" s="86"/>
      <c r="I26" s="83"/>
      <c r="J26" s="161"/>
      <c r="K26" s="87"/>
      <c r="L26" s="87"/>
      <c r="M26" s="87"/>
      <c r="N26" s="162"/>
      <c r="O26" s="87"/>
      <c r="P26" s="87"/>
      <c r="Q26" s="94"/>
      <c r="R26" s="162"/>
      <c r="S26" s="162"/>
      <c r="T26" s="162"/>
      <c r="U26" s="162"/>
      <c r="V26" s="162"/>
      <c r="W26" s="162"/>
      <c r="X26" s="162"/>
      <c r="Y26" s="162"/>
      <c r="Z26" s="162"/>
      <c r="AA26" s="162"/>
      <c r="AB26" s="162"/>
      <c r="AC26" s="162"/>
      <c r="AD26" s="162"/>
      <c r="AE26" s="162"/>
      <c r="AF26" s="162"/>
      <c r="AG26" s="162"/>
      <c r="AH26" s="162"/>
    </row>
    <row r="27" spans="1:34" ht="15.5">
      <c r="A27" s="159"/>
      <c r="B27" s="159"/>
      <c r="C27" s="159"/>
      <c r="D27" s="159"/>
      <c r="E27" s="159"/>
      <c r="F27" s="101"/>
      <c r="G27" s="159"/>
      <c r="H27" s="86"/>
      <c r="I27" s="83"/>
      <c r="J27" s="161"/>
      <c r="K27" s="87"/>
      <c r="L27" s="87"/>
      <c r="M27" s="87"/>
      <c r="N27" s="162"/>
      <c r="O27" s="87"/>
      <c r="P27" s="87"/>
      <c r="Q27" s="94"/>
      <c r="R27" s="162"/>
      <c r="S27" s="162"/>
      <c r="T27" s="162"/>
      <c r="U27" s="162"/>
      <c r="V27" s="162"/>
      <c r="W27" s="162"/>
      <c r="X27" s="162"/>
      <c r="Y27" s="162"/>
      <c r="Z27" s="162"/>
      <c r="AA27" s="162"/>
      <c r="AB27" s="162"/>
      <c r="AC27" s="162"/>
      <c r="AD27" s="162"/>
      <c r="AE27" s="162"/>
      <c r="AF27" s="162"/>
      <c r="AG27" s="162"/>
      <c r="AH27" s="162"/>
    </row>
    <row r="28" spans="1:34" ht="15.5">
      <c r="A28" s="159"/>
      <c r="B28" s="159"/>
      <c r="C28" s="159"/>
      <c r="D28" s="159"/>
      <c r="E28" s="159"/>
      <c r="F28" s="101"/>
      <c r="G28" s="159"/>
      <c r="H28" s="86"/>
      <c r="I28" s="83"/>
      <c r="J28" s="161"/>
      <c r="K28" s="87"/>
      <c r="L28" s="87"/>
      <c r="M28" s="87"/>
      <c r="N28" s="162"/>
      <c r="O28" s="87"/>
      <c r="P28" s="87"/>
      <c r="Q28" s="94"/>
      <c r="R28" s="162"/>
      <c r="S28" s="162"/>
      <c r="T28" s="162"/>
      <c r="U28" s="162"/>
      <c r="V28" s="162"/>
      <c r="W28" s="162"/>
      <c r="X28" s="162"/>
      <c r="Y28" s="162"/>
      <c r="Z28" s="162"/>
      <c r="AA28" s="162"/>
      <c r="AB28" s="162"/>
      <c r="AC28" s="162"/>
      <c r="AD28" s="162"/>
      <c r="AE28" s="162"/>
      <c r="AF28" s="162"/>
      <c r="AG28" s="162"/>
      <c r="AH28" s="162"/>
    </row>
    <row r="29" spans="1:34" ht="15.5">
      <c r="A29" s="159"/>
      <c r="B29" s="159"/>
      <c r="C29" s="159"/>
      <c r="D29" s="159"/>
      <c r="E29" s="159"/>
      <c r="F29" s="160"/>
      <c r="G29" s="159"/>
      <c r="H29" s="86"/>
      <c r="I29" s="83"/>
      <c r="J29" s="161"/>
      <c r="K29" s="87"/>
      <c r="L29" s="87"/>
      <c r="M29" s="87"/>
      <c r="N29" s="162"/>
      <c r="O29" s="87"/>
      <c r="P29" s="87"/>
      <c r="Q29" s="94"/>
      <c r="R29" s="162"/>
      <c r="S29" s="162"/>
      <c r="T29" s="162"/>
      <c r="U29" s="162"/>
      <c r="V29" s="162"/>
      <c r="W29" s="162"/>
      <c r="X29" s="162"/>
      <c r="Y29" s="162"/>
      <c r="Z29" s="162"/>
      <c r="AA29" s="162"/>
      <c r="AB29" s="162"/>
      <c r="AC29" s="162"/>
      <c r="AD29" s="162"/>
      <c r="AE29" s="162"/>
      <c r="AF29" s="162"/>
      <c r="AG29" s="162"/>
      <c r="AH29" s="162"/>
    </row>
    <row r="30" spans="1:34" ht="15.5">
      <c r="A30" s="159"/>
      <c r="B30" s="159"/>
      <c r="C30" s="159"/>
      <c r="D30" s="159"/>
      <c r="E30" s="159"/>
      <c r="F30" s="101"/>
      <c r="G30" s="159"/>
      <c r="H30" s="86"/>
      <c r="I30" s="83"/>
      <c r="J30" s="161"/>
      <c r="K30" s="87"/>
      <c r="L30" s="87"/>
      <c r="M30" s="87"/>
      <c r="N30" s="162"/>
      <c r="O30" s="87"/>
      <c r="P30" s="87"/>
      <c r="Q30" s="94"/>
      <c r="R30" s="162"/>
      <c r="S30" s="162"/>
      <c r="T30" s="162"/>
      <c r="U30" s="162"/>
      <c r="V30" s="162"/>
      <c r="W30" s="162"/>
      <c r="X30" s="162"/>
      <c r="Y30" s="162"/>
      <c r="Z30" s="162"/>
      <c r="AA30" s="162"/>
      <c r="AB30" s="162"/>
      <c r="AC30" s="162"/>
      <c r="AD30" s="162"/>
      <c r="AE30" s="162"/>
      <c r="AF30" s="162"/>
      <c r="AG30" s="162"/>
      <c r="AH30" s="162"/>
    </row>
    <row r="31" spans="1:34" ht="15.5">
      <c r="A31" s="159"/>
      <c r="B31" s="159"/>
      <c r="C31" s="159"/>
      <c r="D31" s="159"/>
      <c r="E31" s="159"/>
      <c r="F31" s="101"/>
      <c r="G31" s="159"/>
      <c r="H31" s="86"/>
      <c r="I31" s="83"/>
      <c r="J31" s="161"/>
      <c r="K31" s="87"/>
      <c r="L31" s="87"/>
      <c r="M31" s="87"/>
      <c r="N31" s="162"/>
      <c r="O31" s="87"/>
      <c r="P31" s="87"/>
      <c r="Q31" s="94"/>
      <c r="R31" s="162"/>
      <c r="S31" s="162"/>
      <c r="T31" s="162"/>
      <c r="U31" s="162"/>
      <c r="V31" s="162"/>
      <c r="W31" s="162"/>
      <c r="X31" s="162"/>
      <c r="Y31" s="162"/>
      <c r="Z31" s="162"/>
      <c r="AA31" s="162"/>
      <c r="AB31" s="162"/>
      <c r="AC31" s="162"/>
      <c r="AD31" s="162"/>
      <c r="AE31" s="162"/>
      <c r="AF31" s="162"/>
      <c r="AG31" s="162"/>
      <c r="AH31" s="162"/>
    </row>
    <row r="32" spans="1:34" ht="15.5">
      <c r="A32" s="159"/>
      <c r="B32" s="159"/>
      <c r="C32" s="159"/>
      <c r="D32" s="159"/>
      <c r="E32" s="159"/>
      <c r="F32" s="160"/>
      <c r="G32" s="159"/>
      <c r="H32" s="86"/>
      <c r="I32" s="83"/>
      <c r="J32" s="161"/>
      <c r="K32" s="87"/>
      <c r="L32" s="87"/>
      <c r="M32" s="87"/>
      <c r="N32" s="162"/>
      <c r="O32" s="87"/>
      <c r="P32" s="87"/>
      <c r="Q32" s="94"/>
      <c r="R32" s="162"/>
      <c r="S32" s="162"/>
      <c r="T32" s="162"/>
      <c r="U32" s="162"/>
      <c r="V32" s="162"/>
      <c r="W32" s="162"/>
      <c r="X32" s="162"/>
      <c r="Y32" s="162"/>
      <c r="Z32" s="162"/>
      <c r="AA32" s="162"/>
      <c r="AB32" s="162"/>
      <c r="AC32" s="162"/>
      <c r="AD32" s="162"/>
      <c r="AE32" s="162"/>
      <c r="AF32" s="162"/>
      <c r="AG32" s="162"/>
      <c r="AH32" s="162"/>
    </row>
    <row r="33" spans="1:34" ht="15.5">
      <c r="A33" s="159"/>
      <c r="B33" s="159"/>
      <c r="C33" s="159"/>
      <c r="D33" s="159"/>
      <c r="E33" s="159"/>
      <c r="F33" s="101"/>
      <c r="G33" s="159"/>
      <c r="H33" s="86"/>
      <c r="I33" s="83"/>
      <c r="J33" s="161"/>
      <c r="K33" s="87"/>
      <c r="L33" s="87"/>
      <c r="M33" s="87"/>
      <c r="N33" s="162"/>
      <c r="O33" s="87"/>
      <c r="P33" s="87"/>
      <c r="Q33" s="94"/>
      <c r="R33" s="162"/>
      <c r="S33" s="162"/>
      <c r="T33" s="162"/>
      <c r="U33" s="162"/>
      <c r="V33" s="162"/>
      <c r="W33" s="162"/>
      <c r="X33" s="162"/>
      <c r="Y33" s="162"/>
      <c r="Z33" s="162"/>
      <c r="AA33" s="162"/>
      <c r="AB33" s="162"/>
      <c r="AC33" s="162"/>
      <c r="AD33" s="162"/>
      <c r="AE33" s="162"/>
      <c r="AF33" s="162"/>
      <c r="AG33" s="162"/>
      <c r="AH33" s="162"/>
    </row>
    <row r="34" spans="1:34" ht="15.5">
      <c r="A34" s="159"/>
      <c r="B34" s="159"/>
      <c r="C34" s="159"/>
      <c r="D34" s="159"/>
      <c r="E34" s="159"/>
      <c r="F34" s="101"/>
      <c r="G34" s="159"/>
      <c r="H34" s="86"/>
      <c r="I34" s="83"/>
      <c r="J34" s="161"/>
      <c r="K34" s="87"/>
      <c r="L34" s="87"/>
      <c r="M34" s="87"/>
      <c r="N34" s="162"/>
      <c r="O34" s="87"/>
      <c r="P34" s="87"/>
      <c r="Q34" s="94"/>
      <c r="R34" s="162"/>
      <c r="S34" s="162"/>
      <c r="T34" s="162"/>
      <c r="U34" s="162"/>
      <c r="V34" s="162"/>
      <c r="W34" s="162"/>
      <c r="X34" s="162"/>
      <c r="Y34" s="162"/>
      <c r="Z34" s="162"/>
      <c r="AA34" s="162"/>
      <c r="AB34" s="162"/>
      <c r="AC34" s="162"/>
      <c r="AD34" s="162"/>
      <c r="AE34" s="162"/>
      <c r="AF34" s="162"/>
      <c r="AG34" s="162"/>
      <c r="AH34" s="162"/>
    </row>
    <row r="35" spans="1:34" ht="15.5">
      <c r="A35" s="159"/>
      <c r="B35" s="159"/>
      <c r="C35" s="159"/>
      <c r="D35" s="159"/>
      <c r="E35" s="159"/>
      <c r="F35" s="160"/>
      <c r="G35" s="159"/>
      <c r="H35" s="86"/>
      <c r="I35" s="83"/>
      <c r="J35" s="161"/>
      <c r="K35" s="87"/>
      <c r="L35" s="87"/>
      <c r="M35" s="87"/>
      <c r="N35" s="162"/>
      <c r="O35" s="87"/>
      <c r="P35" s="87"/>
      <c r="Q35" s="94"/>
      <c r="R35" s="162"/>
      <c r="S35" s="162"/>
      <c r="T35" s="162"/>
      <c r="U35" s="162"/>
      <c r="V35" s="162"/>
      <c r="W35" s="162"/>
      <c r="X35" s="162"/>
      <c r="Y35" s="162"/>
      <c r="Z35" s="162"/>
      <c r="AA35" s="162"/>
      <c r="AB35" s="162"/>
      <c r="AC35" s="162"/>
      <c r="AD35" s="162"/>
      <c r="AE35" s="162"/>
      <c r="AF35" s="162"/>
      <c r="AG35" s="162"/>
      <c r="AH35" s="162"/>
    </row>
    <row r="36" spans="1:34" ht="15.5">
      <c r="A36" s="159"/>
      <c r="B36" s="159"/>
      <c r="C36" s="159"/>
      <c r="D36" s="159"/>
      <c r="E36" s="159"/>
      <c r="F36" s="101"/>
      <c r="G36" s="159"/>
      <c r="H36" s="86"/>
      <c r="I36" s="83"/>
      <c r="J36" s="161"/>
      <c r="K36" s="87"/>
      <c r="L36" s="87"/>
      <c r="M36" s="87"/>
      <c r="N36" s="162"/>
      <c r="O36" s="87"/>
      <c r="P36" s="87"/>
      <c r="Q36" s="94"/>
      <c r="R36" s="162"/>
      <c r="S36" s="162"/>
      <c r="T36" s="162"/>
      <c r="U36" s="162"/>
      <c r="V36" s="162"/>
      <c r="W36" s="162"/>
      <c r="X36" s="162"/>
      <c r="Y36" s="162"/>
      <c r="Z36" s="162"/>
      <c r="AA36" s="162"/>
      <c r="AB36" s="162"/>
      <c r="AC36" s="162"/>
      <c r="AD36" s="162"/>
      <c r="AE36" s="162"/>
      <c r="AF36" s="162"/>
      <c r="AG36" s="162"/>
      <c r="AH36" s="162"/>
    </row>
    <row r="37" spans="1:34" ht="15.5">
      <c r="A37" s="159"/>
      <c r="B37" s="159"/>
      <c r="C37" s="159"/>
      <c r="D37" s="159"/>
      <c r="E37" s="159"/>
      <c r="F37" s="101"/>
      <c r="G37" s="159"/>
      <c r="H37" s="86"/>
      <c r="I37" s="83"/>
      <c r="J37" s="161"/>
      <c r="K37" s="87"/>
      <c r="L37" s="87"/>
      <c r="M37" s="87"/>
      <c r="N37" s="162"/>
      <c r="O37" s="87"/>
      <c r="P37" s="87"/>
      <c r="Q37" s="94"/>
      <c r="R37" s="162"/>
      <c r="S37" s="162"/>
      <c r="T37" s="162"/>
      <c r="U37" s="162"/>
      <c r="V37" s="162"/>
      <c r="W37" s="162"/>
      <c r="X37" s="162"/>
      <c r="Y37" s="162"/>
      <c r="Z37" s="162"/>
      <c r="AA37" s="162"/>
      <c r="AB37" s="162"/>
      <c r="AC37" s="162"/>
      <c r="AD37" s="162"/>
      <c r="AE37" s="162"/>
      <c r="AF37" s="162"/>
      <c r="AG37" s="162"/>
      <c r="AH37" s="162"/>
    </row>
    <row r="38" spans="1:34" ht="15.5">
      <c r="A38" s="159"/>
      <c r="B38" s="159"/>
      <c r="C38" s="159"/>
      <c r="D38" s="159"/>
      <c r="E38" s="159"/>
      <c r="F38" s="160"/>
      <c r="G38" s="159"/>
      <c r="H38" s="86"/>
      <c r="I38" s="83"/>
      <c r="J38" s="161"/>
      <c r="K38" s="87"/>
      <c r="L38" s="87"/>
      <c r="M38" s="87"/>
      <c r="N38" s="162"/>
      <c r="O38" s="87"/>
      <c r="P38" s="87"/>
      <c r="Q38" s="94"/>
      <c r="R38" s="162"/>
      <c r="S38" s="162"/>
      <c r="T38" s="162"/>
      <c r="U38" s="162"/>
      <c r="V38" s="162"/>
      <c r="W38" s="162"/>
      <c r="X38" s="162"/>
      <c r="Y38" s="162"/>
      <c r="Z38" s="162"/>
      <c r="AA38" s="162"/>
      <c r="AB38" s="162"/>
      <c r="AC38" s="162"/>
      <c r="AD38" s="162"/>
      <c r="AE38" s="162"/>
      <c r="AF38" s="162"/>
      <c r="AG38" s="162"/>
      <c r="AH38" s="162"/>
    </row>
    <row r="39" spans="1:34" ht="15.5">
      <c r="A39" s="159"/>
      <c r="B39" s="159"/>
      <c r="C39" s="159"/>
      <c r="D39" s="159"/>
      <c r="E39" s="159"/>
      <c r="F39" s="101"/>
      <c r="G39" s="159"/>
      <c r="H39" s="86"/>
      <c r="I39" s="83"/>
      <c r="J39" s="161"/>
      <c r="K39" s="87"/>
      <c r="L39" s="87"/>
      <c r="M39" s="87"/>
      <c r="N39" s="162"/>
      <c r="O39" s="87"/>
      <c r="P39" s="87"/>
      <c r="Q39" s="94"/>
      <c r="R39" s="162"/>
      <c r="S39" s="162"/>
      <c r="T39" s="162"/>
      <c r="U39" s="162"/>
      <c r="V39" s="162"/>
      <c r="W39" s="162"/>
      <c r="X39" s="162"/>
      <c r="Y39" s="162"/>
      <c r="Z39" s="162"/>
      <c r="AA39" s="162"/>
      <c r="AB39" s="162"/>
      <c r="AC39" s="162"/>
      <c r="AD39" s="162"/>
      <c r="AE39" s="162"/>
      <c r="AF39" s="162"/>
      <c r="AG39" s="162"/>
      <c r="AH39" s="162"/>
    </row>
    <row r="40" spans="1:34" ht="15.5">
      <c r="A40" s="159"/>
      <c r="B40" s="159"/>
      <c r="C40" s="159"/>
      <c r="D40" s="159"/>
      <c r="E40" s="159"/>
      <c r="F40" s="101"/>
      <c r="G40" s="159"/>
      <c r="H40" s="86"/>
      <c r="I40" s="83"/>
      <c r="J40" s="161"/>
      <c r="K40" s="87"/>
      <c r="L40" s="87"/>
      <c r="M40" s="87"/>
      <c r="N40" s="162"/>
      <c r="O40" s="87"/>
      <c r="P40" s="87"/>
      <c r="Q40" s="94"/>
      <c r="R40" s="162"/>
      <c r="S40" s="162"/>
      <c r="T40" s="162"/>
      <c r="U40" s="162"/>
      <c r="V40" s="162"/>
      <c r="W40" s="162"/>
      <c r="X40" s="162"/>
      <c r="Y40" s="162"/>
      <c r="Z40" s="162"/>
      <c r="AA40" s="162"/>
      <c r="AB40" s="162"/>
      <c r="AC40" s="162"/>
      <c r="AD40" s="162"/>
      <c r="AE40" s="162"/>
      <c r="AF40" s="162"/>
      <c r="AG40" s="162"/>
      <c r="AH40" s="162"/>
    </row>
    <row r="41" spans="1:34" ht="15.5">
      <c r="A41" s="159"/>
      <c r="B41" s="159"/>
      <c r="C41" s="159"/>
      <c r="D41" s="159"/>
      <c r="E41" s="159"/>
      <c r="F41" s="160"/>
      <c r="G41" s="159"/>
      <c r="H41" s="86"/>
      <c r="I41" s="83"/>
      <c r="J41" s="161"/>
      <c r="K41" s="87"/>
      <c r="L41" s="87"/>
      <c r="M41" s="87"/>
      <c r="N41" s="162"/>
      <c r="O41" s="87"/>
      <c r="P41" s="87"/>
      <c r="Q41" s="94"/>
      <c r="R41" s="162"/>
      <c r="S41" s="162"/>
      <c r="T41" s="162"/>
      <c r="U41" s="162"/>
      <c r="V41" s="162"/>
      <c r="W41" s="162"/>
      <c r="X41" s="162"/>
      <c r="Y41" s="162"/>
      <c r="Z41" s="162"/>
      <c r="AA41" s="162"/>
      <c r="AB41" s="162"/>
      <c r="AC41" s="162"/>
      <c r="AD41" s="162"/>
      <c r="AE41" s="162"/>
      <c r="AF41" s="162"/>
      <c r="AG41" s="162"/>
      <c r="AH41" s="162"/>
    </row>
    <row r="42" spans="1:34" ht="15.5">
      <c r="A42" s="159"/>
      <c r="B42" s="159"/>
      <c r="C42" s="159"/>
      <c r="D42" s="159"/>
      <c r="E42" s="159"/>
      <c r="F42" s="101"/>
      <c r="G42" s="159"/>
      <c r="H42" s="86"/>
      <c r="I42" s="83"/>
      <c r="J42" s="161"/>
      <c r="K42" s="87"/>
      <c r="L42" s="87"/>
      <c r="M42" s="87"/>
      <c r="N42" s="162"/>
      <c r="O42" s="87"/>
      <c r="P42" s="87"/>
      <c r="Q42" s="94"/>
      <c r="R42" s="162"/>
      <c r="S42" s="162"/>
      <c r="T42" s="162"/>
      <c r="U42" s="162"/>
      <c r="V42" s="162"/>
      <c r="W42" s="162"/>
      <c r="X42" s="162"/>
      <c r="Y42" s="162"/>
      <c r="Z42" s="162"/>
      <c r="AA42" s="162"/>
      <c r="AB42" s="162"/>
      <c r="AC42" s="162"/>
      <c r="AD42" s="162"/>
      <c r="AE42" s="162"/>
      <c r="AF42" s="162"/>
      <c r="AG42" s="162"/>
      <c r="AH42" s="162"/>
    </row>
    <row r="43" spans="1:34" ht="15.5">
      <c r="A43" s="159"/>
      <c r="B43" s="159"/>
      <c r="C43" s="159"/>
      <c r="D43" s="159"/>
      <c r="E43" s="159"/>
      <c r="F43" s="101"/>
      <c r="G43" s="159"/>
      <c r="H43" s="86"/>
      <c r="I43" s="83"/>
      <c r="J43" s="161"/>
      <c r="K43" s="87"/>
      <c r="L43" s="87"/>
      <c r="M43" s="87"/>
      <c r="N43" s="162"/>
      <c r="O43" s="87"/>
      <c r="P43" s="87"/>
      <c r="Q43" s="94"/>
      <c r="R43" s="162"/>
      <c r="S43" s="162"/>
      <c r="T43" s="162"/>
      <c r="U43" s="162"/>
      <c r="V43" s="162"/>
      <c r="W43" s="162"/>
      <c r="X43" s="162"/>
      <c r="Y43" s="162"/>
      <c r="Z43" s="162"/>
      <c r="AA43" s="162"/>
      <c r="AB43" s="162"/>
      <c r="AC43" s="162"/>
      <c r="AD43" s="162"/>
      <c r="AE43" s="162"/>
      <c r="AF43" s="162"/>
      <c r="AG43" s="162"/>
      <c r="AH43" s="162"/>
    </row>
    <row r="44" spans="1:34" ht="15.5">
      <c r="A44" s="159"/>
      <c r="B44" s="159"/>
      <c r="C44" s="159"/>
      <c r="D44" s="159"/>
      <c r="E44" s="159"/>
      <c r="F44" s="160"/>
      <c r="G44" s="159"/>
      <c r="H44" s="86"/>
      <c r="I44" s="83"/>
      <c r="J44" s="161"/>
      <c r="K44" s="87"/>
      <c r="L44" s="87"/>
      <c r="M44" s="87"/>
      <c r="N44" s="162"/>
      <c r="O44" s="87"/>
      <c r="P44" s="87"/>
      <c r="Q44" s="94"/>
      <c r="R44" s="162"/>
      <c r="S44" s="162"/>
      <c r="T44" s="162"/>
      <c r="U44" s="162"/>
      <c r="V44" s="162"/>
      <c r="W44" s="162"/>
      <c r="X44" s="162"/>
      <c r="Y44" s="162"/>
      <c r="Z44" s="162"/>
      <c r="AA44" s="162"/>
      <c r="AB44" s="162"/>
      <c r="AC44" s="162"/>
      <c r="AD44" s="162"/>
      <c r="AE44" s="162"/>
      <c r="AF44" s="162"/>
      <c r="AG44" s="162"/>
      <c r="AH44" s="162"/>
    </row>
    <row r="45" spans="1:34" ht="15.5">
      <c r="A45" s="159"/>
      <c r="B45" s="159"/>
      <c r="C45" s="159"/>
      <c r="D45" s="159"/>
      <c r="E45" s="159"/>
      <c r="F45" s="101"/>
      <c r="G45" s="159"/>
      <c r="H45" s="86"/>
      <c r="I45" s="83"/>
      <c r="J45" s="161"/>
      <c r="K45" s="87"/>
      <c r="L45" s="87"/>
      <c r="M45" s="87"/>
      <c r="N45" s="162"/>
      <c r="O45" s="87"/>
      <c r="P45" s="87"/>
      <c r="Q45" s="94"/>
      <c r="R45" s="162"/>
      <c r="S45" s="162"/>
      <c r="T45" s="162"/>
      <c r="U45" s="162"/>
      <c r="V45" s="162"/>
      <c r="W45" s="162"/>
      <c r="X45" s="162"/>
      <c r="Y45" s="162"/>
      <c r="Z45" s="162"/>
      <c r="AA45" s="162"/>
      <c r="AB45" s="162"/>
      <c r="AC45" s="162"/>
      <c r="AD45" s="162"/>
      <c r="AE45" s="162"/>
      <c r="AF45" s="162"/>
      <c r="AG45" s="162"/>
      <c r="AH45" s="162"/>
    </row>
    <row r="46" spans="1:34" ht="15.5">
      <c r="A46" s="159"/>
      <c r="B46" s="159"/>
      <c r="C46" s="159"/>
      <c r="D46" s="159"/>
      <c r="E46" s="159"/>
      <c r="F46" s="101"/>
      <c r="G46" s="159"/>
      <c r="H46" s="86"/>
      <c r="I46" s="83"/>
      <c r="J46" s="161"/>
      <c r="K46" s="87"/>
      <c r="L46" s="87"/>
      <c r="M46" s="87"/>
      <c r="N46" s="162"/>
      <c r="O46" s="87"/>
      <c r="P46" s="87"/>
      <c r="Q46" s="94"/>
      <c r="R46" s="162"/>
      <c r="S46" s="162"/>
      <c r="T46" s="162"/>
      <c r="U46" s="162"/>
      <c r="V46" s="162"/>
      <c r="W46" s="162"/>
      <c r="X46" s="162"/>
      <c r="Y46" s="162"/>
      <c r="Z46" s="162"/>
      <c r="AA46" s="162"/>
      <c r="AB46" s="162"/>
      <c r="AC46" s="162"/>
      <c r="AD46" s="162"/>
      <c r="AE46" s="162"/>
      <c r="AF46" s="162"/>
      <c r="AG46" s="162"/>
      <c r="AH46" s="162"/>
    </row>
    <row r="47" spans="1:34" ht="15.5">
      <c r="A47" s="159"/>
      <c r="B47" s="159"/>
      <c r="C47" s="159"/>
      <c r="D47" s="159"/>
      <c r="E47" s="159"/>
      <c r="F47" s="160"/>
      <c r="G47" s="159"/>
      <c r="H47" s="86"/>
      <c r="I47" s="83"/>
      <c r="J47" s="161"/>
      <c r="K47" s="87"/>
      <c r="L47" s="87"/>
      <c r="M47" s="87"/>
      <c r="N47" s="162"/>
      <c r="O47" s="87"/>
      <c r="P47" s="87"/>
      <c r="Q47" s="94"/>
      <c r="R47" s="162"/>
      <c r="S47" s="162"/>
      <c r="T47" s="162"/>
      <c r="U47" s="162"/>
      <c r="V47" s="162"/>
      <c r="W47" s="162"/>
      <c r="X47" s="162"/>
      <c r="Y47" s="162"/>
      <c r="Z47" s="162"/>
      <c r="AA47" s="162"/>
      <c r="AB47" s="162"/>
      <c r="AC47" s="162"/>
      <c r="AD47" s="162"/>
      <c r="AE47" s="162"/>
      <c r="AF47" s="162"/>
      <c r="AG47" s="162"/>
      <c r="AH47" s="162"/>
    </row>
    <row r="48" spans="1:34" ht="15.5">
      <c r="A48" s="159"/>
      <c r="B48" s="159"/>
      <c r="C48" s="159"/>
      <c r="D48" s="159"/>
      <c r="E48" s="159"/>
      <c r="F48" s="101"/>
      <c r="G48" s="159"/>
      <c r="H48" s="86"/>
      <c r="I48" s="83"/>
      <c r="J48" s="161"/>
      <c r="K48" s="87"/>
      <c r="L48" s="87"/>
      <c r="M48" s="87"/>
      <c r="N48" s="162"/>
      <c r="O48" s="87"/>
      <c r="P48" s="87"/>
      <c r="Q48" s="94"/>
      <c r="R48" s="162"/>
      <c r="S48" s="162"/>
      <c r="T48" s="162"/>
      <c r="U48" s="162"/>
      <c r="V48" s="162"/>
      <c r="W48" s="162"/>
      <c r="X48" s="162"/>
      <c r="Y48" s="162"/>
      <c r="Z48" s="162"/>
      <c r="AA48" s="162"/>
      <c r="AB48" s="162"/>
      <c r="AC48" s="162"/>
      <c r="AD48" s="162"/>
      <c r="AE48" s="162"/>
      <c r="AF48" s="162"/>
      <c r="AG48" s="162"/>
      <c r="AH48" s="162"/>
    </row>
    <row r="49" spans="1:34" ht="15.5">
      <c r="A49" s="159"/>
      <c r="B49" s="159"/>
      <c r="C49" s="159"/>
      <c r="D49" s="159"/>
      <c r="E49" s="159"/>
      <c r="F49" s="101"/>
      <c r="G49" s="159"/>
      <c r="H49" s="86"/>
      <c r="I49" s="83"/>
      <c r="J49" s="161"/>
      <c r="K49" s="87"/>
      <c r="L49" s="87"/>
      <c r="M49" s="87"/>
      <c r="N49" s="162"/>
      <c r="O49" s="87"/>
      <c r="P49" s="87"/>
      <c r="Q49" s="94"/>
      <c r="R49" s="162"/>
      <c r="S49" s="162"/>
      <c r="T49" s="162"/>
      <c r="U49" s="162"/>
      <c r="V49" s="162"/>
      <c r="W49" s="162"/>
      <c r="X49" s="162"/>
      <c r="Y49" s="162"/>
      <c r="Z49" s="162"/>
      <c r="AA49" s="162"/>
      <c r="AB49" s="162"/>
      <c r="AC49" s="162"/>
      <c r="AD49" s="162"/>
      <c r="AE49" s="162"/>
      <c r="AF49" s="162"/>
      <c r="AG49" s="162"/>
      <c r="AH49" s="162"/>
    </row>
    <row r="50" spans="1:34" ht="15.5">
      <c r="A50" s="159"/>
      <c r="B50" s="159"/>
      <c r="C50" s="159"/>
      <c r="D50" s="159"/>
      <c r="E50" s="159"/>
      <c r="F50" s="160"/>
      <c r="G50" s="159"/>
      <c r="H50" s="86"/>
      <c r="I50" s="83"/>
      <c r="J50" s="161"/>
      <c r="K50" s="87"/>
      <c r="L50" s="87"/>
      <c r="M50" s="87"/>
      <c r="N50" s="162"/>
      <c r="O50" s="87"/>
      <c r="P50" s="87"/>
      <c r="Q50" s="94"/>
      <c r="R50" s="162"/>
      <c r="S50" s="162"/>
      <c r="T50" s="162"/>
      <c r="U50" s="162"/>
      <c r="V50" s="162"/>
      <c r="W50" s="162"/>
      <c r="X50" s="162"/>
      <c r="Y50" s="162"/>
      <c r="Z50" s="162"/>
      <c r="AA50" s="162"/>
      <c r="AB50" s="162"/>
      <c r="AC50" s="162"/>
      <c r="AD50" s="162"/>
      <c r="AE50" s="162"/>
      <c r="AF50" s="162"/>
      <c r="AG50" s="162"/>
      <c r="AH50" s="162"/>
    </row>
    <row r="51" spans="1:34" ht="15.5">
      <c r="A51" s="159"/>
      <c r="B51" s="159"/>
      <c r="C51" s="159"/>
      <c r="D51" s="159"/>
      <c r="E51" s="159"/>
      <c r="F51" s="101"/>
      <c r="G51" s="159"/>
      <c r="H51" s="86"/>
      <c r="I51" s="165"/>
      <c r="J51" s="165"/>
      <c r="K51" s="87"/>
      <c r="L51" s="87"/>
      <c r="M51" s="87"/>
      <c r="N51" s="162"/>
      <c r="O51" s="87"/>
      <c r="P51" s="87"/>
      <c r="Q51" s="94"/>
      <c r="R51" s="162"/>
      <c r="S51" s="162"/>
      <c r="T51" s="162"/>
      <c r="U51" s="162"/>
      <c r="V51" s="162"/>
      <c r="W51" s="162"/>
      <c r="X51" s="162"/>
      <c r="Y51" s="162"/>
      <c r="Z51" s="162"/>
      <c r="AA51" s="162"/>
      <c r="AB51" s="162"/>
      <c r="AC51" s="162"/>
      <c r="AD51" s="162"/>
      <c r="AE51" s="162"/>
      <c r="AF51" s="162"/>
      <c r="AG51" s="162"/>
      <c r="AH51" s="162"/>
    </row>
    <row r="52" spans="1:34" ht="15.5">
      <c r="A52" s="159"/>
      <c r="B52" s="159"/>
      <c r="C52" s="159"/>
      <c r="D52" s="159"/>
      <c r="E52" s="159"/>
      <c r="F52" s="101"/>
      <c r="G52" s="159"/>
      <c r="H52" s="86"/>
      <c r="I52" s="83"/>
      <c r="J52" s="161"/>
      <c r="K52" s="87"/>
      <c r="L52" s="87"/>
      <c r="M52" s="87"/>
      <c r="N52" s="162"/>
      <c r="O52" s="87"/>
      <c r="P52" s="87"/>
      <c r="Q52" s="94"/>
      <c r="R52" s="162"/>
      <c r="S52" s="162"/>
      <c r="T52" s="162"/>
      <c r="U52" s="162"/>
      <c r="V52" s="162"/>
      <c r="W52" s="162"/>
      <c r="X52" s="162"/>
      <c r="Y52" s="162"/>
      <c r="Z52" s="162"/>
      <c r="AA52" s="162"/>
      <c r="AB52" s="162"/>
      <c r="AC52" s="162"/>
      <c r="AD52" s="162"/>
      <c r="AE52" s="162"/>
      <c r="AF52" s="162"/>
      <c r="AG52" s="162"/>
      <c r="AH52" s="162"/>
    </row>
    <row r="53" spans="1:34" ht="15.5">
      <c r="A53" s="159"/>
      <c r="B53" s="159"/>
      <c r="C53" s="159"/>
      <c r="D53" s="159"/>
      <c r="E53" s="159"/>
      <c r="F53" s="101"/>
      <c r="G53" s="159"/>
      <c r="H53" s="86"/>
      <c r="I53" s="83"/>
      <c r="J53" s="161"/>
      <c r="K53" s="87"/>
      <c r="L53" s="87"/>
      <c r="M53" s="87"/>
      <c r="N53" s="162"/>
      <c r="O53" s="87"/>
      <c r="P53" s="87"/>
      <c r="Q53" s="94"/>
      <c r="R53" s="162"/>
      <c r="S53" s="162"/>
      <c r="T53" s="162"/>
      <c r="U53" s="162"/>
      <c r="V53" s="162"/>
      <c r="W53" s="163"/>
      <c r="X53" s="163"/>
      <c r="Y53" s="162"/>
      <c r="Z53" s="162"/>
      <c r="AA53" s="162"/>
      <c r="AB53" s="162"/>
      <c r="AC53" s="162"/>
      <c r="AD53" s="162"/>
      <c r="AE53" s="162"/>
      <c r="AF53" s="162"/>
      <c r="AG53" s="162"/>
      <c r="AH53" s="162"/>
    </row>
    <row r="54" spans="1:34" ht="15.5">
      <c r="A54" s="159"/>
      <c r="B54" s="159"/>
      <c r="C54" s="159"/>
      <c r="D54" s="159"/>
      <c r="E54" s="159"/>
      <c r="F54" s="101"/>
      <c r="G54" s="159"/>
      <c r="H54" s="86"/>
      <c r="I54" s="83"/>
      <c r="J54" s="161"/>
      <c r="K54" s="87"/>
      <c r="L54" s="87"/>
      <c r="M54" s="87"/>
      <c r="N54" s="162"/>
      <c r="O54" s="87"/>
      <c r="P54" s="87"/>
      <c r="Q54" s="94"/>
      <c r="R54" s="162"/>
      <c r="S54" s="162"/>
      <c r="T54" s="162"/>
      <c r="U54" s="162"/>
      <c r="V54" s="162"/>
      <c r="W54" s="163"/>
      <c r="X54" s="163"/>
      <c r="Y54" s="162"/>
      <c r="Z54" s="162"/>
      <c r="AA54" s="162"/>
      <c r="AB54" s="162"/>
      <c r="AC54" s="162"/>
      <c r="AD54" s="162"/>
      <c r="AE54" s="162"/>
      <c r="AF54" s="162"/>
      <c r="AG54" s="162"/>
      <c r="AH54" s="162"/>
    </row>
    <row r="55" spans="1:34" ht="15.5">
      <c r="A55" s="159"/>
      <c r="B55" s="159"/>
      <c r="C55" s="159"/>
      <c r="D55" s="159"/>
      <c r="E55" s="159"/>
      <c r="F55" s="101"/>
      <c r="G55" s="159"/>
      <c r="H55" s="86"/>
      <c r="I55" s="83"/>
      <c r="J55" s="161"/>
      <c r="K55" s="87"/>
      <c r="L55" s="87"/>
      <c r="M55" s="87"/>
      <c r="N55" s="162"/>
      <c r="O55" s="87"/>
      <c r="P55" s="87"/>
      <c r="Q55" s="94"/>
      <c r="R55" s="162"/>
      <c r="S55" s="162"/>
      <c r="T55" s="162"/>
      <c r="U55" s="162"/>
      <c r="V55" s="162"/>
      <c r="W55" s="163"/>
      <c r="X55" s="163"/>
      <c r="Y55" s="162"/>
      <c r="Z55" s="162"/>
      <c r="AA55" s="162"/>
      <c r="AB55" s="162"/>
      <c r="AC55" s="162"/>
      <c r="AD55" s="162"/>
      <c r="AE55" s="162"/>
      <c r="AF55" s="162"/>
      <c r="AG55" s="162"/>
      <c r="AH55" s="162"/>
    </row>
    <row r="56" spans="1:34" ht="15.5">
      <c r="A56" s="159"/>
      <c r="B56" s="159"/>
      <c r="C56" s="159"/>
      <c r="D56" s="159"/>
      <c r="E56" s="159"/>
      <c r="F56" s="101"/>
      <c r="G56" s="159"/>
      <c r="H56" s="86"/>
      <c r="I56" s="83"/>
      <c r="J56" s="161"/>
      <c r="K56" s="87"/>
      <c r="L56" s="87"/>
      <c r="M56" s="87"/>
      <c r="N56" s="162"/>
      <c r="O56" s="87"/>
      <c r="P56" s="87"/>
      <c r="Q56" s="94"/>
      <c r="R56" s="162"/>
      <c r="S56" s="162"/>
      <c r="T56" s="162"/>
      <c r="U56" s="162"/>
      <c r="V56" s="162"/>
      <c r="W56" s="163"/>
      <c r="X56" s="163"/>
      <c r="Y56" s="162"/>
      <c r="Z56" s="162"/>
      <c r="AA56" s="162"/>
      <c r="AB56" s="162"/>
      <c r="AC56" s="162"/>
      <c r="AD56" s="162"/>
      <c r="AE56" s="162"/>
      <c r="AF56" s="162"/>
      <c r="AG56" s="162"/>
      <c r="AH56" s="162"/>
    </row>
    <row r="57" spans="1:34" ht="15.5">
      <c r="A57" s="159"/>
      <c r="B57" s="159"/>
      <c r="C57" s="159"/>
      <c r="D57" s="159"/>
      <c r="E57" s="159"/>
      <c r="F57" s="101"/>
      <c r="G57" s="159"/>
      <c r="H57" s="86"/>
      <c r="I57" s="83"/>
      <c r="J57" s="161"/>
      <c r="K57" s="87"/>
      <c r="L57" s="87"/>
      <c r="M57" s="87"/>
      <c r="N57" s="162"/>
      <c r="O57" s="87"/>
      <c r="P57" s="87"/>
      <c r="Q57" s="94"/>
      <c r="R57" s="162"/>
      <c r="S57" s="162"/>
      <c r="T57" s="162"/>
      <c r="U57" s="162"/>
      <c r="V57" s="162"/>
      <c r="W57" s="163"/>
      <c r="X57" s="163"/>
      <c r="Y57" s="162"/>
      <c r="Z57" s="162"/>
      <c r="AA57" s="162"/>
      <c r="AB57" s="162"/>
      <c r="AC57" s="162"/>
      <c r="AD57" s="162"/>
      <c r="AE57" s="162"/>
      <c r="AF57" s="162"/>
      <c r="AG57" s="162"/>
      <c r="AH57" s="162"/>
    </row>
    <row r="58" spans="1:34" ht="15.5">
      <c r="A58" s="159"/>
      <c r="B58" s="159"/>
      <c r="C58" s="159"/>
      <c r="D58" s="159"/>
      <c r="E58" s="159"/>
      <c r="F58" s="101"/>
      <c r="G58" s="159"/>
      <c r="H58" s="86"/>
      <c r="I58" s="83"/>
      <c r="J58" s="161"/>
      <c r="K58" s="87"/>
      <c r="L58" s="87"/>
      <c r="M58" s="87"/>
      <c r="N58" s="162"/>
      <c r="O58" s="87"/>
      <c r="P58" s="87"/>
      <c r="Q58" s="94"/>
      <c r="R58" s="162"/>
      <c r="S58" s="162"/>
      <c r="T58" s="162"/>
      <c r="U58" s="162"/>
      <c r="V58" s="162"/>
      <c r="W58" s="163"/>
      <c r="X58" s="163"/>
      <c r="Y58" s="162"/>
      <c r="Z58" s="162"/>
      <c r="AA58" s="162"/>
      <c r="AB58" s="162"/>
      <c r="AC58" s="162"/>
      <c r="AD58" s="162"/>
      <c r="AE58" s="162"/>
      <c r="AF58" s="162"/>
      <c r="AG58" s="162"/>
      <c r="AH58" s="162"/>
    </row>
    <row r="59" spans="1:34" ht="15.5">
      <c r="A59" s="159"/>
      <c r="B59" s="159"/>
      <c r="C59" s="159"/>
      <c r="D59" s="159"/>
      <c r="E59" s="159"/>
      <c r="F59" s="101"/>
      <c r="G59" s="159"/>
      <c r="H59" s="86"/>
      <c r="I59" s="83"/>
      <c r="J59" s="161"/>
      <c r="K59" s="87"/>
      <c r="L59" s="87"/>
      <c r="M59" s="87"/>
      <c r="N59" s="162"/>
      <c r="O59" s="87"/>
      <c r="P59" s="87"/>
      <c r="Q59" s="94"/>
      <c r="R59" s="162"/>
      <c r="S59" s="162"/>
      <c r="T59" s="162"/>
      <c r="U59" s="162"/>
      <c r="V59" s="162"/>
      <c r="W59" s="162"/>
      <c r="X59" s="162"/>
      <c r="Y59" s="162"/>
      <c r="Z59" s="162"/>
      <c r="AA59" s="162"/>
      <c r="AB59" s="162"/>
      <c r="AC59" s="162"/>
      <c r="AD59" s="162"/>
      <c r="AE59" s="162"/>
      <c r="AF59" s="162"/>
      <c r="AG59" s="162"/>
      <c r="AH59" s="162"/>
    </row>
    <row r="60" spans="1:34" ht="15.5">
      <c r="A60" s="159"/>
      <c r="B60" s="159"/>
      <c r="C60" s="159"/>
      <c r="D60" s="159"/>
      <c r="E60" s="159"/>
      <c r="F60" s="101"/>
      <c r="G60" s="159"/>
      <c r="H60" s="86"/>
      <c r="I60" s="83"/>
      <c r="J60" s="161"/>
      <c r="K60" s="87"/>
      <c r="L60" s="87"/>
      <c r="M60" s="87"/>
      <c r="N60" s="162"/>
      <c r="O60" s="87"/>
      <c r="P60" s="87"/>
      <c r="Q60" s="94"/>
      <c r="R60" s="162"/>
      <c r="S60" s="162"/>
      <c r="T60" s="162"/>
      <c r="U60" s="162"/>
      <c r="V60" s="162"/>
      <c r="W60" s="162"/>
      <c r="X60" s="162"/>
      <c r="Y60" s="162"/>
      <c r="Z60" s="162"/>
      <c r="AA60" s="162"/>
      <c r="AB60" s="162"/>
      <c r="AC60" s="162"/>
      <c r="AD60" s="162"/>
      <c r="AE60" s="162"/>
      <c r="AF60" s="162"/>
      <c r="AG60" s="162"/>
      <c r="AH60" s="162"/>
    </row>
    <row r="61" spans="1:34" ht="15.5">
      <c r="A61" s="159"/>
      <c r="B61" s="159"/>
      <c r="C61" s="159"/>
      <c r="D61" s="159"/>
      <c r="E61" s="159"/>
      <c r="F61" s="101"/>
      <c r="G61" s="159"/>
      <c r="H61" s="86"/>
      <c r="I61" s="83"/>
      <c r="J61" s="161"/>
      <c r="K61" s="87"/>
      <c r="L61" s="87"/>
      <c r="M61" s="87"/>
      <c r="N61" s="162"/>
      <c r="O61" s="87"/>
      <c r="P61" s="87"/>
      <c r="Q61" s="94"/>
      <c r="R61" s="162"/>
      <c r="S61" s="162"/>
      <c r="T61" s="162"/>
      <c r="U61" s="162"/>
      <c r="V61" s="162"/>
      <c r="W61" s="162"/>
      <c r="X61" s="162"/>
      <c r="Y61" s="162"/>
      <c r="Z61" s="162"/>
      <c r="AA61" s="162"/>
      <c r="AB61" s="162"/>
      <c r="AC61" s="162"/>
      <c r="AD61" s="162"/>
      <c r="AE61" s="162"/>
      <c r="AF61" s="162"/>
      <c r="AG61" s="162"/>
      <c r="AH61" s="162"/>
    </row>
    <row r="62" spans="1:34" ht="15.5">
      <c r="A62" s="159"/>
      <c r="B62" s="159"/>
      <c r="C62" s="159"/>
      <c r="D62" s="159"/>
      <c r="E62" s="159"/>
      <c r="F62" s="101"/>
      <c r="G62" s="159"/>
      <c r="H62" s="86"/>
      <c r="I62" s="83"/>
      <c r="J62" s="161"/>
      <c r="K62" s="87"/>
      <c r="L62" s="87"/>
      <c r="M62" s="87"/>
      <c r="N62" s="162"/>
      <c r="O62" s="87"/>
      <c r="P62" s="87"/>
      <c r="Q62" s="94"/>
      <c r="R62" s="162"/>
      <c r="S62" s="162"/>
      <c r="T62" s="162"/>
      <c r="U62" s="162"/>
      <c r="V62" s="162"/>
      <c r="W62" s="162"/>
      <c r="X62" s="162"/>
      <c r="Y62" s="162"/>
      <c r="Z62" s="162"/>
      <c r="AA62" s="162"/>
      <c r="AB62" s="162"/>
      <c r="AC62" s="162"/>
      <c r="AD62" s="162"/>
      <c r="AE62" s="162"/>
      <c r="AF62" s="162"/>
      <c r="AG62" s="162"/>
      <c r="AH62" s="162"/>
    </row>
    <row r="63" spans="1:34" ht="15.5">
      <c r="A63" s="159"/>
      <c r="B63" s="159"/>
      <c r="C63" s="159"/>
      <c r="D63" s="159"/>
      <c r="E63" s="159"/>
      <c r="F63" s="101"/>
      <c r="G63" s="159"/>
      <c r="H63" s="86"/>
      <c r="I63" s="83"/>
      <c r="J63" s="161"/>
      <c r="K63" s="87"/>
      <c r="L63" s="87"/>
      <c r="M63" s="87"/>
      <c r="N63" s="162"/>
      <c r="O63" s="87"/>
      <c r="P63" s="87"/>
      <c r="Q63" s="94"/>
      <c r="R63" s="162"/>
      <c r="S63" s="162"/>
      <c r="T63" s="162"/>
      <c r="U63" s="162"/>
      <c r="V63" s="162"/>
      <c r="W63" s="162"/>
      <c r="X63" s="162"/>
      <c r="Y63" s="162"/>
      <c r="Z63" s="162"/>
      <c r="AA63" s="162"/>
      <c r="AB63" s="162"/>
      <c r="AC63" s="162"/>
      <c r="AD63" s="162"/>
      <c r="AE63" s="162"/>
      <c r="AF63" s="162"/>
      <c r="AG63" s="162"/>
      <c r="AH63" s="162"/>
    </row>
    <row r="64" spans="1:34" ht="15.5">
      <c r="A64" s="159"/>
      <c r="B64" s="159"/>
      <c r="C64" s="159"/>
      <c r="D64" s="159"/>
      <c r="E64" s="159"/>
      <c r="F64" s="101"/>
      <c r="G64" s="159"/>
      <c r="H64" s="86"/>
      <c r="I64" s="83"/>
      <c r="J64" s="161"/>
      <c r="K64" s="87"/>
      <c r="L64" s="87"/>
      <c r="M64" s="87"/>
      <c r="N64" s="162"/>
      <c r="O64" s="87"/>
      <c r="P64" s="87"/>
      <c r="Q64" s="94"/>
      <c r="R64" s="162"/>
      <c r="S64" s="162"/>
      <c r="T64" s="162"/>
      <c r="U64" s="162"/>
      <c r="V64" s="162"/>
      <c r="W64" s="162"/>
      <c r="X64" s="162"/>
      <c r="Y64" s="162"/>
      <c r="Z64" s="162"/>
      <c r="AA64" s="162"/>
      <c r="AB64" s="162"/>
      <c r="AC64" s="162"/>
      <c r="AD64" s="162"/>
      <c r="AE64" s="162"/>
      <c r="AF64" s="162"/>
      <c r="AG64" s="162"/>
      <c r="AH64" s="162"/>
    </row>
    <row r="65" spans="1:34" ht="15.5">
      <c r="A65" s="159"/>
      <c r="B65" s="159"/>
      <c r="C65" s="159"/>
      <c r="D65" s="159"/>
      <c r="E65" s="159"/>
      <c r="F65" s="101"/>
      <c r="G65" s="159"/>
      <c r="H65" s="86"/>
      <c r="I65" s="83"/>
      <c r="J65" s="161"/>
      <c r="K65" s="87"/>
      <c r="L65" s="87"/>
      <c r="M65" s="87"/>
      <c r="N65" s="162"/>
      <c r="O65" s="87"/>
      <c r="P65" s="87"/>
      <c r="Q65" s="94"/>
      <c r="R65" s="162"/>
      <c r="S65" s="162"/>
      <c r="T65" s="162"/>
      <c r="U65" s="162"/>
      <c r="V65" s="162"/>
      <c r="W65" s="162"/>
      <c r="X65" s="162"/>
      <c r="Y65" s="162"/>
      <c r="Z65" s="162"/>
      <c r="AA65" s="162"/>
      <c r="AB65" s="162"/>
      <c r="AC65" s="162"/>
      <c r="AD65" s="162"/>
      <c r="AE65" s="162"/>
      <c r="AF65" s="162"/>
      <c r="AG65" s="162"/>
      <c r="AH65" s="162"/>
    </row>
    <row r="66" spans="1:34" ht="15.5">
      <c r="A66" s="159"/>
      <c r="B66" s="159"/>
      <c r="C66" s="159"/>
      <c r="D66" s="159"/>
      <c r="E66" s="159"/>
      <c r="F66" s="101"/>
      <c r="G66" s="159"/>
      <c r="H66" s="86"/>
      <c r="I66" s="83"/>
      <c r="J66" s="161"/>
      <c r="K66" s="87"/>
      <c r="L66" s="87"/>
      <c r="M66" s="87"/>
      <c r="N66" s="162"/>
      <c r="O66" s="87"/>
      <c r="P66" s="87"/>
      <c r="Q66" s="94"/>
      <c r="R66" s="162"/>
      <c r="S66" s="162"/>
      <c r="T66" s="162"/>
      <c r="U66" s="162"/>
      <c r="V66" s="162"/>
      <c r="W66" s="162"/>
      <c r="X66" s="162"/>
      <c r="Y66" s="162"/>
      <c r="Z66" s="162"/>
      <c r="AA66" s="162"/>
      <c r="AB66" s="162"/>
      <c r="AC66" s="162"/>
      <c r="AD66" s="162"/>
      <c r="AE66" s="162"/>
      <c r="AF66" s="162"/>
      <c r="AG66" s="162"/>
      <c r="AH66" s="162"/>
    </row>
    <row r="67" spans="1:34" ht="15.5">
      <c r="A67" s="159"/>
      <c r="B67" s="159"/>
      <c r="C67" s="159"/>
      <c r="D67" s="159"/>
      <c r="E67" s="159"/>
      <c r="F67" s="101"/>
      <c r="G67" s="159"/>
      <c r="H67" s="86"/>
      <c r="I67" s="83"/>
      <c r="J67" s="161"/>
      <c r="K67" s="87"/>
      <c r="L67" s="87"/>
      <c r="M67" s="87"/>
      <c r="N67" s="162"/>
      <c r="O67" s="87"/>
      <c r="P67" s="87"/>
      <c r="Q67" s="94"/>
      <c r="R67" s="162"/>
      <c r="S67" s="162"/>
      <c r="T67" s="162"/>
      <c r="U67" s="162"/>
      <c r="V67" s="162"/>
      <c r="W67" s="162"/>
      <c r="X67" s="162"/>
      <c r="Y67" s="162"/>
      <c r="Z67" s="162"/>
      <c r="AA67" s="162"/>
      <c r="AB67" s="162"/>
      <c r="AC67" s="162"/>
      <c r="AD67" s="162"/>
      <c r="AE67" s="162"/>
      <c r="AF67" s="162"/>
      <c r="AG67" s="162"/>
      <c r="AH67" s="162"/>
    </row>
    <row r="68" spans="1:34" ht="15.5">
      <c r="A68" s="159"/>
      <c r="B68" s="159"/>
      <c r="C68" s="159"/>
      <c r="D68" s="159"/>
      <c r="E68" s="159"/>
      <c r="F68" s="101"/>
      <c r="G68" s="159"/>
      <c r="H68" s="86"/>
      <c r="I68" s="83"/>
      <c r="J68" s="161"/>
      <c r="K68" s="87"/>
      <c r="L68" s="87"/>
      <c r="M68" s="87"/>
      <c r="N68" s="162"/>
      <c r="O68" s="87"/>
      <c r="P68" s="87"/>
      <c r="Q68" s="94"/>
      <c r="R68" s="162"/>
      <c r="S68" s="162"/>
      <c r="T68" s="162"/>
      <c r="U68" s="162"/>
      <c r="V68" s="162"/>
      <c r="W68" s="162"/>
      <c r="X68" s="162"/>
      <c r="Y68" s="162"/>
      <c r="Z68" s="162"/>
      <c r="AA68" s="162"/>
      <c r="AB68" s="162"/>
      <c r="AC68" s="162"/>
      <c r="AD68" s="162"/>
      <c r="AE68" s="162"/>
      <c r="AF68" s="162"/>
      <c r="AG68" s="162"/>
      <c r="AH68" s="162"/>
    </row>
    <row r="69" spans="1:34" ht="15.5">
      <c r="A69" s="159"/>
      <c r="B69" s="159"/>
      <c r="C69" s="159"/>
      <c r="D69" s="159"/>
      <c r="E69" s="159"/>
      <c r="F69" s="101"/>
      <c r="G69" s="159"/>
      <c r="H69" s="86"/>
      <c r="I69" s="83"/>
      <c r="J69" s="161"/>
      <c r="K69" s="87"/>
      <c r="L69" s="87"/>
      <c r="M69" s="87"/>
      <c r="N69" s="162"/>
      <c r="O69" s="87"/>
      <c r="P69" s="87"/>
      <c r="Q69" s="94"/>
      <c r="R69" s="162"/>
      <c r="S69" s="162"/>
      <c r="T69" s="162"/>
      <c r="U69" s="162"/>
      <c r="V69" s="162"/>
      <c r="W69" s="162"/>
      <c r="X69" s="162"/>
      <c r="Y69" s="162"/>
      <c r="Z69" s="162"/>
      <c r="AA69" s="162"/>
      <c r="AB69" s="162"/>
      <c r="AC69" s="162"/>
      <c r="AD69" s="162"/>
      <c r="AE69" s="162"/>
      <c r="AF69" s="162"/>
      <c r="AG69" s="162"/>
      <c r="AH69" s="162"/>
    </row>
    <row r="70" spans="1:34" ht="15.5">
      <c r="A70" s="159"/>
      <c r="B70" s="159"/>
      <c r="C70" s="159"/>
      <c r="D70" s="159"/>
      <c r="E70" s="159"/>
      <c r="F70" s="101"/>
      <c r="G70" s="159"/>
      <c r="H70" s="86"/>
      <c r="I70" s="83"/>
      <c r="J70" s="161"/>
      <c r="K70" s="87"/>
      <c r="L70" s="87"/>
      <c r="M70" s="87"/>
      <c r="N70" s="162"/>
      <c r="O70" s="87"/>
      <c r="P70" s="87"/>
      <c r="Q70" s="94"/>
      <c r="R70" s="162"/>
      <c r="S70" s="162"/>
      <c r="T70" s="162"/>
      <c r="U70" s="162"/>
      <c r="V70" s="162"/>
      <c r="W70" s="162"/>
      <c r="X70" s="162"/>
      <c r="Y70" s="162"/>
      <c r="Z70" s="162"/>
      <c r="AA70" s="162"/>
      <c r="AB70" s="162"/>
      <c r="AC70" s="162"/>
      <c r="AD70" s="162"/>
      <c r="AE70" s="162"/>
      <c r="AF70" s="162"/>
      <c r="AG70" s="162"/>
      <c r="AH70" s="162"/>
    </row>
    <row r="71" spans="1:34" ht="15.5">
      <c r="A71" s="159"/>
      <c r="B71" s="159"/>
      <c r="C71" s="159"/>
      <c r="D71" s="159"/>
      <c r="E71" s="159"/>
      <c r="F71" s="101"/>
      <c r="G71" s="159"/>
      <c r="H71" s="86"/>
      <c r="I71" s="83"/>
      <c r="J71" s="161"/>
      <c r="K71" s="87"/>
      <c r="L71" s="87"/>
      <c r="M71" s="87"/>
      <c r="N71" s="162"/>
      <c r="O71" s="87"/>
      <c r="P71" s="87"/>
      <c r="Q71" s="94"/>
      <c r="R71" s="162"/>
      <c r="S71" s="162"/>
      <c r="T71" s="162"/>
      <c r="U71" s="162"/>
      <c r="V71" s="162"/>
      <c r="W71" s="162"/>
      <c r="X71" s="162"/>
      <c r="Y71" s="162"/>
      <c r="Z71" s="162"/>
      <c r="AA71" s="162"/>
      <c r="AB71" s="162"/>
      <c r="AC71" s="162"/>
      <c r="AD71" s="162"/>
      <c r="AE71" s="162"/>
      <c r="AF71" s="162"/>
      <c r="AG71" s="162"/>
      <c r="AH71" s="162"/>
    </row>
    <row r="72" spans="1:34" ht="15.5">
      <c r="A72" s="159"/>
      <c r="B72" s="159"/>
      <c r="C72" s="159"/>
      <c r="D72" s="159"/>
      <c r="E72" s="159"/>
      <c r="F72" s="101"/>
      <c r="G72" s="159"/>
      <c r="H72" s="86"/>
      <c r="I72" s="83"/>
      <c r="J72" s="161"/>
      <c r="K72" s="87"/>
      <c r="L72" s="87"/>
      <c r="M72" s="87"/>
      <c r="N72" s="162"/>
      <c r="O72" s="87"/>
      <c r="P72" s="87"/>
      <c r="Q72" s="94"/>
      <c r="R72" s="162"/>
      <c r="S72" s="162"/>
      <c r="T72" s="162"/>
      <c r="U72" s="162"/>
      <c r="V72" s="162"/>
      <c r="W72" s="162"/>
      <c r="X72" s="162"/>
      <c r="Y72" s="162"/>
      <c r="Z72" s="162"/>
      <c r="AA72" s="162"/>
      <c r="AB72" s="162"/>
      <c r="AC72" s="162"/>
      <c r="AD72" s="162"/>
      <c r="AE72" s="162"/>
      <c r="AF72" s="162"/>
      <c r="AG72" s="162"/>
      <c r="AH72" s="162"/>
    </row>
    <row r="73" spans="1:34" ht="15.5">
      <c r="A73" s="159"/>
      <c r="B73" s="159"/>
      <c r="C73" s="159"/>
      <c r="D73" s="159"/>
      <c r="E73" s="159"/>
      <c r="F73" s="101"/>
      <c r="G73" s="159"/>
      <c r="H73" s="86"/>
      <c r="I73" s="83"/>
      <c r="J73" s="161"/>
      <c r="K73" s="87"/>
      <c r="L73" s="87"/>
      <c r="M73" s="87"/>
      <c r="N73" s="162"/>
      <c r="O73" s="87"/>
      <c r="P73" s="87"/>
      <c r="Q73" s="94"/>
      <c r="R73" s="162"/>
      <c r="S73" s="162"/>
      <c r="T73" s="162"/>
      <c r="U73" s="162"/>
      <c r="V73" s="162"/>
      <c r="W73" s="162"/>
      <c r="X73" s="162"/>
      <c r="Y73" s="162"/>
      <c r="Z73" s="162"/>
      <c r="AA73" s="162"/>
      <c r="AB73" s="162"/>
      <c r="AC73" s="162"/>
      <c r="AD73" s="162"/>
      <c r="AE73" s="162"/>
      <c r="AF73" s="162"/>
      <c r="AG73" s="162"/>
      <c r="AH73" s="162"/>
    </row>
    <row r="74" spans="1:34" ht="15.5">
      <c r="A74" s="159"/>
      <c r="B74" s="159"/>
      <c r="C74" s="159"/>
      <c r="D74" s="159"/>
      <c r="E74" s="159"/>
      <c r="F74" s="101"/>
      <c r="G74" s="159"/>
      <c r="H74" s="86"/>
      <c r="I74" s="83"/>
      <c r="J74" s="161"/>
      <c r="K74" s="87"/>
      <c r="L74" s="87"/>
      <c r="M74" s="87"/>
      <c r="N74" s="162"/>
      <c r="O74" s="87"/>
      <c r="P74" s="87"/>
      <c r="Q74" s="94"/>
      <c r="R74" s="162"/>
      <c r="S74" s="162"/>
      <c r="T74" s="162"/>
      <c r="U74" s="162"/>
      <c r="V74" s="162"/>
      <c r="W74" s="162"/>
      <c r="X74" s="162"/>
      <c r="Y74" s="162"/>
      <c r="Z74" s="162"/>
      <c r="AA74" s="162"/>
      <c r="AB74" s="162"/>
      <c r="AC74" s="162"/>
      <c r="AD74" s="162"/>
      <c r="AE74" s="162"/>
      <c r="AF74" s="162"/>
      <c r="AG74" s="162"/>
      <c r="AH74" s="162"/>
    </row>
    <row r="75" spans="1:34" ht="15.5">
      <c r="A75" s="159"/>
      <c r="B75" s="159"/>
      <c r="C75" s="159"/>
      <c r="D75" s="159"/>
      <c r="E75" s="159"/>
      <c r="F75" s="101"/>
      <c r="G75" s="159"/>
      <c r="H75" s="86"/>
      <c r="I75" s="83"/>
      <c r="J75" s="161"/>
      <c r="K75" s="87"/>
      <c r="L75" s="87"/>
      <c r="M75" s="87"/>
      <c r="N75" s="162"/>
      <c r="O75" s="87"/>
      <c r="P75" s="87"/>
      <c r="Q75" s="94"/>
      <c r="R75" s="162"/>
      <c r="S75" s="162"/>
      <c r="T75" s="162"/>
      <c r="U75" s="162"/>
      <c r="V75" s="162"/>
      <c r="W75" s="162"/>
      <c r="X75" s="162"/>
      <c r="Y75" s="162"/>
      <c r="Z75" s="162"/>
      <c r="AA75" s="162"/>
      <c r="AB75" s="162"/>
      <c r="AC75" s="162"/>
      <c r="AD75" s="162"/>
      <c r="AE75" s="162"/>
      <c r="AF75" s="162"/>
      <c r="AG75" s="162"/>
      <c r="AH75" s="162"/>
    </row>
    <row r="76" spans="1:34" ht="15.5">
      <c r="A76" s="159"/>
      <c r="B76" s="159"/>
      <c r="C76" s="159"/>
      <c r="D76" s="159"/>
      <c r="E76" s="159"/>
      <c r="F76" s="101"/>
      <c r="G76" s="159"/>
      <c r="H76" s="86"/>
      <c r="I76" s="83"/>
      <c r="J76" s="161"/>
      <c r="K76" s="87"/>
      <c r="L76" s="87"/>
      <c r="M76" s="87"/>
      <c r="N76" s="162"/>
      <c r="O76" s="87"/>
      <c r="P76" s="87"/>
      <c r="Q76" s="94"/>
      <c r="R76" s="162"/>
      <c r="S76" s="162"/>
      <c r="T76" s="162"/>
      <c r="U76" s="162"/>
      <c r="V76" s="162"/>
      <c r="W76" s="162"/>
      <c r="X76" s="162"/>
      <c r="Y76" s="162"/>
      <c r="Z76" s="162"/>
      <c r="AA76" s="162"/>
      <c r="AB76" s="162"/>
      <c r="AC76" s="162"/>
      <c r="AD76" s="162"/>
      <c r="AE76" s="162"/>
      <c r="AF76" s="162"/>
      <c r="AG76" s="162"/>
      <c r="AH76" s="162"/>
    </row>
    <row r="77" spans="1:34" ht="15.5">
      <c r="A77" s="159"/>
      <c r="B77" s="159"/>
      <c r="C77" s="159"/>
      <c r="D77" s="159"/>
      <c r="E77" s="159"/>
      <c r="F77" s="101"/>
      <c r="G77" s="159"/>
      <c r="H77" s="86"/>
      <c r="I77" s="83"/>
      <c r="J77" s="161"/>
      <c r="K77" s="87"/>
      <c r="L77" s="87"/>
      <c r="M77" s="87"/>
      <c r="N77" s="162"/>
      <c r="O77" s="87"/>
      <c r="P77" s="87"/>
      <c r="Q77" s="94"/>
      <c r="R77" s="162"/>
      <c r="S77" s="162"/>
      <c r="T77" s="162"/>
      <c r="U77" s="162"/>
      <c r="V77" s="162"/>
      <c r="W77" s="162"/>
      <c r="X77" s="162"/>
      <c r="Y77" s="162"/>
      <c r="Z77" s="162"/>
      <c r="AA77" s="162"/>
      <c r="AB77" s="162"/>
      <c r="AC77" s="162"/>
      <c r="AD77" s="162"/>
      <c r="AE77" s="162"/>
      <c r="AF77" s="162"/>
      <c r="AG77" s="162"/>
      <c r="AH77" s="162"/>
    </row>
    <row r="78" spans="1:34" ht="15.5">
      <c r="A78" s="159"/>
      <c r="B78" s="159"/>
      <c r="C78" s="159"/>
      <c r="D78" s="159"/>
      <c r="E78" s="159"/>
      <c r="F78" s="101"/>
      <c r="G78" s="159"/>
      <c r="H78" s="86"/>
      <c r="I78" s="83"/>
      <c r="J78" s="161"/>
      <c r="K78" s="87"/>
      <c r="L78" s="87"/>
      <c r="M78" s="87"/>
      <c r="N78" s="162"/>
      <c r="O78" s="87"/>
      <c r="P78" s="87"/>
      <c r="Q78" s="94"/>
      <c r="R78" s="162"/>
      <c r="S78" s="162"/>
      <c r="T78" s="162"/>
      <c r="U78" s="162"/>
      <c r="V78" s="162"/>
      <c r="W78" s="162"/>
      <c r="X78" s="162"/>
      <c r="Y78" s="162"/>
      <c r="Z78" s="162"/>
      <c r="AA78" s="162"/>
      <c r="AB78" s="162"/>
      <c r="AC78" s="162"/>
      <c r="AD78" s="162"/>
      <c r="AE78" s="162"/>
      <c r="AF78" s="162"/>
      <c r="AG78" s="162"/>
      <c r="AH78" s="162"/>
    </row>
    <row r="79" spans="1:34" ht="15.5">
      <c r="A79" s="159"/>
      <c r="B79" s="159"/>
      <c r="C79" s="159"/>
      <c r="D79" s="159"/>
      <c r="E79" s="159"/>
      <c r="F79" s="101"/>
      <c r="G79" s="159"/>
      <c r="H79" s="86"/>
      <c r="I79" s="83"/>
      <c r="J79" s="161"/>
      <c r="K79" s="87"/>
      <c r="L79" s="87"/>
      <c r="M79" s="87"/>
      <c r="N79" s="162"/>
      <c r="O79" s="87"/>
      <c r="P79" s="87"/>
      <c r="Q79" s="94"/>
      <c r="R79" s="162"/>
      <c r="S79" s="162"/>
      <c r="T79" s="162"/>
      <c r="U79" s="162"/>
      <c r="V79" s="162"/>
      <c r="W79" s="162"/>
      <c r="X79" s="162"/>
      <c r="Y79" s="162"/>
      <c r="Z79" s="162"/>
      <c r="AA79" s="162"/>
      <c r="AB79" s="162"/>
      <c r="AC79" s="162"/>
      <c r="AD79" s="162"/>
      <c r="AE79" s="162"/>
      <c r="AF79" s="162"/>
      <c r="AG79" s="162"/>
      <c r="AH79" s="162"/>
    </row>
    <row r="80" spans="1:34" ht="15.5">
      <c r="A80" s="159"/>
      <c r="B80" s="159"/>
      <c r="C80" s="159"/>
      <c r="D80" s="159"/>
      <c r="E80" s="159"/>
      <c r="F80" s="101"/>
      <c r="G80" s="159"/>
      <c r="H80" s="86"/>
      <c r="I80" s="83"/>
      <c r="J80" s="161"/>
      <c r="K80" s="87"/>
      <c r="L80" s="87"/>
      <c r="M80" s="87"/>
      <c r="N80" s="162"/>
      <c r="O80" s="87"/>
      <c r="P80" s="87"/>
      <c r="Q80" s="94"/>
      <c r="R80" s="162"/>
      <c r="S80" s="162"/>
      <c r="T80" s="162"/>
      <c r="U80" s="162"/>
      <c r="V80" s="162"/>
      <c r="W80" s="162"/>
      <c r="X80" s="162"/>
      <c r="Y80" s="162"/>
      <c r="Z80" s="162"/>
      <c r="AA80" s="162"/>
      <c r="AB80" s="162"/>
      <c r="AC80" s="162"/>
      <c r="AD80" s="162"/>
      <c r="AE80" s="162"/>
      <c r="AF80" s="162"/>
      <c r="AG80" s="162"/>
      <c r="AH80" s="162"/>
    </row>
    <row r="81" spans="1:34" ht="15.5">
      <c r="A81" s="159"/>
      <c r="B81" s="159"/>
      <c r="C81" s="159"/>
      <c r="D81" s="159"/>
      <c r="E81" s="159"/>
      <c r="F81" s="101"/>
      <c r="G81" s="159"/>
      <c r="H81" s="86"/>
      <c r="I81" s="83"/>
      <c r="J81" s="161"/>
      <c r="K81" s="87"/>
      <c r="L81" s="87"/>
      <c r="M81" s="87"/>
      <c r="N81" s="162"/>
      <c r="O81" s="87"/>
      <c r="P81" s="87"/>
      <c r="Q81" s="94"/>
      <c r="R81" s="162"/>
      <c r="S81" s="162"/>
      <c r="T81" s="162"/>
      <c r="U81" s="162"/>
      <c r="V81" s="162"/>
      <c r="W81" s="162"/>
      <c r="X81" s="162"/>
      <c r="Y81" s="162"/>
      <c r="Z81" s="162"/>
      <c r="AA81" s="162"/>
      <c r="AB81" s="162"/>
      <c r="AC81" s="162"/>
      <c r="AD81" s="162"/>
      <c r="AE81" s="162"/>
      <c r="AF81" s="162"/>
      <c r="AG81" s="162"/>
      <c r="AH81" s="162"/>
    </row>
    <row r="82" spans="1:34" ht="15.5">
      <c r="A82" s="159"/>
      <c r="B82" s="159"/>
      <c r="C82" s="159"/>
      <c r="D82" s="159"/>
      <c r="E82" s="159"/>
      <c r="F82" s="101"/>
      <c r="G82" s="159"/>
      <c r="H82" s="86"/>
      <c r="I82" s="83"/>
      <c r="J82" s="161"/>
      <c r="K82" s="87"/>
      <c r="L82" s="87"/>
      <c r="M82" s="87"/>
      <c r="N82" s="162"/>
      <c r="O82" s="87"/>
      <c r="P82" s="87"/>
      <c r="Q82" s="94"/>
      <c r="R82" s="162"/>
      <c r="S82" s="162"/>
      <c r="T82" s="162"/>
      <c r="U82" s="162"/>
      <c r="V82" s="162"/>
      <c r="W82" s="162"/>
      <c r="X82" s="162"/>
      <c r="Y82" s="162"/>
      <c r="Z82" s="162"/>
      <c r="AA82" s="162"/>
      <c r="AB82" s="162"/>
      <c r="AC82" s="162"/>
      <c r="AD82" s="162"/>
      <c r="AE82" s="162"/>
      <c r="AF82" s="162"/>
      <c r="AG82" s="162"/>
      <c r="AH82" s="162"/>
    </row>
    <row r="83" spans="1:34" ht="15.5">
      <c r="A83" s="159"/>
      <c r="B83" s="159"/>
      <c r="C83" s="159"/>
      <c r="D83" s="159"/>
      <c r="E83" s="159"/>
      <c r="F83" s="101"/>
      <c r="G83" s="159"/>
      <c r="H83" s="86"/>
      <c r="I83" s="83"/>
      <c r="J83" s="161"/>
      <c r="K83" s="87"/>
      <c r="L83" s="87"/>
      <c r="M83" s="87"/>
      <c r="N83" s="162"/>
      <c r="O83" s="87"/>
      <c r="P83" s="87"/>
      <c r="Q83" s="94"/>
      <c r="R83" s="162"/>
      <c r="S83" s="162"/>
      <c r="T83" s="162"/>
      <c r="U83" s="162"/>
      <c r="V83" s="162"/>
      <c r="W83" s="162"/>
      <c r="X83" s="162"/>
      <c r="Y83" s="162"/>
      <c r="Z83" s="162"/>
      <c r="AA83" s="162"/>
      <c r="AB83" s="162"/>
      <c r="AC83" s="162"/>
      <c r="AD83" s="162"/>
      <c r="AE83" s="162"/>
      <c r="AF83" s="162"/>
      <c r="AG83" s="162"/>
      <c r="AH83" s="162"/>
    </row>
    <row r="84" spans="1:34" ht="15.5">
      <c r="A84" s="159"/>
      <c r="B84" s="159"/>
      <c r="C84" s="159"/>
      <c r="D84" s="159"/>
      <c r="E84" s="159"/>
      <c r="F84" s="101"/>
      <c r="G84" s="159"/>
      <c r="H84" s="86"/>
      <c r="I84" s="83"/>
      <c r="J84" s="161"/>
      <c r="K84" s="87"/>
      <c r="L84" s="87"/>
      <c r="M84" s="87"/>
      <c r="N84" s="162"/>
      <c r="O84" s="87"/>
      <c r="P84" s="87"/>
      <c r="Q84" s="94"/>
      <c r="R84" s="162"/>
      <c r="S84" s="162"/>
      <c r="T84" s="162"/>
      <c r="U84" s="162"/>
      <c r="V84" s="162"/>
      <c r="W84" s="162"/>
      <c r="X84" s="162"/>
      <c r="Y84" s="162"/>
      <c r="Z84" s="162"/>
      <c r="AA84" s="162"/>
      <c r="AB84" s="162"/>
      <c r="AC84" s="162"/>
      <c r="AD84" s="162"/>
      <c r="AE84" s="162"/>
      <c r="AF84" s="162"/>
      <c r="AG84" s="162"/>
      <c r="AH84" s="162"/>
    </row>
    <row r="85" spans="1:34" ht="15.5">
      <c r="A85" s="159"/>
      <c r="B85" s="159"/>
      <c r="C85" s="159"/>
      <c r="D85" s="159"/>
      <c r="E85" s="159"/>
      <c r="F85" s="101"/>
      <c r="G85" s="159"/>
      <c r="H85" s="86"/>
      <c r="I85" s="83"/>
      <c r="J85" s="161"/>
      <c r="K85" s="87"/>
      <c r="L85" s="87"/>
      <c r="M85" s="87"/>
      <c r="N85" s="162"/>
      <c r="O85" s="87"/>
      <c r="P85" s="87"/>
      <c r="Q85" s="94"/>
      <c r="R85" s="162"/>
      <c r="S85" s="162"/>
      <c r="T85" s="162"/>
      <c r="U85" s="162"/>
      <c r="V85" s="162"/>
      <c r="W85" s="162"/>
      <c r="X85" s="162"/>
      <c r="Y85" s="162"/>
      <c r="Z85" s="162"/>
      <c r="AA85" s="162"/>
      <c r="AB85" s="162"/>
      <c r="AC85" s="162"/>
      <c r="AD85" s="162"/>
      <c r="AE85" s="162"/>
      <c r="AF85" s="162"/>
      <c r="AG85" s="162"/>
      <c r="AH85" s="162"/>
    </row>
    <row r="86" spans="1:34" ht="15.5">
      <c r="A86" s="159"/>
      <c r="B86" s="159"/>
      <c r="C86" s="159"/>
      <c r="D86" s="159"/>
      <c r="E86" s="159"/>
      <c r="F86" s="101"/>
      <c r="G86" s="159"/>
      <c r="H86" s="86"/>
      <c r="I86" s="83"/>
      <c r="J86" s="161"/>
      <c r="K86" s="87"/>
      <c r="L86" s="87"/>
      <c r="M86" s="87"/>
      <c r="N86" s="162"/>
      <c r="O86" s="87"/>
      <c r="P86" s="87"/>
      <c r="Q86" s="94"/>
      <c r="R86" s="162"/>
      <c r="S86" s="162"/>
      <c r="T86" s="162"/>
      <c r="U86" s="162"/>
      <c r="V86" s="162"/>
      <c r="W86" s="162"/>
      <c r="X86" s="162"/>
      <c r="Y86" s="162"/>
      <c r="Z86" s="162"/>
      <c r="AA86" s="162"/>
      <c r="AB86" s="162"/>
      <c r="AC86" s="162"/>
      <c r="AD86" s="162"/>
      <c r="AE86" s="162"/>
      <c r="AF86" s="162"/>
      <c r="AG86" s="162"/>
      <c r="AH86" s="162"/>
    </row>
    <row r="87" spans="1:34" ht="15.5">
      <c r="A87" s="159"/>
      <c r="B87" s="159"/>
      <c r="C87" s="159"/>
      <c r="D87" s="159"/>
      <c r="E87" s="159"/>
      <c r="F87" s="101"/>
      <c r="G87" s="159"/>
      <c r="H87" s="86"/>
      <c r="I87" s="83"/>
      <c r="J87" s="161"/>
      <c r="K87" s="87"/>
      <c r="L87" s="87"/>
      <c r="M87" s="87"/>
      <c r="N87" s="162"/>
      <c r="O87" s="87"/>
      <c r="P87" s="87"/>
      <c r="Q87" s="94"/>
      <c r="R87" s="162"/>
      <c r="S87" s="162"/>
      <c r="T87" s="162"/>
      <c r="U87" s="162"/>
      <c r="V87" s="162"/>
      <c r="W87" s="162"/>
      <c r="X87" s="162"/>
      <c r="Y87" s="162"/>
      <c r="Z87" s="162"/>
      <c r="AA87" s="162"/>
      <c r="AB87" s="162"/>
      <c r="AC87" s="162"/>
      <c r="AD87" s="162"/>
      <c r="AE87" s="162"/>
      <c r="AF87" s="162"/>
      <c r="AG87" s="162"/>
      <c r="AH87" s="162"/>
    </row>
    <row r="88" spans="1:34" ht="15.5">
      <c r="A88" s="159"/>
      <c r="B88" s="159"/>
      <c r="C88" s="159"/>
      <c r="D88" s="159"/>
      <c r="E88" s="159"/>
      <c r="F88" s="101"/>
      <c r="G88" s="159"/>
      <c r="H88" s="86"/>
      <c r="I88" s="83"/>
      <c r="J88" s="161"/>
      <c r="K88" s="87"/>
      <c r="L88" s="87"/>
      <c r="M88" s="87"/>
      <c r="N88" s="162"/>
      <c r="O88" s="87"/>
      <c r="P88" s="87"/>
      <c r="Q88" s="94"/>
      <c r="R88" s="162"/>
      <c r="S88" s="162"/>
      <c r="T88" s="162"/>
      <c r="U88" s="162"/>
      <c r="V88" s="162"/>
      <c r="W88" s="162"/>
      <c r="X88" s="162"/>
      <c r="Y88" s="162"/>
      <c r="Z88" s="162"/>
      <c r="AA88" s="162"/>
      <c r="AB88" s="162"/>
      <c r="AC88" s="162"/>
      <c r="AD88" s="162"/>
      <c r="AE88" s="162"/>
      <c r="AF88" s="162"/>
      <c r="AG88" s="162"/>
      <c r="AH88" s="162"/>
    </row>
    <row r="89" spans="1:34" ht="15.5">
      <c r="A89" s="159"/>
      <c r="B89" s="159"/>
      <c r="C89" s="159"/>
      <c r="D89" s="159"/>
      <c r="E89" s="159"/>
      <c r="F89" s="101"/>
      <c r="G89" s="159"/>
      <c r="H89" s="86"/>
      <c r="I89" s="83"/>
      <c r="J89" s="161"/>
      <c r="K89" s="87"/>
      <c r="L89" s="87"/>
      <c r="M89" s="87"/>
      <c r="N89" s="162"/>
      <c r="O89" s="87"/>
      <c r="P89" s="87"/>
      <c r="Q89" s="94"/>
      <c r="R89" s="162"/>
      <c r="S89" s="162"/>
      <c r="T89" s="162"/>
      <c r="U89" s="162"/>
      <c r="V89" s="162"/>
      <c r="W89" s="162"/>
      <c r="X89" s="162"/>
      <c r="Y89" s="162"/>
      <c r="Z89" s="162"/>
      <c r="AA89" s="162"/>
      <c r="AB89" s="162"/>
      <c r="AC89" s="162"/>
      <c r="AD89" s="162"/>
      <c r="AE89" s="162"/>
      <c r="AF89" s="162"/>
      <c r="AG89" s="162"/>
      <c r="AH89" s="162"/>
    </row>
    <row r="90" spans="1:34" ht="15.5">
      <c r="A90" s="159"/>
      <c r="B90" s="159"/>
      <c r="C90" s="159"/>
      <c r="D90" s="159"/>
      <c r="E90" s="159"/>
      <c r="F90" s="101"/>
      <c r="G90" s="159"/>
      <c r="H90" s="86"/>
      <c r="I90" s="83"/>
      <c r="J90" s="161"/>
      <c r="K90" s="87"/>
      <c r="L90" s="87"/>
      <c r="M90" s="87"/>
      <c r="N90" s="162"/>
      <c r="O90" s="87"/>
      <c r="P90" s="87"/>
      <c r="Q90" s="94"/>
      <c r="R90" s="162"/>
      <c r="S90" s="162"/>
      <c r="T90" s="162"/>
      <c r="U90" s="162"/>
      <c r="V90" s="162"/>
      <c r="W90" s="162"/>
      <c r="X90" s="162"/>
      <c r="Y90" s="162"/>
      <c r="Z90" s="162"/>
      <c r="AA90" s="162"/>
      <c r="AB90" s="162"/>
      <c r="AC90" s="162"/>
      <c r="AD90" s="162"/>
      <c r="AE90" s="162"/>
      <c r="AF90" s="162"/>
      <c r="AG90" s="162"/>
      <c r="AH90" s="162"/>
    </row>
    <row r="91" spans="1:34" ht="15.5">
      <c r="A91" s="159"/>
      <c r="B91" s="159"/>
      <c r="C91" s="159"/>
      <c r="D91" s="159"/>
      <c r="E91" s="159"/>
      <c r="F91" s="101"/>
      <c r="G91" s="159"/>
      <c r="H91" s="86"/>
      <c r="I91" s="83"/>
      <c r="J91" s="161"/>
      <c r="K91" s="87"/>
      <c r="L91" s="87"/>
      <c r="M91" s="87"/>
      <c r="N91" s="162"/>
      <c r="O91" s="87"/>
      <c r="P91" s="87"/>
      <c r="Q91" s="94"/>
      <c r="R91" s="162"/>
      <c r="S91" s="162"/>
      <c r="T91" s="162"/>
      <c r="U91" s="162"/>
      <c r="V91" s="162"/>
      <c r="W91" s="162"/>
      <c r="X91" s="162"/>
      <c r="Y91" s="162"/>
      <c r="Z91" s="162"/>
      <c r="AA91" s="162"/>
      <c r="AB91" s="162"/>
      <c r="AC91" s="162"/>
      <c r="AD91" s="162"/>
      <c r="AE91" s="162"/>
      <c r="AF91" s="162"/>
      <c r="AG91" s="162"/>
      <c r="AH91" s="162"/>
    </row>
    <row r="92" spans="1:34" ht="15.5">
      <c r="A92" s="159"/>
      <c r="B92" s="159"/>
      <c r="C92" s="159"/>
      <c r="D92" s="159"/>
      <c r="E92" s="159"/>
      <c r="F92" s="101"/>
      <c r="G92" s="159"/>
      <c r="H92" s="86"/>
      <c r="I92" s="83"/>
      <c r="J92" s="161"/>
      <c r="K92" s="87"/>
      <c r="L92" s="87"/>
      <c r="M92" s="87"/>
      <c r="N92" s="162"/>
      <c r="O92" s="87"/>
      <c r="P92" s="87"/>
      <c r="Q92" s="94"/>
      <c r="R92" s="162"/>
      <c r="S92" s="162"/>
      <c r="T92" s="162"/>
      <c r="U92" s="162"/>
      <c r="V92" s="162"/>
      <c r="W92" s="162"/>
      <c r="X92" s="162"/>
      <c r="Y92" s="162"/>
      <c r="Z92" s="162"/>
      <c r="AA92" s="162"/>
      <c r="AB92" s="162"/>
      <c r="AC92" s="162"/>
      <c r="AD92" s="162"/>
      <c r="AE92" s="162"/>
      <c r="AF92" s="162"/>
      <c r="AG92" s="162"/>
      <c r="AH92" s="162"/>
    </row>
    <row r="93" spans="1:34" ht="15.5">
      <c r="A93" s="159"/>
      <c r="B93" s="159"/>
      <c r="C93" s="159"/>
      <c r="D93" s="159"/>
      <c r="E93" s="159"/>
      <c r="F93" s="101"/>
      <c r="G93" s="159"/>
      <c r="H93" s="86"/>
      <c r="I93" s="83"/>
      <c r="J93" s="161"/>
      <c r="K93" s="87"/>
      <c r="L93" s="87"/>
      <c r="M93" s="87"/>
      <c r="N93" s="162"/>
      <c r="O93" s="87"/>
      <c r="P93" s="87"/>
      <c r="Q93" s="94"/>
      <c r="R93" s="162"/>
      <c r="S93" s="162"/>
      <c r="T93" s="162"/>
      <c r="U93" s="162"/>
      <c r="V93" s="162"/>
      <c r="W93" s="162"/>
      <c r="X93" s="162"/>
      <c r="Y93" s="162"/>
      <c r="Z93" s="162"/>
      <c r="AA93" s="162"/>
      <c r="AB93" s="162"/>
      <c r="AC93" s="162"/>
      <c r="AD93" s="162"/>
      <c r="AE93" s="162"/>
      <c r="AF93" s="162"/>
      <c r="AG93" s="162"/>
      <c r="AH93" s="162"/>
    </row>
    <row r="94" spans="1:34" ht="15.5">
      <c r="A94" s="159"/>
      <c r="B94" s="159"/>
      <c r="C94" s="159"/>
      <c r="D94" s="159"/>
      <c r="E94" s="159"/>
      <c r="F94" s="101"/>
      <c r="G94" s="159"/>
      <c r="H94" s="86"/>
      <c r="I94" s="83"/>
      <c r="J94" s="161"/>
      <c r="K94" s="87"/>
      <c r="L94" s="87"/>
      <c r="M94" s="87"/>
      <c r="N94" s="162"/>
      <c r="O94" s="87"/>
      <c r="P94" s="87"/>
      <c r="Q94" s="94"/>
      <c r="R94" s="162"/>
      <c r="S94" s="162"/>
      <c r="T94" s="162"/>
      <c r="U94" s="162"/>
      <c r="V94" s="162"/>
      <c r="W94" s="162"/>
      <c r="X94" s="162"/>
      <c r="Y94" s="162"/>
      <c r="Z94" s="162"/>
      <c r="AA94" s="162"/>
      <c r="AB94" s="162"/>
      <c r="AC94" s="162"/>
      <c r="AD94" s="162"/>
      <c r="AE94" s="162"/>
      <c r="AF94" s="162"/>
      <c r="AG94" s="162"/>
      <c r="AH94" s="162"/>
    </row>
    <row r="95" spans="1:34" ht="15.5">
      <c r="A95" s="159"/>
      <c r="B95" s="159"/>
      <c r="C95" s="159"/>
      <c r="D95" s="159"/>
      <c r="E95" s="159"/>
      <c r="F95" s="101"/>
      <c r="G95" s="159"/>
      <c r="H95" s="86"/>
      <c r="I95" s="83"/>
      <c r="J95" s="161"/>
      <c r="K95" s="87"/>
      <c r="L95" s="87"/>
      <c r="M95" s="87"/>
      <c r="N95" s="162"/>
      <c r="O95" s="87"/>
      <c r="P95" s="87"/>
      <c r="Q95" s="94"/>
      <c r="R95" s="162"/>
      <c r="S95" s="162"/>
      <c r="T95" s="162"/>
      <c r="U95" s="162"/>
      <c r="V95" s="162"/>
      <c r="W95" s="162"/>
      <c r="X95" s="162"/>
      <c r="Y95" s="162"/>
      <c r="Z95" s="162"/>
      <c r="AA95" s="162"/>
      <c r="AB95" s="162"/>
      <c r="AC95" s="162"/>
      <c r="AD95" s="162"/>
      <c r="AE95" s="162"/>
      <c r="AF95" s="162"/>
      <c r="AG95" s="162"/>
      <c r="AH95" s="162"/>
    </row>
    <row r="96" spans="1:34" ht="15.5">
      <c r="A96" s="159"/>
      <c r="B96" s="159"/>
      <c r="C96" s="159"/>
      <c r="D96" s="159"/>
      <c r="E96" s="159"/>
      <c r="F96" s="101"/>
      <c r="G96" s="159"/>
      <c r="H96" s="86"/>
      <c r="I96" s="83"/>
      <c r="J96" s="161"/>
      <c r="K96" s="87"/>
      <c r="L96" s="87"/>
      <c r="M96" s="87"/>
      <c r="N96" s="162"/>
      <c r="O96" s="87"/>
      <c r="P96" s="87"/>
      <c r="Q96" s="94"/>
      <c r="R96" s="162"/>
      <c r="S96" s="162"/>
      <c r="T96" s="162"/>
      <c r="U96" s="162"/>
      <c r="V96" s="162"/>
      <c r="W96" s="162"/>
      <c r="X96" s="162"/>
      <c r="Y96" s="162"/>
      <c r="Z96" s="162"/>
      <c r="AA96" s="162"/>
      <c r="AB96" s="162"/>
      <c r="AC96" s="162"/>
      <c r="AD96" s="162"/>
      <c r="AE96" s="162"/>
      <c r="AF96" s="162"/>
      <c r="AG96" s="162"/>
      <c r="AH96" s="162"/>
    </row>
    <row r="97" spans="1:34" ht="15.5">
      <c r="A97" s="159"/>
      <c r="B97" s="159"/>
      <c r="C97" s="159"/>
      <c r="D97" s="159"/>
      <c r="E97" s="159"/>
      <c r="F97" s="101"/>
      <c r="G97" s="159"/>
      <c r="H97" s="86"/>
      <c r="I97" s="83"/>
      <c r="J97" s="161"/>
      <c r="K97" s="87"/>
      <c r="L97" s="87"/>
      <c r="M97" s="87"/>
      <c r="N97" s="162"/>
      <c r="O97" s="87"/>
      <c r="P97" s="87"/>
      <c r="Q97" s="94"/>
      <c r="R97" s="162"/>
      <c r="S97" s="162"/>
      <c r="T97" s="162"/>
      <c r="U97" s="162"/>
      <c r="V97" s="162"/>
      <c r="W97" s="162"/>
      <c r="X97" s="162"/>
      <c r="Y97" s="162"/>
      <c r="Z97" s="162"/>
      <c r="AA97" s="162"/>
      <c r="AB97" s="162"/>
      <c r="AC97" s="162"/>
      <c r="AD97" s="162"/>
      <c r="AE97" s="162"/>
      <c r="AF97" s="162"/>
      <c r="AG97" s="162"/>
      <c r="AH97" s="162"/>
    </row>
    <row r="98" spans="1:34">
      <c r="A98" s="166"/>
      <c r="B98" s="166"/>
      <c r="C98" s="159"/>
      <c r="D98" s="166"/>
      <c r="E98" s="166"/>
      <c r="F98" s="159"/>
      <c r="G98" s="159"/>
      <c r="H98" s="167"/>
      <c r="I98" s="166"/>
      <c r="J98" s="166"/>
      <c r="K98" s="87"/>
      <c r="L98" s="164"/>
      <c r="M98" s="168"/>
      <c r="N98" s="164"/>
      <c r="O98" s="164"/>
      <c r="P98" s="169"/>
      <c r="Q98" s="170"/>
      <c r="R98" s="169"/>
      <c r="S98" s="169"/>
      <c r="T98" s="169"/>
      <c r="U98" s="169"/>
      <c r="V98" s="162"/>
      <c r="W98" s="169"/>
      <c r="X98" s="169"/>
      <c r="Y98" s="169"/>
      <c r="Z98" s="169"/>
      <c r="AA98" s="169"/>
      <c r="AB98" s="169"/>
      <c r="AC98" s="169"/>
      <c r="AD98" s="169"/>
      <c r="AE98" s="169"/>
      <c r="AF98" s="169"/>
      <c r="AG98" s="169"/>
      <c r="AH98" s="169"/>
    </row>
    <row r="99" spans="1:34" ht="45.75" customHeight="1">
      <c r="A99" s="166"/>
      <c r="B99" s="166"/>
      <c r="C99" s="159"/>
      <c r="D99" s="166"/>
      <c r="E99" s="166"/>
      <c r="F99" s="101"/>
      <c r="G99" s="159"/>
      <c r="H99" s="165"/>
      <c r="I99" s="172"/>
      <c r="J99" s="165"/>
      <c r="K99" s="87"/>
      <c r="L99" s="164"/>
      <c r="M99" s="169"/>
      <c r="N99" s="164"/>
      <c r="O99" s="164"/>
      <c r="P99" s="169"/>
      <c r="Q99" s="170"/>
      <c r="R99" s="169"/>
      <c r="S99" s="169"/>
      <c r="T99" s="164"/>
      <c r="U99" s="164"/>
      <c r="V99" s="162"/>
      <c r="W99" s="164"/>
      <c r="X99" s="164"/>
      <c r="Y99" s="164"/>
      <c r="Z99" s="164"/>
      <c r="AA99" s="164"/>
      <c r="AB99" s="164"/>
      <c r="AC99" s="164"/>
      <c r="AD99" s="164"/>
      <c r="AE99" s="173"/>
      <c r="AF99" s="173"/>
      <c r="AG99" s="164"/>
      <c r="AH99" s="164"/>
    </row>
    <row r="100" spans="1:34" ht="45" customHeight="1">
      <c r="A100" s="166"/>
      <c r="B100" s="166"/>
      <c r="C100" s="159"/>
      <c r="D100" s="166"/>
      <c r="E100" s="166"/>
      <c r="F100" s="101"/>
      <c r="G100" s="159"/>
      <c r="H100" s="167"/>
      <c r="I100" s="174"/>
      <c r="J100" s="175"/>
      <c r="K100" s="87"/>
      <c r="L100" s="176"/>
      <c r="M100" s="177"/>
      <c r="N100" s="177"/>
      <c r="O100" s="178"/>
      <c r="P100" s="178"/>
      <c r="Q100" s="177"/>
      <c r="R100" s="179"/>
      <c r="S100" s="177"/>
      <c r="T100" s="180"/>
      <c r="U100" s="180"/>
      <c r="V100" s="162"/>
      <c r="W100" s="181"/>
      <c r="X100" s="181"/>
      <c r="Y100" s="164"/>
      <c r="Z100" s="182"/>
      <c r="AA100" s="164"/>
      <c r="AB100" s="183"/>
      <c r="AC100" s="169"/>
      <c r="AD100" s="164"/>
      <c r="AE100" s="183"/>
      <c r="AF100" s="183"/>
      <c r="AG100" s="184"/>
      <c r="AH100" s="185"/>
    </row>
    <row r="101" spans="1:34">
      <c r="A101" s="166"/>
      <c r="B101" s="166"/>
      <c r="C101" s="159"/>
      <c r="D101" s="166"/>
      <c r="E101" s="166"/>
      <c r="F101" s="101"/>
      <c r="G101" s="159"/>
      <c r="H101" s="167"/>
      <c r="I101" s="174"/>
      <c r="J101" s="175"/>
      <c r="K101" s="87"/>
      <c r="L101" s="176"/>
      <c r="M101" s="177"/>
      <c r="N101" s="177"/>
      <c r="O101" s="178"/>
      <c r="P101" s="178"/>
      <c r="Q101" s="75"/>
      <c r="R101" s="179"/>
      <c r="S101" s="177"/>
      <c r="T101" s="180"/>
      <c r="U101" s="180"/>
      <c r="V101" s="162"/>
      <c r="W101" s="181"/>
      <c r="X101" s="181"/>
      <c r="Y101" s="164"/>
      <c r="Z101" s="164"/>
      <c r="AA101" s="164"/>
      <c r="AB101" s="186"/>
      <c r="AC101" s="169"/>
      <c r="AD101" s="164"/>
      <c r="AE101" s="183"/>
      <c r="AF101" s="183"/>
      <c r="AG101" s="184"/>
      <c r="AH101" s="185"/>
    </row>
    <row r="102" spans="1:34">
      <c r="A102" s="166"/>
      <c r="B102" s="166"/>
      <c r="C102" s="159"/>
      <c r="D102" s="166"/>
      <c r="E102" s="166"/>
      <c r="F102" s="101"/>
      <c r="G102" s="159"/>
      <c r="H102" s="167"/>
      <c r="I102" s="174"/>
      <c r="J102" s="175"/>
      <c r="K102" s="87"/>
      <c r="L102" s="176"/>
      <c r="M102" s="177"/>
      <c r="N102" s="177"/>
      <c r="O102" s="178"/>
      <c r="P102" s="178"/>
      <c r="Q102" s="177"/>
      <c r="R102" s="179"/>
      <c r="S102" s="177"/>
      <c r="T102" s="180"/>
      <c r="U102" s="180"/>
      <c r="V102" s="162"/>
      <c r="W102" s="181"/>
      <c r="X102" s="181"/>
      <c r="Y102" s="164"/>
      <c r="Z102" s="182"/>
      <c r="AA102" s="164"/>
      <c r="AB102" s="183"/>
      <c r="AC102" s="169"/>
      <c r="AD102" s="164"/>
      <c r="AE102" s="183"/>
      <c r="AF102" s="183"/>
      <c r="AG102" s="184"/>
      <c r="AH102" s="185"/>
    </row>
    <row r="103" spans="1:34">
      <c r="A103" s="166"/>
      <c r="B103" s="166"/>
      <c r="C103" s="159"/>
      <c r="D103" s="166"/>
      <c r="E103" s="166"/>
      <c r="F103" s="101"/>
      <c r="G103" s="159"/>
      <c r="H103" s="167"/>
      <c r="I103" s="174"/>
      <c r="J103" s="175"/>
      <c r="K103" s="87"/>
      <c r="L103" s="176"/>
      <c r="M103" s="177"/>
      <c r="N103" s="177"/>
      <c r="O103" s="178"/>
      <c r="P103" s="178"/>
      <c r="Q103" s="177"/>
      <c r="R103" s="179"/>
      <c r="S103" s="177"/>
      <c r="T103" s="180"/>
      <c r="U103" s="180"/>
      <c r="V103" s="162"/>
      <c r="W103" s="181"/>
      <c r="X103" s="181"/>
      <c r="Y103" s="164"/>
      <c r="Z103" s="182"/>
      <c r="AA103" s="164"/>
      <c r="AB103" s="183"/>
      <c r="AC103" s="169"/>
      <c r="AD103" s="164"/>
      <c r="AE103" s="183"/>
      <c r="AF103" s="183"/>
      <c r="AG103" s="184"/>
      <c r="AH103" s="185"/>
    </row>
    <row r="104" spans="1:34">
      <c r="A104" s="166"/>
      <c r="B104" s="166"/>
      <c r="C104" s="159"/>
      <c r="D104" s="166"/>
      <c r="E104" s="166"/>
      <c r="F104" s="101"/>
      <c r="G104" s="159"/>
      <c r="H104" s="167"/>
      <c r="I104" s="174"/>
      <c r="J104" s="175"/>
      <c r="K104" s="87"/>
      <c r="L104" s="176"/>
      <c r="M104" s="177"/>
      <c r="N104" s="177"/>
      <c r="O104" s="178"/>
      <c r="P104" s="178"/>
      <c r="Q104" s="177"/>
      <c r="R104" s="179"/>
      <c r="S104" s="177"/>
      <c r="T104" s="180"/>
      <c r="U104" s="180"/>
      <c r="V104" s="162"/>
      <c r="W104" s="181"/>
      <c r="X104" s="181"/>
      <c r="Y104" s="164"/>
      <c r="Z104" s="182"/>
      <c r="AA104" s="164"/>
      <c r="AB104" s="183"/>
      <c r="AC104" s="169"/>
      <c r="AD104" s="164"/>
      <c r="AE104" s="183"/>
      <c r="AF104" s="183"/>
      <c r="AG104" s="184"/>
      <c r="AH104" s="185"/>
    </row>
    <row r="105" spans="1:34">
      <c r="A105" s="166"/>
      <c r="B105" s="166"/>
      <c r="C105" s="159"/>
      <c r="D105" s="166"/>
      <c r="E105" s="166"/>
      <c r="F105" s="101"/>
      <c r="G105" s="159"/>
      <c r="H105" s="167"/>
      <c r="I105" s="174"/>
      <c r="J105" s="175"/>
      <c r="K105" s="87"/>
      <c r="L105" s="176"/>
      <c r="M105" s="177"/>
      <c r="N105" s="177"/>
      <c r="O105" s="178"/>
      <c r="P105" s="178"/>
      <c r="Q105" s="177"/>
      <c r="R105" s="179"/>
      <c r="S105" s="177"/>
      <c r="T105" s="180"/>
      <c r="U105" s="180"/>
      <c r="V105" s="162"/>
      <c r="W105" s="181"/>
      <c r="X105" s="181"/>
      <c r="Y105" s="164"/>
      <c r="Z105" s="182"/>
      <c r="AA105" s="164"/>
      <c r="AB105" s="183"/>
      <c r="AC105" s="169"/>
      <c r="AD105" s="164"/>
      <c r="AE105" s="183"/>
      <c r="AF105" s="183"/>
      <c r="AG105" s="184"/>
      <c r="AH105" s="185"/>
    </row>
    <row r="106" spans="1:34">
      <c r="A106" s="166"/>
      <c r="B106" s="166"/>
      <c r="C106" s="159"/>
      <c r="D106" s="166"/>
      <c r="E106" s="166"/>
      <c r="F106" s="101"/>
      <c r="G106" s="159"/>
      <c r="H106" s="167"/>
      <c r="I106" s="174"/>
      <c r="J106" s="175"/>
      <c r="K106" s="87"/>
      <c r="L106" s="176"/>
      <c r="M106" s="177"/>
      <c r="N106" s="177"/>
      <c r="O106" s="178"/>
      <c r="P106" s="178"/>
      <c r="Q106" s="177"/>
      <c r="R106" s="179"/>
      <c r="S106" s="180"/>
      <c r="T106" s="171"/>
      <c r="U106" s="171"/>
      <c r="V106" s="162"/>
      <c r="W106" s="181"/>
      <c r="X106" s="181"/>
      <c r="Y106" s="164"/>
      <c r="Z106" s="182"/>
      <c r="AA106" s="164"/>
      <c r="AB106" s="183"/>
      <c r="AC106" s="169"/>
      <c r="AD106" s="164"/>
      <c r="AE106" s="183"/>
      <c r="AF106" s="183"/>
      <c r="AG106" s="184"/>
      <c r="AH106" s="185"/>
    </row>
    <row r="107" spans="1:34">
      <c r="A107" s="166"/>
      <c r="B107" s="166"/>
      <c r="C107" s="159"/>
      <c r="D107" s="166"/>
      <c r="E107" s="166"/>
      <c r="F107" s="101"/>
      <c r="G107" s="159"/>
      <c r="H107" s="167"/>
      <c r="I107" s="174"/>
      <c r="J107" s="175"/>
      <c r="K107" s="87"/>
      <c r="L107" s="176"/>
      <c r="M107" s="177"/>
      <c r="N107" s="177"/>
      <c r="O107" s="178"/>
      <c r="P107" s="178"/>
      <c r="Q107" s="177"/>
      <c r="R107" s="179"/>
      <c r="S107" s="180"/>
      <c r="T107" s="171"/>
      <c r="U107" s="171"/>
      <c r="V107" s="162"/>
      <c r="W107" s="181"/>
      <c r="X107" s="181"/>
      <c r="Y107" s="164"/>
      <c r="Z107" s="182"/>
      <c r="AA107" s="164"/>
      <c r="AB107" s="183"/>
      <c r="AC107" s="169"/>
      <c r="AD107" s="164"/>
      <c r="AE107" s="183"/>
      <c r="AF107" s="183"/>
      <c r="AG107" s="184"/>
      <c r="AH107" s="185"/>
    </row>
    <row r="108" spans="1:34">
      <c r="A108" s="166"/>
      <c r="B108" s="166"/>
      <c r="C108" s="159"/>
      <c r="D108" s="166"/>
      <c r="E108" s="166"/>
      <c r="F108" s="101"/>
      <c r="G108" s="159"/>
      <c r="H108" s="167"/>
      <c r="I108" s="174"/>
      <c r="J108" s="175"/>
      <c r="K108" s="87"/>
      <c r="L108" s="176"/>
      <c r="M108" s="177"/>
      <c r="N108" s="177"/>
      <c r="O108" s="178"/>
      <c r="P108" s="178"/>
      <c r="Q108" s="177"/>
      <c r="R108" s="179"/>
      <c r="S108" s="180"/>
      <c r="T108" s="171"/>
      <c r="U108" s="171"/>
      <c r="V108" s="162"/>
      <c r="W108" s="181"/>
      <c r="X108" s="181"/>
      <c r="Y108" s="164"/>
      <c r="Z108" s="182"/>
      <c r="AA108" s="164"/>
      <c r="AB108" s="183"/>
      <c r="AC108" s="169"/>
      <c r="AD108" s="164"/>
      <c r="AE108" s="183"/>
      <c r="AF108" s="183"/>
      <c r="AG108" s="184"/>
      <c r="AH108" s="185"/>
    </row>
    <row r="109" spans="1:34">
      <c r="A109" s="166"/>
      <c r="B109" s="166"/>
      <c r="C109" s="159"/>
      <c r="D109" s="166"/>
      <c r="E109" s="166"/>
      <c r="F109" s="101"/>
      <c r="G109" s="159"/>
      <c r="H109" s="167"/>
      <c r="I109" s="174"/>
      <c r="J109" s="175"/>
      <c r="K109" s="87"/>
      <c r="L109" s="178"/>
      <c r="M109" s="177"/>
      <c r="N109" s="177"/>
      <c r="O109" s="178"/>
      <c r="P109" s="178"/>
      <c r="Q109" s="102"/>
      <c r="R109" s="179"/>
      <c r="S109" s="180"/>
      <c r="T109" s="171"/>
      <c r="U109" s="171"/>
      <c r="V109" s="162"/>
      <c r="W109" s="181"/>
      <c r="X109" s="181"/>
      <c r="Y109" s="164"/>
      <c r="Z109" s="182"/>
      <c r="AA109" s="164"/>
      <c r="AB109" s="183"/>
      <c r="AC109" s="169"/>
      <c r="AD109" s="164"/>
      <c r="AE109" s="183"/>
      <c r="AF109" s="183"/>
      <c r="AG109" s="184"/>
      <c r="AH109" s="185"/>
    </row>
    <row r="110" spans="1:34">
      <c r="A110" s="166"/>
      <c r="B110" s="166"/>
      <c r="C110" s="159"/>
      <c r="D110" s="166"/>
      <c r="E110" s="166"/>
      <c r="F110" s="101"/>
      <c r="G110" s="159"/>
      <c r="H110" s="167"/>
      <c r="I110" s="174"/>
      <c r="J110" s="175"/>
      <c r="K110" s="87"/>
      <c r="L110" s="178"/>
      <c r="M110" s="177"/>
      <c r="N110" s="177"/>
      <c r="O110" s="178"/>
      <c r="P110" s="178"/>
      <c r="Q110" s="177"/>
      <c r="R110" s="179"/>
      <c r="S110" s="180"/>
      <c r="T110" s="171"/>
      <c r="U110" s="171"/>
      <c r="V110" s="162"/>
      <c r="W110" s="181"/>
      <c r="X110" s="181"/>
      <c r="Y110" s="164"/>
      <c r="Z110" s="182"/>
      <c r="AA110" s="164"/>
      <c r="AB110" s="183"/>
      <c r="AC110" s="169"/>
      <c r="AD110" s="164"/>
      <c r="AE110" s="183"/>
      <c r="AF110" s="183"/>
      <c r="AG110" s="184"/>
      <c r="AH110" s="185"/>
    </row>
    <row r="111" spans="1:34">
      <c r="A111" s="166"/>
      <c r="B111" s="166"/>
      <c r="C111" s="159"/>
      <c r="D111" s="166"/>
      <c r="E111" s="166"/>
      <c r="F111" s="101"/>
      <c r="G111" s="159"/>
      <c r="H111" s="167"/>
      <c r="I111" s="174"/>
      <c r="J111" s="175"/>
      <c r="K111" s="87"/>
      <c r="L111" s="178"/>
      <c r="M111" s="177"/>
      <c r="N111" s="177"/>
      <c r="O111" s="178"/>
      <c r="P111" s="178"/>
      <c r="Q111" s="102"/>
      <c r="R111" s="179"/>
      <c r="S111" s="180"/>
      <c r="T111" s="171"/>
      <c r="U111" s="171"/>
      <c r="V111" s="162"/>
      <c r="W111" s="181"/>
      <c r="X111" s="181"/>
      <c r="Y111" s="164"/>
      <c r="Z111" s="182"/>
      <c r="AA111" s="164"/>
      <c r="AB111" s="183"/>
      <c r="AC111" s="169"/>
      <c r="AD111" s="164"/>
      <c r="AE111" s="183"/>
      <c r="AF111" s="183"/>
      <c r="AG111" s="184"/>
      <c r="AH111" s="185"/>
    </row>
    <row r="112" spans="1:34">
      <c r="A112" s="166"/>
      <c r="B112" s="166"/>
      <c r="C112" s="159"/>
      <c r="D112" s="166"/>
      <c r="E112" s="166"/>
      <c r="F112" s="101"/>
      <c r="G112" s="159"/>
      <c r="H112" s="167"/>
      <c r="I112" s="174"/>
      <c r="J112" s="175"/>
      <c r="K112" s="87"/>
      <c r="L112" s="178"/>
      <c r="M112" s="177"/>
      <c r="N112" s="177"/>
      <c r="O112" s="178"/>
      <c r="P112" s="178"/>
      <c r="Q112" s="177"/>
      <c r="R112" s="179"/>
      <c r="S112" s="180"/>
      <c r="T112" s="171"/>
      <c r="U112" s="171"/>
      <c r="V112" s="162"/>
      <c r="W112" s="181"/>
      <c r="X112" s="181"/>
      <c r="Y112" s="164"/>
      <c r="Z112" s="182"/>
      <c r="AA112" s="164"/>
      <c r="AB112" s="183"/>
      <c r="AC112" s="169"/>
      <c r="AD112" s="164"/>
      <c r="AE112" s="183"/>
      <c r="AF112" s="183"/>
      <c r="AG112" s="184"/>
      <c r="AH112" s="185"/>
    </row>
    <row r="113" spans="1:34">
      <c r="A113" s="166"/>
      <c r="B113" s="166"/>
      <c r="C113" s="159"/>
      <c r="D113" s="166"/>
      <c r="E113" s="166"/>
      <c r="F113" s="101"/>
      <c r="G113" s="159"/>
      <c r="H113" s="167"/>
      <c r="I113" s="174"/>
      <c r="J113" s="175"/>
      <c r="K113" s="87"/>
      <c r="L113" s="178"/>
      <c r="M113" s="177"/>
      <c r="N113" s="177"/>
      <c r="O113" s="178"/>
      <c r="P113" s="178"/>
      <c r="Q113" s="177"/>
      <c r="R113" s="179"/>
      <c r="S113" s="180"/>
      <c r="T113" s="171"/>
      <c r="U113" s="171"/>
      <c r="V113" s="162"/>
      <c r="W113" s="181"/>
      <c r="X113" s="181"/>
      <c r="Y113" s="164"/>
      <c r="Z113" s="182"/>
      <c r="AA113" s="164"/>
      <c r="AB113" s="183"/>
      <c r="AC113" s="169"/>
      <c r="AD113" s="164"/>
      <c r="AE113" s="183"/>
      <c r="AF113" s="183"/>
      <c r="AG113" s="184"/>
      <c r="AH113" s="185"/>
    </row>
    <row r="114" spans="1:34">
      <c r="A114" s="166"/>
      <c r="B114" s="166"/>
      <c r="C114" s="159"/>
      <c r="D114" s="166"/>
      <c r="E114" s="166"/>
      <c r="F114" s="101"/>
      <c r="G114" s="159"/>
      <c r="H114" s="167"/>
      <c r="I114" s="174"/>
      <c r="J114" s="175"/>
      <c r="K114" s="87"/>
      <c r="L114" s="178"/>
      <c r="M114" s="177"/>
      <c r="N114" s="177"/>
      <c r="O114" s="178"/>
      <c r="P114" s="178"/>
      <c r="Q114" s="102"/>
      <c r="R114" s="179"/>
      <c r="S114" s="180"/>
      <c r="T114" s="171"/>
      <c r="U114" s="171"/>
      <c r="V114" s="162"/>
      <c r="W114" s="181"/>
      <c r="X114" s="181"/>
      <c r="Y114" s="164"/>
      <c r="Z114" s="182"/>
      <c r="AA114" s="164"/>
      <c r="AB114" s="183"/>
      <c r="AC114" s="169"/>
      <c r="AD114" s="164"/>
      <c r="AE114" s="183"/>
      <c r="AF114" s="183"/>
      <c r="AG114" s="184"/>
      <c r="AH114" s="185"/>
    </row>
    <row r="115" spans="1:34">
      <c r="A115" s="166"/>
      <c r="B115" s="166"/>
      <c r="C115" s="159"/>
      <c r="D115" s="166"/>
      <c r="E115" s="166"/>
      <c r="F115" s="101"/>
      <c r="G115" s="159"/>
      <c r="H115" s="167"/>
      <c r="I115" s="174"/>
      <c r="J115" s="175"/>
      <c r="K115" s="87"/>
      <c r="L115" s="178"/>
      <c r="M115" s="177"/>
      <c r="N115" s="177"/>
      <c r="O115" s="178"/>
      <c r="P115" s="178"/>
      <c r="Q115" s="177"/>
      <c r="R115" s="179"/>
      <c r="S115" s="180"/>
      <c r="T115" s="171"/>
      <c r="U115" s="171"/>
      <c r="V115" s="162"/>
      <c r="W115" s="181"/>
      <c r="X115" s="181"/>
      <c r="Y115" s="164"/>
      <c r="Z115" s="182"/>
      <c r="AA115" s="164"/>
      <c r="AB115" s="183"/>
      <c r="AC115" s="169"/>
      <c r="AD115" s="164"/>
      <c r="AE115" s="169"/>
      <c r="AF115" s="169"/>
      <c r="AG115" s="184"/>
      <c r="AH115" s="185"/>
    </row>
    <row r="116" spans="1:34">
      <c r="A116" s="166"/>
      <c r="B116" s="166"/>
      <c r="C116" s="159"/>
      <c r="D116" s="166"/>
      <c r="E116" s="166"/>
      <c r="F116" s="101"/>
      <c r="G116" s="159"/>
      <c r="H116" s="167"/>
      <c r="I116" s="174"/>
      <c r="J116" s="175"/>
      <c r="K116" s="87"/>
      <c r="L116" s="178"/>
      <c r="M116" s="177"/>
      <c r="N116" s="177"/>
      <c r="O116" s="178"/>
      <c r="P116" s="178"/>
      <c r="Q116" s="102"/>
      <c r="R116" s="179"/>
      <c r="S116" s="180"/>
      <c r="T116" s="171"/>
      <c r="U116" s="171"/>
      <c r="V116" s="162"/>
      <c r="W116" s="181"/>
      <c r="X116" s="181"/>
      <c r="Y116" s="164"/>
      <c r="Z116" s="182"/>
      <c r="AA116" s="164"/>
      <c r="AB116" s="183"/>
      <c r="AC116" s="169"/>
      <c r="AD116" s="164"/>
      <c r="AE116" s="169"/>
      <c r="AF116" s="169"/>
      <c r="AG116" s="184"/>
      <c r="AH116" s="185"/>
    </row>
    <row r="117" spans="1:34">
      <c r="A117" s="166"/>
      <c r="B117" s="166"/>
      <c r="C117" s="159"/>
      <c r="D117" s="166"/>
      <c r="E117" s="166"/>
      <c r="F117" s="101"/>
      <c r="G117" s="159"/>
      <c r="H117" s="167"/>
      <c r="I117" s="174"/>
      <c r="J117" s="175"/>
      <c r="K117" s="87"/>
      <c r="L117" s="178"/>
      <c r="M117" s="177"/>
      <c r="N117" s="177"/>
      <c r="O117" s="178"/>
      <c r="P117" s="178"/>
      <c r="Q117" s="177"/>
      <c r="R117" s="179"/>
      <c r="S117" s="180"/>
      <c r="T117" s="171"/>
      <c r="U117" s="171"/>
      <c r="V117" s="162"/>
      <c r="W117" s="181"/>
      <c r="X117" s="181"/>
      <c r="Y117" s="164"/>
      <c r="Z117" s="182"/>
      <c r="AA117" s="164"/>
      <c r="AB117" s="183"/>
      <c r="AC117" s="169"/>
      <c r="AD117" s="164"/>
      <c r="AE117" s="169"/>
      <c r="AF117" s="169"/>
      <c r="AG117" s="184"/>
      <c r="AH117" s="185"/>
    </row>
    <row r="118" spans="1:34">
      <c r="A118" s="166"/>
      <c r="B118" s="166"/>
      <c r="C118" s="159"/>
      <c r="D118" s="166"/>
      <c r="E118" s="166"/>
      <c r="F118" s="101"/>
      <c r="G118" s="159"/>
      <c r="H118" s="167"/>
      <c r="I118" s="174"/>
      <c r="J118" s="175"/>
      <c r="K118" s="87"/>
      <c r="L118" s="178"/>
      <c r="M118" s="177"/>
      <c r="N118" s="177"/>
      <c r="O118" s="178"/>
      <c r="P118" s="178"/>
      <c r="Q118" s="177"/>
      <c r="R118" s="179"/>
      <c r="S118" s="180"/>
      <c r="T118" s="171"/>
      <c r="U118" s="171"/>
      <c r="V118" s="162"/>
      <c r="W118" s="181"/>
      <c r="X118" s="181"/>
      <c r="Y118" s="164"/>
      <c r="Z118" s="182"/>
      <c r="AA118" s="164"/>
      <c r="AB118" s="183"/>
      <c r="AC118" s="169"/>
      <c r="AD118" s="164"/>
      <c r="AE118" s="169"/>
      <c r="AF118" s="169"/>
      <c r="AG118" s="184"/>
      <c r="AH118" s="185"/>
    </row>
    <row r="119" spans="1:34">
      <c r="A119" s="166"/>
      <c r="B119" s="166"/>
      <c r="C119" s="159"/>
      <c r="D119" s="166"/>
      <c r="E119" s="166"/>
      <c r="F119" s="101"/>
      <c r="G119" s="159"/>
      <c r="H119" s="167"/>
      <c r="I119" s="174"/>
      <c r="J119" s="175"/>
      <c r="K119" s="87"/>
      <c r="L119" s="178"/>
      <c r="M119" s="177"/>
      <c r="N119" s="177"/>
      <c r="O119" s="178"/>
      <c r="P119" s="178"/>
      <c r="Q119" s="177"/>
      <c r="R119" s="179"/>
      <c r="S119" s="180"/>
      <c r="T119" s="171"/>
      <c r="U119" s="171"/>
      <c r="V119" s="162"/>
      <c r="W119" s="181"/>
      <c r="X119" s="181"/>
      <c r="Y119" s="164"/>
      <c r="Z119" s="182"/>
      <c r="AA119" s="164"/>
      <c r="AB119" s="183"/>
      <c r="AC119" s="169"/>
      <c r="AD119" s="164"/>
      <c r="AE119" s="169"/>
      <c r="AF119" s="169"/>
      <c r="AG119" s="184"/>
      <c r="AH119" s="185"/>
    </row>
    <row r="120" spans="1:34">
      <c r="A120" s="166"/>
      <c r="B120" s="166"/>
      <c r="C120" s="159"/>
      <c r="D120" s="166"/>
      <c r="E120" s="166"/>
      <c r="F120" s="101"/>
      <c r="G120" s="159"/>
      <c r="H120" s="167"/>
      <c r="I120" s="174"/>
      <c r="J120" s="174"/>
      <c r="K120" s="87"/>
      <c r="L120" s="164"/>
      <c r="M120" s="169"/>
      <c r="N120" s="164"/>
      <c r="O120" s="164"/>
      <c r="P120" s="169"/>
      <c r="Q120" s="180"/>
      <c r="R120" s="179"/>
      <c r="S120" s="180"/>
      <c r="T120" s="171"/>
      <c r="U120" s="171"/>
      <c r="V120" s="162"/>
      <c r="W120" s="181"/>
      <c r="X120" s="181"/>
      <c r="Y120" s="164"/>
      <c r="Z120" s="182"/>
      <c r="AA120" s="164"/>
      <c r="AB120" s="183"/>
      <c r="AC120" s="169"/>
      <c r="AD120" s="164"/>
      <c r="AE120" s="169"/>
      <c r="AF120" s="169"/>
      <c r="AG120" s="184"/>
      <c r="AH120" s="185"/>
    </row>
    <row r="121" spans="1:34">
      <c r="A121" s="166"/>
      <c r="B121" s="166"/>
      <c r="C121" s="159"/>
      <c r="D121" s="166"/>
      <c r="E121" s="166"/>
      <c r="F121" s="101"/>
      <c r="G121" s="159"/>
      <c r="H121" s="167"/>
      <c r="I121" s="174"/>
      <c r="J121" s="175"/>
      <c r="K121" s="87"/>
      <c r="L121" s="178"/>
      <c r="M121" s="177"/>
      <c r="N121" s="177"/>
      <c r="O121" s="178"/>
      <c r="P121" s="178"/>
      <c r="Q121" s="177"/>
      <c r="R121" s="179"/>
      <c r="S121" s="180"/>
      <c r="T121" s="171"/>
      <c r="U121" s="171"/>
      <c r="V121" s="162"/>
      <c r="W121" s="181"/>
      <c r="X121" s="181"/>
      <c r="Y121" s="164"/>
      <c r="Z121" s="164"/>
      <c r="AA121" s="164"/>
      <c r="AB121" s="186"/>
      <c r="AC121" s="169"/>
      <c r="AD121" s="164"/>
      <c r="AE121" s="169"/>
      <c r="AF121" s="169"/>
      <c r="AG121" s="184"/>
      <c r="AH121" s="185"/>
    </row>
    <row r="122" spans="1:34">
      <c r="A122" s="166"/>
      <c r="B122" s="166"/>
      <c r="C122" s="159"/>
      <c r="D122" s="166"/>
      <c r="E122" s="166"/>
      <c r="F122" s="101"/>
      <c r="G122" s="159"/>
      <c r="H122" s="167"/>
      <c r="I122" s="174"/>
      <c r="J122" s="175"/>
      <c r="K122" s="87"/>
      <c r="L122" s="178"/>
      <c r="M122" s="177"/>
      <c r="N122" s="177"/>
      <c r="O122" s="178"/>
      <c r="P122" s="178"/>
      <c r="Q122" s="177"/>
      <c r="R122" s="179"/>
      <c r="S122" s="180"/>
      <c r="T122" s="171"/>
      <c r="U122" s="171"/>
      <c r="V122" s="162"/>
      <c r="W122" s="181"/>
      <c r="X122" s="181"/>
      <c r="Y122" s="164"/>
      <c r="Z122" s="164"/>
      <c r="AA122" s="164"/>
      <c r="AB122" s="186"/>
      <c r="AC122" s="169"/>
      <c r="AD122" s="164"/>
      <c r="AE122" s="169"/>
      <c r="AF122" s="169"/>
      <c r="AG122" s="184"/>
      <c r="AH122" s="185"/>
    </row>
    <row r="123" spans="1:34">
      <c r="A123" s="166"/>
      <c r="B123" s="166"/>
      <c r="C123" s="159"/>
      <c r="D123" s="166"/>
      <c r="E123" s="166"/>
      <c r="F123" s="101"/>
      <c r="G123" s="159"/>
      <c r="H123" s="167"/>
      <c r="I123" s="174"/>
      <c r="J123" s="175"/>
      <c r="K123" s="87"/>
      <c r="L123" s="178"/>
      <c r="M123" s="177"/>
      <c r="N123" s="177"/>
      <c r="O123" s="178"/>
      <c r="P123" s="178"/>
      <c r="Q123" s="177"/>
      <c r="R123" s="179"/>
      <c r="S123" s="180"/>
      <c r="T123" s="171"/>
      <c r="U123" s="171"/>
      <c r="V123" s="162"/>
      <c r="W123" s="181"/>
      <c r="X123" s="181"/>
      <c r="Y123" s="164"/>
      <c r="Z123" s="182"/>
      <c r="AA123" s="164"/>
      <c r="AB123" s="186"/>
      <c r="AC123" s="169"/>
      <c r="AD123" s="164"/>
      <c r="AE123" s="169"/>
      <c r="AF123" s="169"/>
      <c r="AG123" s="184"/>
      <c r="AH123" s="185"/>
    </row>
    <row r="124" spans="1:34">
      <c r="A124" s="166"/>
      <c r="B124" s="166"/>
      <c r="C124" s="159"/>
      <c r="D124" s="166"/>
      <c r="E124" s="166"/>
      <c r="F124" s="101"/>
      <c r="G124" s="159"/>
      <c r="H124" s="167"/>
      <c r="I124" s="174"/>
      <c r="J124" s="175"/>
      <c r="K124" s="87"/>
      <c r="L124" s="178"/>
      <c r="M124" s="177"/>
      <c r="N124" s="177"/>
      <c r="O124" s="178"/>
      <c r="P124" s="178"/>
      <c r="Q124" s="177"/>
      <c r="R124" s="179"/>
      <c r="S124" s="180"/>
      <c r="T124" s="171"/>
      <c r="U124" s="171"/>
      <c r="V124" s="162"/>
      <c r="W124" s="181"/>
      <c r="X124" s="181"/>
      <c r="Y124" s="164"/>
      <c r="Z124" s="164"/>
      <c r="AA124" s="164"/>
      <c r="AB124" s="186"/>
      <c r="AC124" s="169"/>
      <c r="AD124" s="164"/>
      <c r="AE124" s="169"/>
      <c r="AF124" s="169"/>
      <c r="AG124" s="184"/>
      <c r="AH124" s="185"/>
    </row>
    <row r="125" spans="1:34">
      <c r="A125" s="166"/>
      <c r="B125" s="166"/>
      <c r="C125" s="159"/>
      <c r="D125" s="166"/>
      <c r="E125" s="166"/>
      <c r="F125" s="101"/>
      <c r="G125" s="159"/>
      <c r="H125" s="167"/>
      <c r="I125" s="187"/>
      <c r="J125" s="175"/>
      <c r="K125" s="87"/>
      <c r="L125" s="178"/>
      <c r="M125" s="177"/>
      <c r="N125" s="177"/>
      <c r="O125" s="178"/>
      <c r="P125" s="178"/>
      <c r="Q125" s="177"/>
      <c r="R125" s="179"/>
      <c r="S125" s="180"/>
      <c r="T125" s="171"/>
      <c r="U125" s="171"/>
      <c r="V125" s="162"/>
      <c r="W125" s="181"/>
      <c r="X125" s="181"/>
      <c r="Y125" s="164"/>
      <c r="Z125" s="164"/>
      <c r="AA125" s="164"/>
      <c r="AB125" s="186"/>
      <c r="AC125" s="169"/>
      <c r="AD125" s="164"/>
      <c r="AE125" s="169"/>
      <c r="AF125" s="169"/>
      <c r="AG125" s="184"/>
      <c r="AH125" s="185"/>
    </row>
    <row r="126" spans="1:34">
      <c r="A126" s="166"/>
      <c r="B126" s="166"/>
      <c r="C126" s="159"/>
      <c r="D126" s="166"/>
      <c r="E126" s="166"/>
      <c r="F126" s="101"/>
      <c r="G126" s="159"/>
      <c r="H126" s="167"/>
      <c r="I126" s="174"/>
      <c r="J126" s="175"/>
      <c r="K126" s="87"/>
      <c r="L126" s="178"/>
      <c r="M126" s="177"/>
      <c r="N126" s="177"/>
      <c r="O126" s="178"/>
      <c r="P126" s="178"/>
      <c r="Q126" s="177"/>
      <c r="R126" s="179"/>
      <c r="S126" s="180"/>
      <c r="T126" s="171"/>
      <c r="U126" s="171"/>
      <c r="V126" s="162"/>
      <c r="W126" s="181"/>
      <c r="X126" s="181"/>
      <c r="Y126" s="164"/>
      <c r="Z126" s="182"/>
      <c r="AA126" s="164"/>
      <c r="AB126" s="186"/>
      <c r="AC126" s="169"/>
      <c r="AD126" s="164"/>
      <c r="AE126" s="169"/>
      <c r="AF126" s="169"/>
      <c r="AG126" s="184"/>
      <c r="AH126" s="185"/>
    </row>
    <row r="127" spans="1:34">
      <c r="A127" s="166"/>
      <c r="B127" s="166"/>
      <c r="C127" s="159"/>
      <c r="D127" s="166"/>
      <c r="E127" s="166"/>
      <c r="F127" s="101"/>
      <c r="G127" s="159"/>
      <c r="H127" s="167"/>
      <c r="I127" s="174"/>
      <c r="J127" s="175"/>
      <c r="K127" s="87"/>
      <c r="L127" s="178"/>
      <c r="M127" s="177"/>
      <c r="N127" s="177"/>
      <c r="O127" s="178"/>
      <c r="P127" s="178"/>
      <c r="Q127" s="177"/>
      <c r="R127" s="179"/>
      <c r="S127" s="180"/>
      <c r="T127" s="171"/>
      <c r="U127" s="171"/>
      <c r="V127" s="162"/>
      <c r="W127" s="181"/>
      <c r="X127" s="181"/>
      <c r="Y127" s="164"/>
      <c r="Z127" s="164"/>
      <c r="AA127" s="164"/>
      <c r="AB127" s="186"/>
      <c r="AC127" s="169"/>
      <c r="AD127" s="164"/>
      <c r="AE127" s="169"/>
      <c r="AF127" s="169"/>
      <c r="AG127" s="184"/>
      <c r="AH127" s="185"/>
    </row>
    <row r="128" spans="1:34">
      <c r="A128" s="166"/>
      <c r="B128" s="166"/>
      <c r="C128" s="159"/>
      <c r="D128" s="166"/>
      <c r="E128" s="166"/>
      <c r="F128" s="101"/>
      <c r="G128" s="159"/>
      <c r="H128" s="167"/>
      <c r="I128" s="175"/>
      <c r="J128" s="177"/>
      <c r="K128" s="177"/>
      <c r="L128" s="178"/>
      <c r="M128" s="177"/>
      <c r="N128" s="177"/>
      <c r="O128" s="178"/>
      <c r="P128" s="178"/>
      <c r="Q128" s="177"/>
      <c r="R128" s="179"/>
      <c r="S128" s="180"/>
      <c r="T128" s="171"/>
      <c r="U128" s="171"/>
      <c r="V128" s="162"/>
      <c r="W128" s="181"/>
      <c r="X128" s="181"/>
      <c r="Y128" s="164"/>
      <c r="Z128" s="164"/>
      <c r="AA128" s="164"/>
      <c r="AB128" s="186"/>
      <c r="AC128" s="169"/>
      <c r="AD128" s="164"/>
      <c r="AE128" s="169"/>
      <c r="AF128" s="169"/>
      <c r="AG128" s="184"/>
      <c r="AH128" s="185"/>
    </row>
    <row r="129" spans="1:34">
      <c r="A129" s="166"/>
      <c r="B129" s="166"/>
      <c r="C129" s="159"/>
      <c r="D129" s="166"/>
      <c r="E129" s="166"/>
      <c r="F129" s="101"/>
      <c r="G129" s="159"/>
      <c r="H129" s="167"/>
      <c r="I129" s="174"/>
      <c r="J129" s="175"/>
      <c r="K129" s="87"/>
      <c r="L129" s="178"/>
      <c r="M129" s="177"/>
      <c r="N129" s="177"/>
      <c r="O129" s="178"/>
      <c r="P129" s="178"/>
      <c r="Q129" s="103"/>
      <c r="R129" s="179"/>
      <c r="S129" s="180"/>
      <c r="T129" s="171"/>
      <c r="U129" s="171"/>
      <c r="V129" s="162"/>
      <c r="W129" s="181"/>
      <c r="X129" s="181"/>
      <c r="Y129" s="164"/>
      <c r="Z129" s="182"/>
      <c r="AA129" s="164"/>
      <c r="AB129" s="186"/>
      <c r="AC129" s="169"/>
      <c r="AD129" s="164"/>
      <c r="AE129" s="169"/>
      <c r="AF129" s="169"/>
      <c r="AG129" s="184"/>
      <c r="AH129" s="185"/>
    </row>
    <row r="130" spans="1:34">
      <c r="A130" s="166"/>
      <c r="B130" s="166"/>
      <c r="C130" s="159"/>
      <c r="D130" s="166"/>
      <c r="E130" s="166"/>
      <c r="F130" s="101"/>
      <c r="G130" s="159"/>
      <c r="H130" s="167"/>
      <c r="I130" s="174"/>
      <c r="J130" s="175"/>
      <c r="K130" s="87"/>
      <c r="L130" s="178"/>
      <c r="M130" s="177"/>
      <c r="N130" s="177"/>
      <c r="O130" s="178"/>
      <c r="P130" s="178"/>
      <c r="Q130" s="177"/>
      <c r="R130" s="179"/>
      <c r="S130" s="180"/>
      <c r="T130" s="171"/>
      <c r="U130" s="171"/>
      <c r="V130" s="162"/>
      <c r="W130" s="181"/>
      <c r="X130" s="181"/>
      <c r="Y130" s="164"/>
      <c r="Z130" s="182"/>
      <c r="AA130" s="164"/>
      <c r="AB130" s="186"/>
      <c r="AC130" s="169"/>
      <c r="AD130" s="164"/>
      <c r="AE130" s="169"/>
      <c r="AF130" s="169"/>
      <c r="AG130" s="184"/>
      <c r="AH130" s="185"/>
    </row>
    <row r="131" spans="1:34">
      <c r="A131" s="166"/>
      <c r="B131" s="166"/>
      <c r="C131" s="159"/>
      <c r="D131" s="166"/>
      <c r="E131" s="166"/>
      <c r="F131" s="101"/>
      <c r="G131" s="159"/>
      <c r="H131" s="167"/>
      <c r="I131" s="174"/>
      <c r="J131" s="175"/>
      <c r="K131" s="87"/>
      <c r="L131" s="178"/>
      <c r="M131" s="177"/>
      <c r="N131" s="177"/>
      <c r="O131" s="178"/>
      <c r="P131" s="178"/>
      <c r="Q131" s="177"/>
      <c r="R131" s="179"/>
      <c r="S131" s="180"/>
      <c r="T131" s="171"/>
      <c r="U131" s="171"/>
      <c r="V131" s="162"/>
      <c r="W131" s="181"/>
      <c r="X131" s="181"/>
      <c r="Y131" s="164"/>
      <c r="Z131" s="182"/>
      <c r="AA131" s="164"/>
      <c r="AB131" s="183"/>
      <c r="AC131" s="169"/>
      <c r="AD131" s="164"/>
      <c r="AE131" s="169"/>
      <c r="AF131" s="169"/>
      <c r="AG131" s="184"/>
      <c r="AH131" s="185"/>
    </row>
    <row r="132" spans="1:34">
      <c r="A132" s="166"/>
      <c r="B132" s="166"/>
      <c r="C132" s="159"/>
      <c r="D132" s="166"/>
      <c r="E132" s="166"/>
      <c r="F132" s="101"/>
      <c r="G132" s="159"/>
      <c r="H132" s="167"/>
      <c r="I132" s="187"/>
      <c r="J132" s="175"/>
      <c r="K132" s="87"/>
      <c r="L132" s="178"/>
      <c r="M132" s="177"/>
      <c r="N132" s="177"/>
      <c r="O132" s="178"/>
      <c r="P132" s="178"/>
      <c r="Q132" s="177"/>
      <c r="R132" s="179"/>
      <c r="S132" s="180"/>
      <c r="T132" s="171"/>
      <c r="U132" s="171"/>
      <c r="V132" s="162"/>
      <c r="W132" s="181"/>
      <c r="X132" s="181"/>
      <c r="Y132" s="164"/>
      <c r="Z132" s="182"/>
      <c r="AA132" s="164"/>
      <c r="AB132" s="183"/>
      <c r="AC132" s="169"/>
      <c r="AD132" s="164"/>
      <c r="AE132" s="169"/>
      <c r="AF132" s="169"/>
      <c r="AG132" s="184"/>
      <c r="AH132" s="185"/>
    </row>
    <row r="133" spans="1:34">
      <c r="A133" s="166"/>
      <c r="B133" s="166"/>
      <c r="C133" s="159"/>
      <c r="D133" s="166"/>
      <c r="E133" s="166"/>
      <c r="F133" s="101"/>
      <c r="G133" s="159"/>
      <c r="H133" s="167"/>
      <c r="I133" s="174"/>
      <c r="J133" s="175"/>
      <c r="K133" s="87"/>
      <c r="L133" s="178"/>
      <c r="M133" s="177"/>
      <c r="N133" s="177"/>
      <c r="O133" s="178"/>
      <c r="P133" s="178"/>
      <c r="Q133" s="177"/>
      <c r="R133" s="179"/>
      <c r="S133" s="180"/>
      <c r="T133" s="171"/>
      <c r="U133" s="171"/>
      <c r="V133" s="162"/>
      <c r="W133" s="181"/>
      <c r="X133" s="181"/>
      <c r="Y133" s="164"/>
      <c r="Z133" s="182"/>
      <c r="AA133" s="164"/>
      <c r="AB133" s="186"/>
      <c r="AC133" s="169"/>
      <c r="AD133" s="164"/>
      <c r="AE133" s="169"/>
      <c r="AF133" s="169"/>
      <c r="AG133" s="184"/>
      <c r="AH133" s="185"/>
    </row>
    <row r="134" spans="1:34">
      <c r="A134" s="166"/>
      <c r="B134" s="166"/>
      <c r="C134" s="159"/>
      <c r="D134" s="166"/>
      <c r="E134" s="166"/>
      <c r="F134" s="101"/>
      <c r="G134" s="159"/>
      <c r="H134" s="167"/>
      <c r="I134" s="174"/>
      <c r="J134" s="175"/>
      <c r="K134" s="87"/>
      <c r="L134" s="178"/>
      <c r="M134" s="177"/>
      <c r="N134" s="177"/>
      <c r="O134" s="178"/>
      <c r="P134" s="178"/>
      <c r="Q134" s="177"/>
      <c r="R134" s="179"/>
      <c r="S134" s="180"/>
      <c r="T134" s="171"/>
      <c r="U134" s="171"/>
      <c r="V134" s="162"/>
      <c r="W134" s="181"/>
      <c r="X134" s="181"/>
      <c r="Y134" s="164"/>
      <c r="Z134" s="182"/>
      <c r="AA134" s="164"/>
      <c r="AB134" s="183"/>
      <c r="AC134" s="169"/>
      <c r="AD134" s="164"/>
      <c r="AE134" s="169"/>
      <c r="AF134" s="169"/>
      <c r="AG134" s="184"/>
      <c r="AH134" s="185"/>
    </row>
    <row r="135" spans="1:34">
      <c r="A135" s="166"/>
      <c r="B135" s="166"/>
      <c r="C135" s="159"/>
      <c r="D135" s="166"/>
      <c r="E135" s="166"/>
      <c r="F135" s="101"/>
      <c r="G135" s="159"/>
      <c r="H135" s="167"/>
      <c r="I135" s="174"/>
      <c r="J135" s="175"/>
      <c r="K135" s="87"/>
      <c r="L135" s="178"/>
      <c r="M135" s="177"/>
      <c r="N135" s="177"/>
      <c r="O135" s="178"/>
      <c r="P135" s="178"/>
      <c r="Q135" s="103"/>
      <c r="R135" s="179"/>
      <c r="S135" s="180"/>
      <c r="T135" s="171"/>
      <c r="U135" s="171"/>
      <c r="V135" s="162"/>
      <c r="W135" s="181"/>
      <c r="X135" s="181"/>
      <c r="Y135" s="164"/>
      <c r="Z135" s="182"/>
      <c r="AA135" s="164"/>
      <c r="AB135" s="186"/>
      <c r="AC135" s="169"/>
      <c r="AD135" s="164"/>
      <c r="AE135" s="169"/>
      <c r="AF135" s="169"/>
      <c r="AG135" s="184"/>
      <c r="AH135" s="185"/>
    </row>
    <row r="136" spans="1:34">
      <c r="A136" s="166"/>
      <c r="B136" s="166"/>
      <c r="C136" s="159"/>
      <c r="D136" s="166"/>
      <c r="E136" s="166"/>
      <c r="F136" s="101"/>
      <c r="G136" s="159"/>
      <c r="H136" s="167"/>
      <c r="I136" s="174"/>
      <c r="J136" s="175"/>
      <c r="K136" s="87"/>
      <c r="L136" s="178"/>
      <c r="M136" s="177"/>
      <c r="N136" s="177"/>
      <c r="O136" s="178"/>
      <c r="P136" s="178"/>
      <c r="Q136" s="177"/>
      <c r="R136" s="179"/>
      <c r="S136" s="180"/>
      <c r="T136" s="171"/>
      <c r="U136" s="171"/>
      <c r="V136" s="162"/>
      <c r="W136" s="181"/>
      <c r="X136" s="181"/>
      <c r="Y136" s="164"/>
      <c r="Z136" s="182"/>
      <c r="AA136" s="164"/>
      <c r="AB136" s="183"/>
      <c r="AC136" s="169"/>
      <c r="AD136" s="164"/>
      <c r="AE136" s="169"/>
      <c r="AF136" s="169"/>
      <c r="AG136" s="184"/>
      <c r="AH136" s="185"/>
    </row>
    <row r="137" spans="1:34">
      <c r="A137" s="166"/>
      <c r="B137" s="166"/>
      <c r="C137" s="159"/>
      <c r="D137" s="166"/>
      <c r="E137" s="166"/>
      <c r="F137" s="101"/>
      <c r="G137" s="159"/>
      <c r="H137" s="167"/>
      <c r="I137" s="174"/>
      <c r="J137" s="175"/>
      <c r="K137" s="87"/>
      <c r="L137" s="178"/>
      <c r="M137" s="177"/>
      <c r="N137" s="177"/>
      <c r="O137" s="178"/>
      <c r="P137" s="178"/>
      <c r="Q137" s="177"/>
      <c r="R137" s="179"/>
      <c r="S137" s="180"/>
      <c r="T137" s="171"/>
      <c r="U137" s="171"/>
      <c r="V137" s="162"/>
      <c r="W137" s="181"/>
      <c r="X137" s="181"/>
      <c r="Y137" s="164"/>
      <c r="Z137" s="182"/>
      <c r="AA137" s="164"/>
      <c r="AB137" s="183"/>
      <c r="AC137" s="169"/>
      <c r="AD137" s="164"/>
      <c r="AE137" s="169"/>
      <c r="AF137" s="169"/>
      <c r="AG137" s="184"/>
      <c r="AH137" s="185"/>
    </row>
    <row r="138" spans="1:34">
      <c r="A138" s="166"/>
      <c r="B138" s="166"/>
      <c r="C138" s="159"/>
      <c r="D138" s="166"/>
      <c r="E138" s="166"/>
      <c r="F138" s="101"/>
      <c r="G138" s="159"/>
      <c r="H138" s="167"/>
      <c r="I138" s="174"/>
      <c r="J138" s="175"/>
      <c r="K138" s="87"/>
      <c r="L138" s="178"/>
      <c r="M138" s="177"/>
      <c r="N138" s="177"/>
      <c r="O138" s="178"/>
      <c r="P138" s="178"/>
      <c r="Q138" s="177"/>
      <c r="R138" s="179"/>
      <c r="S138" s="180"/>
      <c r="T138" s="171"/>
      <c r="U138" s="171"/>
      <c r="V138" s="162"/>
      <c r="W138" s="181"/>
      <c r="X138" s="181"/>
      <c r="Y138" s="164"/>
      <c r="Z138" s="182"/>
      <c r="AA138" s="164"/>
      <c r="AB138" s="183"/>
      <c r="AC138" s="169"/>
      <c r="AD138" s="164"/>
      <c r="AE138" s="169"/>
      <c r="AF138" s="169"/>
      <c r="AG138" s="184"/>
      <c r="AH138" s="185"/>
    </row>
    <row r="139" spans="1:34">
      <c r="A139" s="166"/>
      <c r="B139" s="166"/>
      <c r="C139" s="159"/>
      <c r="D139" s="166"/>
      <c r="E139" s="166"/>
      <c r="F139" s="101"/>
      <c r="G139" s="159"/>
      <c r="H139" s="167"/>
      <c r="I139" s="187"/>
      <c r="J139" s="175"/>
      <c r="K139" s="87"/>
      <c r="L139" s="178"/>
      <c r="M139" s="177"/>
      <c r="N139" s="177"/>
      <c r="O139" s="178"/>
      <c r="P139" s="178"/>
      <c r="Q139" s="177"/>
      <c r="R139" s="179"/>
      <c r="S139" s="180"/>
      <c r="T139" s="171"/>
      <c r="U139" s="171"/>
      <c r="V139" s="162"/>
      <c r="W139" s="181"/>
      <c r="X139" s="181"/>
      <c r="Y139" s="164"/>
      <c r="Z139" s="182"/>
      <c r="AA139" s="164"/>
      <c r="AB139" s="183"/>
      <c r="AC139" s="169"/>
      <c r="AD139" s="164"/>
      <c r="AE139" s="169"/>
      <c r="AF139" s="169"/>
      <c r="AG139" s="184"/>
      <c r="AH139" s="185"/>
    </row>
    <row r="140" spans="1:34">
      <c r="A140" s="166"/>
      <c r="B140" s="166"/>
      <c r="C140" s="159"/>
      <c r="D140" s="166"/>
      <c r="E140" s="166"/>
      <c r="F140" s="101"/>
      <c r="G140" s="159"/>
      <c r="H140" s="167"/>
      <c r="I140" s="187"/>
      <c r="J140" s="175"/>
      <c r="K140" s="87"/>
      <c r="L140" s="178"/>
      <c r="M140" s="177"/>
      <c r="N140" s="177"/>
      <c r="O140" s="178"/>
      <c r="P140" s="178"/>
      <c r="Q140" s="177"/>
      <c r="R140" s="179"/>
      <c r="S140" s="180"/>
      <c r="T140" s="171"/>
      <c r="U140" s="171"/>
      <c r="V140" s="162"/>
      <c r="W140" s="181"/>
      <c r="X140" s="181"/>
      <c r="Y140" s="164"/>
      <c r="Z140" s="182"/>
      <c r="AA140" s="164"/>
      <c r="AB140" s="183"/>
      <c r="AC140" s="169"/>
      <c r="AD140" s="164"/>
      <c r="AE140" s="169"/>
      <c r="AF140" s="169"/>
      <c r="AG140" s="184"/>
      <c r="AH140" s="185"/>
    </row>
    <row r="141" spans="1:34">
      <c r="A141" s="166"/>
      <c r="B141" s="166"/>
      <c r="C141" s="159"/>
      <c r="D141" s="166"/>
      <c r="E141" s="166"/>
      <c r="F141" s="101"/>
      <c r="G141" s="159"/>
      <c r="H141" s="167"/>
      <c r="I141" s="174"/>
      <c r="J141" s="175"/>
      <c r="K141" s="87"/>
      <c r="L141" s="178"/>
      <c r="M141" s="177"/>
      <c r="N141" s="177"/>
      <c r="O141" s="178"/>
      <c r="P141" s="178"/>
      <c r="Q141" s="177"/>
      <c r="R141" s="179"/>
      <c r="S141" s="180"/>
      <c r="T141" s="171"/>
      <c r="U141" s="171"/>
      <c r="V141" s="162"/>
      <c r="W141" s="181"/>
      <c r="X141" s="181"/>
      <c r="Y141" s="164"/>
      <c r="Z141" s="182"/>
      <c r="AA141" s="164"/>
      <c r="AB141" s="183"/>
      <c r="AC141" s="169"/>
      <c r="AD141" s="164"/>
      <c r="AE141" s="169"/>
      <c r="AF141" s="169"/>
      <c r="AG141" s="184"/>
      <c r="AH141" s="185"/>
    </row>
    <row r="142" spans="1:34">
      <c r="A142" s="166"/>
      <c r="B142" s="166"/>
      <c r="C142" s="159"/>
      <c r="D142" s="166"/>
      <c r="E142" s="166"/>
      <c r="F142" s="101"/>
      <c r="G142" s="159"/>
      <c r="H142" s="167"/>
      <c r="I142" s="174"/>
      <c r="J142" s="175"/>
      <c r="K142" s="87"/>
      <c r="L142" s="178"/>
      <c r="M142" s="177"/>
      <c r="N142" s="177"/>
      <c r="O142" s="178"/>
      <c r="P142" s="178"/>
      <c r="Q142" s="177"/>
      <c r="R142" s="179"/>
      <c r="S142" s="180"/>
      <c r="T142" s="171"/>
      <c r="U142" s="171"/>
      <c r="V142" s="162"/>
      <c r="W142" s="181"/>
      <c r="X142" s="181"/>
      <c r="Y142" s="164"/>
      <c r="Z142" s="182"/>
      <c r="AA142" s="164"/>
      <c r="AB142" s="186"/>
      <c r="AC142" s="169"/>
      <c r="AD142" s="164"/>
      <c r="AE142" s="169"/>
      <c r="AF142" s="169"/>
      <c r="AG142" s="184"/>
      <c r="AH142" s="185"/>
    </row>
    <row r="143" spans="1:34">
      <c r="A143" s="166"/>
      <c r="B143" s="166"/>
      <c r="C143" s="159"/>
      <c r="D143" s="166"/>
      <c r="E143" s="166"/>
      <c r="F143" s="101"/>
      <c r="G143" s="159"/>
      <c r="H143" s="167"/>
      <c r="I143" s="174"/>
      <c r="J143" s="175"/>
      <c r="K143" s="87"/>
      <c r="L143" s="178"/>
      <c r="M143" s="177"/>
      <c r="N143" s="177"/>
      <c r="O143" s="178"/>
      <c r="P143" s="178"/>
      <c r="Q143" s="177"/>
      <c r="R143" s="179"/>
      <c r="S143" s="180"/>
      <c r="T143" s="171"/>
      <c r="U143" s="171"/>
      <c r="V143" s="162"/>
      <c r="W143" s="181"/>
      <c r="X143" s="181"/>
      <c r="Y143" s="164"/>
      <c r="Z143" s="182"/>
      <c r="AA143" s="164"/>
      <c r="AB143" s="183"/>
      <c r="AC143" s="169"/>
      <c r="AD143" s="164"/>
      <c r="AE143" s="169"/>
      <c r="AF143" s="169"/>
      <c r="AG143" s="184"/>
      <c r="AH143" s="185"/>
    </row>
    <row r="144" spans="1:34">
      <c r="A144" s="166"/>
      <c r="B144" s="166"/>
      <c r="C144" s="159"/>
      <c r="D144" s="166"/>
      <c r="E144" s="166"/>
      <c r="F144" s="101"/>
      <c r="G144" s="159"/>
      <c r="H144" s="167"/>
      <c r="I144" s="174"/>
      <c r="J144" s="175"/>
      <c r="K144" s="87"/>
      <c r="L144" s="178"/>
      <c r="M144" s="177"/>
      <c r="N144" s="177"/>
      <c r="O144" s="178"/>
      <c r="P144" s="178"/>
      <c r="Q144" s="177"/>
      <c r="R144" s="179"/>
      <c r="S144" s="180"/>
      <c r="T144" s="171"/>
      <c r="U144" s="171"/>
      <c r="V144" s="162"/>
      <c r="W144" s="181"/>
      <c r="X144" s="181"/>
      <c r="Y144" s="164"/>
      <c r="Z144" s="182"/>
      <c r="AA144" s="164"/>
      <c r="AB144" s="183"/>
      <c r="AC144" s="169"/>
      <c r="AD144" s="164"/>
      <c r="AE144" s="169"/>
      <c r="AF144" s="169"/>
      <c r="AG144" s="184"/>
      <c r="AH144" s="185"/>
    </row>
    <row r="145" spans="1:34">
      <c r="A145" s="166"/>
      <c r="B145" s="166"/>
      <c r="C145" s="159"/>
      <c r="D145" s="166"/>
      <c r="E145" s="166"/>
      <c r="F145" s="101"/>
      <c r="G145" s="159"/>
      <c r="H145" s="167"/>
      <c r="I145" s="174"/>
      <c r="J145" s="175"/>
      <c r="K145" s="87"/>
      <c r="L145" s="178"/>
      <c r="M145" s="177"/>
      <c r="N145" s="177"/>
      <c r="O145" s="178"/>
      <c r="P145" s="178"/>
      <c r="Q145" s="177"/>
      <c r="R145" s="179"/>
      <c r="S145" s="180"/>
      <c r="T145" s="171"/>
      <c r="U145" s="171"/>
      <c r="V145" s="162"/>
      <c r="W145" s="181"/>
      <c r="X145" s="181"/>
      <c r="Y145" s="164"/>
      <c r="Z145" s="182"/>
      <c r="AA145" s="164"/>
      <c r="AB145" s="183"/>
      <c r="AC145" s="169"/>
      <c r="AD145" s="164"/>
      <c r="AE145" s="169"/>
      <c r="AF145" s="169"/>
      <c r="AG145" s="184"/>
      <c r="AH145" s="185"/>
    </row>
    <row r="146" spans="1:34">
      <c r="A146" s="166"/>
      <c r="B146" s="166"/>
      <c r="C146" s="159"/>
      <c r="D146" s="166"/>
      <c r="E146" s="166"/>
      <c r="F146" s="101"/>
      <c r="G146" s="159"/>
      <c r="H146" s="167"/>
      <c r="I146" s="174"/>
      <c r="J146" s="175"/>
      <c r="K146" s="87"/>
      <c r="L146" s="178"/>
      <c r="M146" s="177"/>
      <c r="N146" s="177"/>
      <c r="O146" s="178"/>
      <c r="P146" s="178"/>
      <c r="Q146" s="177"/>
      <c r="R146" s="179"/>
      <c r="S146" s="180"/>
      <c r="T146" s="171"/>
      <c r="U146" s="171"/>
      <c r="V146" s="162"/>
      <c r="W146" s="181"/>
      <c r="X146" s="181"/>
      <c r="Y146" s="164"/>
      <c r="Z146" s="182"/>
      <c r="AA146" s="164"/>
      <c r="AB146" s="183"/>
      <c r="AC146" s="169"/>
      <c r="AD146" s="164"/>
      <c r="AE146" s="169"/>
      <c r="AF146" s="169"/>
      <c r="AG146" s="184"/>
      <c r="AH146" s="185"/>
    </row>
    <row r="147" spans="1:34">
      <c r="A147" s="166"/>
      <c r="B147" s="166"/>
      <c r="C147" s="159"/>
      <c r="D147" s="166"/>
      <c r="E147" s="166"/>
      <c r="F147" s="101"/>
      <c r="G147" s="159"/>
      <c r="H147" s="167"/>
      <c r="I147" s="174"/>
      <c r="J147" s="175"/>
      <c r="K147" s="87"/>
      <c r="L147" s="178"/>
      <c r="M147" s="177"/>
      <c r="N147" s="177"/>
      <c r="O147" s="178"/>
      <c r="P147" s="178"/>
      <c r="Q147" s="177"/>
      <c r="R147" s="123"/>
      <c r="S147" s="124"/>
      <c r="T147" s="125"/>
      <c r="U147" s="125"/>
      <c r="V147" s="121"/>
      <c r="W147" s="126"/>
      <c r="X147" s="126"/>
      <c r="Y147" s="127"/>
      <c r="Z147" s="128"/>
      <c r="AA147" s="127"/>
      <c r="AB147" s="126"/>
      <c r="AC147" s="129"/>
      <c r="AD147" s="127"/>
      <c r="AE147" s="129"/>
      <c r="AF147" s="129"/>
      <c r="AG147" s="122"/>
      <c r="AH147" s="162"/>
    </row>
    <row r="148" spans="1:34">
      <c r="A148" s="166"/>
      <c r="B148" s="166"/>
      <c r="C148" s="159"/>
      <c r="D148" s="166"/>
      <c r="E148" s="166"/>
      <c r="F148" s="101"/>
      <c r="G148" s="159"/>
      <c r="H148" s="167"/>
      <c r="I148" s="175"/>
      <c r="J148" s="175"/>
      <c r="K148" s="177"/>
      <c r="L148" s="178"/>
      <c r="M148" s="177"/>
      <c r="N148" s="177"/>
      <c r="O148" s="178"/>
      <c r="P148" s="178"/>
      <c r="Q148" s="177"/>
      <c r="R148" s="148"/>
      <c r="S148" s="148"/>
      <c r="T148" s="148"/>
      <c r="U148" s="148"/>
      <c r="V148" s="148"/>
      <c r="W148" s="148"/>
      <c r="X148" s="148"/>
      <c r="Y148" s="148"/>
      <c r="Z148" s="160"/>
      <c r="AA148" s="177"/>
      <c r="AB148" s="148"/>
      <c r="AC148" s="148"/>
      <c r="AD148" s="148"/>
      <c r="AE148" s="148"/>
      <c r="AF148" s="148"/>
      <c r="AG148" s="148"/>
      <c r="AH148" s="148"/>
    </row>
  </sheetData>
  <mergeCells count="3">
    <mergeCell ref="A1:D1"/>
    <mergeCell ref="A2:D2"/>
    <mergeCell ref="R3:AH3"/>
  </mergeCells>
  <phoneticPr fontId="52" type="noConversion"/>
  <conditionalFormatting sqref="T6:U97">
    <cfRule type="cellIs" dxfId="10" priority="126" operator="between">
      <formula>11</formula>
      <formula>20</formula>
    </cfRule>
  </conditionalFormatting>
  <conditionalFormatting sqref="T1:V3">
    <cfRule type="cellIs" dxfId="9" priority="584" operator="between">
      <formula>11</formula>
      <formula>20</formula>
    </cfRule>
  </conditionalFormatting>
  <conditionalFormatting sqref="T4:V4">
    <cfRule type="cellIs" dxfId="8" priority="568" operator="between">
      <formula>111</formula>
      <formula>220</formula>
    </cfRule>
  </conditionalFormatting>
  <conditionalFormatting sqref="T5:V5">
    <cfRule type="cellIs" dxfId="7" priority="333" operator="between">
      <formula>11</formula>
      <formula>20</formula>
    </cfRule>
  </conditionalFormatting>
  <conditionalFormatting sqref="V6:V147 T148:V1048576 AK149:AM1048576">
    <cfRule type="cellIs" dxfId="6" priority="585" operator="between">
      <formula>11</formula>
      <formula>20</formula>
    </cfRule>
  </conditionalFormatting>
  <conditionalFormatting sqref="W1:W97">
    <cfRule type="cellIs" dxfId="5" priority="125" operator="between">
      <formula>111</formula>
      <formula>220</formula>
    </cfRule>
  </conditionalFormatting>
  <conditionalFormatting sqref="W148:W1048576 AN149:AN1048576">
    <cfRule type="cellIs" dxfId="4" priority="583" operator="between">
      <formula>111</formula>
      <formula>220</formula>
    </cfRule>
  </conditionalFormatting>
  <conditionalFormatting sqref="BB149:BD1048576">
    <cfRule type="cellIs" dxfId="3" priority="4" operator="between">
      <formula>11</formula>
      <formula>20</formula>
    </cfRule>
  </conditionalFormatting>
  <conditionalFormatting sqref="BE149:BE1048576">
    <cfRule type="cellIs" dxfId="2" priority="5" operator="between">
      <formula>111</formula>
      <formula>220</formula>
    </cfRule>
  </conditionalFormatting>
  <conditionalFormatting sqref="BS149:BU1048576">
    <cfRule type="cellIs" dxfId="1" priority="2" operator="between">
      <formula>11</formula>
      <formula>20</formula>
    </cfRule>
  </conditionalFormatting>
  <conditionalFormatting sqref="BV149:BV1048576">
    <cfRule type="cellIs" dxfId="0" priority="9" operator="between">
      <formula>111</formula>
      <formula>220</formula>
    </cfRule>
  </conditionalFormatting>
  <dataValidations count="10">
    <dataValidation type="whole" allowBlank="1" showInputMessage="1" showErrorMessage="1" sqref="W1:W4 BV149:BV1048576 W148:W1048576 AN149:AN1048576 BE149:BE1048576" xr:uid="{990AF14A-891D-47F6-89FB-3D82C86CE408}">
      <formula1>0</formula1>
      <formula2>230</formula2>
    </dataValidation>
    <dataValidation type="list" allowBlank="1" showInputMessage="1" showErrorMessage="1" sqref="AG5:AG6 Z5:Z6 Z20 Q5:Q6 AG53:AG54 Z53:Z54 Z68 Q53:Q54 AG99 Z123 Z126 Z102:Z120 Z129:Z147 Q120 Z99:Z100 Q99" xr:uid="{2F050C5F-F0FE-4913-BE20-F93AE80FDE1A}">
      <formula1>"(Select), NO, YES"</formula1>
    </dataValidation>
    <dataValidation type="list" allowBlank="1" showInputMessage="1" showErrorMessage="1" sqref="O5:O6 O53:O54 O99" xr:uid="{7CA78BAC-B48A-4FF6-BB0D-6BBD6C985430}">
      <formula1>"(Select), Burstable, Guaranteed"</formula1>
    </dataValidation>
    <dataValidation type="list" allowBlank="1" showInputMessage="1" showErrorMessage="1" sqref="AA5:AA14 AA16 AA18 AA20 AA29:AA30 AA34 AA46 AA64 AA66 AA68 AA76:AA77 AA81 AA96:AA97 AA52:AA62 AA99" xr:uid="{81392482-00B0-495D-9338-C60452540D17}">
      <formula1>"(Select), RWO, ROX, RWX"</formula1>
    </dataValidation>
    <dataValidation type="list" allowBlank="1" showInputMessage="1" showErrorMessage="1" sqref="D1:D3 L5:L97 L98:M98 L100:L1048576" xr:uid="{1F348496-D49E-4E9B-9162-74F1245BA28A}">
      <formula1>"YES - AAF,YES - AFF,NO"</formula1>
    </dataValidation>
    <dataValidation type="list" allowBlank="1" showInputMessage="1" showErrorMessage="1" sqref="K1:K3 K5:K1048576" xr:uid="{6DB36D92-ABF9-4811-B00B-8A8E1E43CD64}">
      <formula1>"No,Yes"</formula1>
    </dataValidation>
    <dataValidation type="list" allowBlank="1" showInputMessage="1" showErrorMessage="1" sqref="N1:N97 N100:N1048576" xr:uid="{0D7D5289-8B33-46EB-BEE9-4FA867E6E762}">
      <formula1>"True,False"</formula1>
    </dataValidation>
    <dataValidation type="list" allowBlank="1" showInputMessage="1" showErrorMessage="1" sqref="A1:A1048576" xr:uid="{37C57175-DF57-42F2-B6D1-12CAD8F9AFE1}">
      <formula1>"Feasibility,Committed"</formula1>
    </dataValidation>
    <dataValidation type="list" allowBlank="1" showInputMessage="1" showErrorMessage="1" sqref="G1:G1048576" xr:uid="{2EB6B9CF-AC0A-4BF8-9526-9DDDC280926F}">
      <formula1>"preemptive-high-priority,nonPreemptive-high-priority,preemptive-medium-high-priority,nonPreemptive-medium-high-priority,preemptive-medium-priority,nonPreemptive-medium-priority,preemptive-low-priority,nonPreemptive--low-priority"</formula1>
    </dataValidation>
    <dataValidation type="list" allowBlank="1" showInputMessage="1" showErrorMessage="1" sqref="C1:C1048576" xr:uid="{160E40A5-4C03-49DD-BE6D-21EFD9CF84DB}">
      <formula1>"Data Core, Voice Core,VINO, SDD,Others"</formula1>
    </dataValidation>
  </dataValidations>
  <pageMargins left="0.7" right="0.7" top="0.75" bottom="0.75" header="0.3" footer="0.3"/>
  <pageSetup orientation="portrait" r:id="rId1"/>
  <headerFooter>
    <oddFooter>&amp;L&amp;1#&amp;"Calibri"&amp;7&amp;K000000C2 General</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B17"/>
  <sheetViews>
    <sheetView zoomScale="55" zoomScaleNormal="55" workbookViewId="0"/>
  </sheetViews>
  <sheetFormatPr defaultColWidth="8.81640625" defaultRowHeight="14.5"/>
  <cols>
    <col min="1" max="1" width="40.453125" style="18" customWidth="1"/>
    <col min="2" max="2" width="89.54296875" style="18" customWidth="1"/>
    <col min="3" max="3" width="12.54296875" style="18" customWidth="1"/>
    <col min="4" max="16384" width="8.81640625" style="18"/>
  </cols>
  <sheetData>
    <row r="1" spans="1:2" ht="25.4" customHeight="1">
      <c r="A1" s="8" t="s">
        <v>351</v>
      </c>
    </row>
    <row r="2" spans="1:2" ht="19.75" customHeight="1">
      <c r="A2" s="18" t="s">
        <v>352</v>
      </c>
    </row>
    <row r="3" spans="1:2" ht="19.75" customHeight="1">
      <c r="A3" s="19" t="s">
        <v>353</v>
      </c>
    </row>
    <row r="4" spans="1:2" ht="20.5" customHeight="1">
      <c r="A4" s="19" t="s">
        <v>354</v>
      </c>
    </row>
    <row r="5" spans="1:2">
      <c r="A5" s="19" t="s">
        <v>355</v>
      </c>
    </row>
    <row r="6" spans="1:2">
      <c r="A6" s="19" t="s">
        <v>356</v>
      </c>
    </row>
    <row r="8" spans="1:2">
      <c r="A8" s="188" t="s">
        <v>357</v>
      </c>
      <c r="B8" s="188" t="s">
        <v>358</v>
      </c>
    </row>
    <row r="9" spans="1:2" ht="158.5" customHeight="1">
      <c r="A9" s="189" t="s">
        <v>359</v>
      </c>
      <c r="B9" s="190" t="s">
        <v>360</v>
      </c>
    </row>
    <row r="10" spans="1:2" ht="43.5">
      <c r="A10" s="191" t="s">
        <v>361</v>
      </c>
      <c r="B10" s="192" t="s">
        <v>362</v>
      </c>
    </row>
    <row r="11" spans="1:2" ht="29">
      <c r="A11" s="191" t="s">
        <v>363</v>
      </c>
      <c r="B11" s="193" t="s">
        <v>364</v>
      </c>
    </row>
    <row r="12" spans="1:2" ht="29">
      <c r="A12" s="191" t="s">
        <v>365</v>
      </c>
      <c r="B12" s="194" t="s">
        <v>366</v>
      </c>
    </row>
    <row r="14" spans="1:2" s="36" customFormat="1"/>
    <row r="15" spans="1:2" s="36" customFormat="1"/>
    <row r="16" spans="1:2" s="36" customFormat="1"/>
    <row r="17" s="36" customFormat="1"/>
  </sheetData>
  <pageMargins left="0.7" right="0.7" top="0.75" bottom="0.75" header="0.3" footer="0.3"/>
  <pageSetup paperSize="9" orientation="portrait" r:id="rId1"/>
  <headerFooter>
    <oddFooter>&amp;L&amp;1#&amp;"Calibri"&amp;7&amp;K000000C2 General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H15"/>
  <sheetViews>
    <sheetView zoomScale="70" zoomScaleNormal="70" workbookViewId="0">
      <selection activeCell="G30" sqref="G30"/>
    </sheetView>
  </sheetViews>
  <sheetFormatPr defaultColWidth="9.1796875" defaultRowHeight="14.5"/>
  <cols>
    <col min="1" max="1" width="39.26953125" style="5" customWidth="1"/>
    <col min="2" max="8" width="25.81640625" style="5" customWidth="1"/>
    <col min="9" max="16384" width="9.1796875" style="5"/>
  </cols>
  <sheetData>
    <row r="1" spans="1:8" s="9" customFormat="1">
      <c r="A1" s="9" t="s">
        <v>351</v>
      </c>
    </row>
    <row r="2" spans="1:8" s="10" customFormat="1">
      <c r="A2" s="11" t="s">
        <v>367</v>
      </c>
    </row>
    <row r="3" spans="1:8" s="10" customFormat="1" ht="15" thickBot="1"/>
    <row r="4" spans="1:8" ht="92.25" customHeight="1" thickBot="1">
      <c r="A4" s="3" t="s">
        <v>368</v>
      </c>
      <c r="B4" s="76" t="s">
        <v>369</v>
      </c>
      <c r="C4" s="77" t="s">
        <v>370</v>
      </c>
      <c r="D4" s="1" t="s">
        <v>371</v>
      </c>
      <c r="E4" s="2" t="s">
        <v>372</v>
      </c>
      <c r="F4" s="1"/>
      <c r="G4" s="2"/>
      <c r="H4" s="1"/>
    </row>
    <row r="5" spans="1:8" ht="27" customHeight="1">
      <c r="A5" s="95" t="s">
        <v>373</v>
      </c>
      <c r="B5" s="96"/>
      <c r="C5" s="97"/>
      <c r="D5" s="98"/>
      <c r="E5" s="99"/>
      <c r="F5" s="98"/>
      <c r="G5" s="99"/>
      <c r="H5" s="98"/>
    </row>
    <row r="6" spans="1:8">
      <c r="A6" s="195" t="s">
        <v>348</v>
      </c>
      <c r="B6" s="196">
        <v>2600</v>
      </c>
      <c r="C6" s="148">
        <f>B6*4</f>
        <v>10400</v>
      </c>
      <c r="D6" s="196"/>
      <c r="E6" s="148"/>
      <c r="F6" s="196"/>
      <c r="G6" s="148"/>
      <c r="H6" s="196"/>
    </row>
    <row r="7" spans="1:8">
      <c r="A7" s="60" t="s">
        <v>344</v>
      </c>
      <c r="B7" s="196">
        <v>5600</v>
      </c>
      <c r="C7" s="4">
        <f>B7*2</f>
        <v>11200</v>
      </c>
      <c r="D7" s="196"/>
      <c r="E7" s="148"/>
      <c r="F7" s="196"/>
      <c r="G7" s="148"/>
      <c r="H7" s="196"/>
    </row>
    <row r="8" spans="1:8">
      <c r="A8" s="60" t="s">
        <v>341</v>
      </c>
      <c r="B8" s="196">
        <v>2000</v>
      </c>
      <c r="C8" s="4">
        <f>B8*4</f>
        <v>8000</v>
      </c>
      <c r="D8" s="196"/>
      <c r="E8" s="148"/>
      <c r="F8" s="196"/>
      <c r="G8" s="148"/>
      <c r="H8" s="196"/>
    </row>
    <row r="9" spans="1:8">
      <c r="A9" s="60" t="s">
        <v>339</v>
      </c>
      <c r="B9" s="196">
        <v>20000</v>
      </c>
      <c r="C9" s="4">
        <f>B9*4</f>
        <v>80000</v>
      </c>
      <c r="D9" s="196"/>
      <c r="E9" s="148"/>
      <c r="F9" s="196"/>
      <c r="G9" s="148"/>
      <c r="H9" s="196"/>
    </row>
    <row r="10" spans="1:8">
      <c r="A10" s="60" t="s">
        <v>350</v>
      </c>
      <c r="B10" s="196">
        <v>6400</v>
      </c>
      <c r="C10" s="4">
        <f>B10*4</f>
        <v>25600</v>
      </c>
      <c r="D10" s="196"/>
      <c r="E10" s="148"/>
      <c r="F10" s="196"/>
      <c r="G10" s="148"/>
      <c r="H10" s="196"/>
    </row>
    <row r="11" spans="1:8">
      <c r="A11" s="60" t="s">
        <v>345</v>
      </c>
      <c r="B11" s="196">
        <v>12000</v>
      </c>
      <c r="C11" s="4">
        <f>B11*4</f>
        <v>48000</v>
      </c>
      <c r="D11" s="196"/>
      <c r="E11" s="148"/>
      <c r="F11" s="196"/>
      <c r="G11" s="148"/>
      <c r="H11" s="196"/>
    </row>
    <row r="12" spans="1:8">
      <c r="A12" s="61" t="s">
        <v>374</v>
      </c>
      <c r="B12" s="130">
        <v>3180</v>
      </c>
      <c r="C12" s="4">
        <v>12720</v>
      </c>
      <c r="D12" s="130"/>
      <c r="E12" s="148"/>
      <c r="F12" s="130"/>
      <c r="G12" s="148"/>
      <c r="H12" s="130"/>
    </row>
    <row r="13" spans="1:8" ht="15" thickBot="1">
      <c r="A13" s="199"/>
      <c r="B13" s="200"/>
      <c r="C13" s="201"/>
      <c r="D13" s="200"/>
      <c r="E13" s="201"/>
      <c r="F13" s="200"/>
      <c r="G13" s="201"/>
      <c r="H13" s="200"/>
    </row>
    <row r="15" spans="1:8" s="10" customFormat="1">
      <c r="A15" s="11" t="s">
        <v>375</v>
      </c>
    </row>
  </sheetData>
  <pageMargins left="0.7" right="0.7" top="0.75" bottom="0.75" header="0.3" footer="0.3"/>
  <pageSetup paperSize="9" orientation="portrait" r:id="rId1"/>
  <headerFooter>
    <oddFooter>&amp;L&amp;1#&amp;"Calibri"&amp;7&amp;K000000C2 General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I121"/>
  <sheetViews>
    <sheetView topLeftCell="A65" zoomScale="70" zoomScaleNormal="70" workbookViewId="0">
      <selection activeCell="D141" sqref="D141"/>
    </sheetView>
  </sheetViews>
  <sheetFormatPr defaultColWidth="9.1796875" defaultRowHeight="14.5"/>
  <cols>
    <col min="1" max="1" width="43.7265625" style="5" bestFit="1" customWidth="1"/>
    <col min="2" max="7" width="14" style="5" customWidth="1"/>
    <col min="8" max="8" width="3.54296875" style="5" customWidth="1"/>
    <col min="9" max="16384" width="9.1796875" style="5"/>
  </cols>
  <sheetData>
    <row r="1" spans="1:6" ht="15" thickBot="1">
      <c r="A1" s="228" t="s">
        <v>376</v>
      </c>
      <c r="B1" s="229"/>
      <c r="C1" s="229"/>
      <c r="D1" s="229"/>
      <c r="E1" s="230"/>
      <c r="F1" s="22"/>
    </row>
    <row r="2" spans="1:6" s="82" customFormat="1" ht="29.5" thickBot="1">
      <c r="A2" s="78" t="s">
        <v>368</v>
      </c>
      <c r="B2" s="79" t="s">
        <v>377</v>
      </c>
      <c r="C2" s="79" t="s">
        <v>378</v>
      </c>
      <c r="D2" s="79" t="s">
        <v>379</v>
      </c>
      <c r="E2" s="80" t="s">
        <v>380</v>
      </c>
      <c r="F2" s="81"/>
    </row>
    <row r="3" spans="1:6">
      <c r="A3" s="27" t="s">
        <v>299</v>
      </c>
      <c r="B3" s="62">
        <v>2</v>
      </c>
      <c r="C3" s="28">
        <v>2</v>
      </c>
      <c r="D3" s="28">
        <v>0.5</v>
      </c>
      <c r="E3" s="29">
        <v>0</v>
      </c>
    </row>
    <row r="4" spans="1:6">
      <c r="A4" s="202" t="s">
        <v>300</v>
      </c>
      <c r="B4" s="203">
        <v>1</v>
      </c>
      <c r="C4" s="204">
        <v>0.25</v>
      </c>
      <c r="D4" s="204">
        <v>7.5000000000000011E-2</v>
      </c>
      <c r="E4" s="205">
        <v>0</v>
      </c>
    </row>
    <row r="5" spans="1:6">
      <c r="A5" s="206" t="s">
        <v>301</v>
      </c>
      <c r="B5" s="207">
        <v>1</v>
      </c>
      <c r="C5" s="208">
        <v>2</v>
      </c>
      <c r="D5" s="208">
        <v>0.5</v>
      </c>
      <c r="E5" s="209">
        <v>0</v>
      </c>
    </row>
    <row r="6" spans="1:6">
      <c r="A6" s="202" t="s">
        <v>302</v>
      </c>
      <c r="B6" s="203">
        <v>1</v>
      </c>
      <c r="C6" s="204">
        <v>2.5</v>
      </c>
      <c r="D6" s="204">
        <v>6.5250000000000004</v>
      </c>
      <c r="E6" s="205">
        <v>0</v>
      </c>
    </row>
    <row r="7" spans="1:6">
      <c r="A7" s="206" t="s">
        <v>303</v>
      </c>
      <c r="B7" s="207">
        <v>1</v>
      </c>
      <c r="C7" s="208">
        <v>2</v>
      </c>
      <c r="D7" s="208">
        <v>4</v>
      </c>
      <c r="E7" s="209">
        <v>15</v>
      </c>
    </row>
    <row r="8" spans="1:6">
      <c r="A8" s="202" t="s">
        <v>304</v>
      </c>
      <c r="B8" s="203">
        <v>3</v>
      </c>
      <c r="C8" s="204">
        <v>2.25</v>
      </c>
      <c r="D8" s="204">
        <v>4.05</v>
      </c>
      <c r="E8" s="205">
        <v>5</v>
      </c>
    </row>
    <row r="9" spans="1:6">
      <c r="A9" s="206" t="s">
        <v>305</v>
      </c>
      <c r="B9" s="207">
        <v>3</v>
      </c>
      <c r="C9" s="208">
        <v>1.25</v>
      </c>
      <c r="D9" s="208">
        <v>1.05</v>
      </c>
      <c r="E9" s="209">
        <v>1</v>
      </c>
    </row>
    <row r="10" spans="1:6">
      <c r="A10" s="202" t="s">
        <v>306</v>
      </c>
      <c r="B10" s="203">
        <v>1</v>
      </c>
      <c r="C10" s="204">
        <v>1</v>
      </c>
      <c r="D10" s="204">
        <v>2</v>
      </c>
      <c r="E10" s="205">
        <v>0</v>
      </c>
    </row>
    <row r="11" spans="1:6">
      <c r="A11" s="206" t="s">
        <v>307</v>
      </c>
      <c r="B11" s="207">
        <v>3</v>
      </c>
      <c r="C11" s="208">
        <v>1.25</v>
      </c>
      <c r="D11" s="208">
        <v>1.05</v>
      </c>
      <c r="E11" s="209">
        <v>1</v>
      </c>
    </row>
    <row r="12" spans="1:6">
      <c r="A12" s="202" t="s">
        <v>308</v>
      </c>
      <c r="B12" s="203">
        <v>2</v>
      </c>
      <c r="C12" s="204">
        <v>1.25</v>
      </c>
      <c r="D12" s="204">
        <v>2.75</v>
      </c>
      <c r="E12" s="205">
        <v>8</v>
      </c>
    </row>
    <row r="13" spans="1:6">
      <c r="A13" s="206" t="s">
        <v>309</v>
      </c>
      <c r="B13" s="207">
        <v>1</v>
      </c>
      <c r="C13" s="208">
        <v>2</v>
      </c>
      <c r="D13" s="208">
        <v>2.5</v>
      </c>
      <c r="E13" s="209">
        <v>0</v>
      </c>
    </row>
    <row r="14" spans="1:6">
      <c r="A14" s="202" t="s">
        <v>310</v>
      </c>
      <c r="B14" s="203">
        <v>3</v>
      </c>
      <c r="C14" s="204">
        <v>3</v>
      </c>
      <c r="D14" s="204">
        <v>9</v>
      </c>
      <c r="E14" s="205">
        <v>15</v>
      </c>
    </row>
    <row r="15" spans="1:6">
      <c r="A15" s="206" t="s">
        <v>311</v>
      </c>
      <c r="B15" s="207">
        <v>1</v>
      </c>
      <c r="C15" s="208">
        <v>0.25</v>
      </c>
      <c r="D15" s="208">
        <v>0.1</v>
      </c>
      <c r="E15" s="209">
        <v>0</v>
      </c>
    </row>
    <row r="16" spans="1:6">
      <c r="A16" s="202" t="s">
        <v>312</v>
      </c>
      <c r="B16" s="203">
        <v>2</v>
      </c>
      <c r="C16" s="204">
        <v>1</v>
      </c>
      <c r="D16" s="204">
        <v>4.25</v>
      </c>
      <c r="E16" s="205">
        <v>100</v>
      </c>
    </row>
    <row r="17" spans="1:5">
      <c r="A17" s="206" t="s">
        <v>313</v>
      </c>
      <c r="B17" s="207">
        <v>1</v>
      </c>
      <c r="C17" s="208">
        <v>0.75</v>
      </c>
      <c r="D17" s="208">
        <v>2.25</v>
      </c>
      <c r="E17" s="209">
        <v>0</v>
      </c>
    </row>
    <row r="18" spans="1:5">
      <c r="A18" s="202" t="s">
        <v>314</v>
      </c>
      <c r="B18" s="203">
        <v>3</v>
      </c>
      <c r="C18" s="204">
        <v>0.75</v>
      </c>
      <c r="D18" s="204">
        <v>1.75</v>
      </c>
      <c r="E18" s="205">
        <v>1</v>
      </c>
    </row>
    <row r="19" spans="1:5">
      <c r="A19" s="206" t="s">
        <v>315</v>
      </c>
      <c r="B19" s="207">
        <v>1</v>
      </c>
      <c r="C19" s="208">
        <v>0.5</v>
      </c>
      <c r="D19" s="208">
        <v>0.2</v>
      </c>
      <c r="E19" s="209">
        <v>0</v>
      </c>
    </row>
    <row r="20" spans="1:5">
      <c r="A20" s="202" t="s">
        <v>316</v>
      </c>
      <c r="B20" s="203">
        <v>2</v>
      </c>
      <c r="C20" s="204">
        <v>2</v>
      </c>
      <c r="D20" s="204">
        <v>1</v>
      </c>
      <c r="E20" s="205">
        <v>0</v>
      </c>
    </row>
    <row r="21" spans="1:5">
      <c r="A21" s="206" t="s">
        <v>317</v>
      </c>
      <c r="B21" s="207">
        <v>1</v>
      </c>
      <c r="C21" s="208">
        <v>0.5</v>
      </c>
      <c r="D21" s="208">
        <v>1.5</v>
      </c>
      <c r="E21" s="209">
        <v>0</v>
      </c>
    </row>
    <row r="22" spans="1:5">
      <c r="A22" s="202" t="s">
        <v>318</v>
      </c>
      <c r="B22" s="203">
        <v>2</v>
      </c>
      <c r="C22" s="204">
        <v>2</v>
      </c>
      <c r="D22" s="204">
        <v>4</v>
      </c>
      <c r="E22" s="205">
        <v>0</v>
      </c>
    </row>
    <row r="23" spans="1:5">
      <c r="A23" s="206" t="s">
        <v>319</v>
      </c>
      <c r="B23" s="207">
        <v>1</v>
      </c>
      <c r="C23" s="208">
        <v>1.5</v>
      </c>
      <c r="D23" s="208">
        <v>4</v>
      </c>
      <c r="E23" s="209">
        <v>0</v>
      </c>
    </row>
    <row r="24" spans="1:5">
      <c r="A24" s="202" t="s">
        <v>320</v>
      </c>
      <c r="B24" s="203">
        <v>2</v>
      </c>
      <c r="C24" s="204">
        <v>2.25</v>
      </c>
      <c r="D24" s="204">
        <v>8.375</v>
      </c>
      <c r="E24" s="205">
        <v>0</v>
      </c>
    </row>
    <row r="25" spans="1:5">
      <c r="A25" s="206" t="s">
        <v>321</v>
      </c>
      <c r="B25" s="207">
        <v>1</v>
      </c>
      <c r="C25" s="208">
        <v>1.5</v>
      </c>
      <c r="D25" s="208">
        <v>1.4000000000000001</v>
      </c>
      <c r="E25" s="209">
        <v>0</v>
      </c>
    </row>
    <row r="26" spans="1:5">
      <c r="A26" s="202" t="s">
        <v>322</v>
      </c>
      <c r="B26" s="203">
        <v>1</v>
      </c>
      <c r="C26" s="204">
        <v>0.5</v>
      </c>
      <c r="D26" s="204">
        <v>0.25</v>
      </c>
      <c r="E26" s="205">
        <v>0</v>
      </c>
    </row>
    <row r="27" spans="1:5">
      <c r="A27" s="206" t="s">
        <v>323</v>
      </c>
      <c r="B27" s="207">
        <v>1</v>
      </c>
      <c r="C27" s="208">
        <v>3</v>
      </c>
      <c r="D27" s="208">
        <v>0.60000000000000009</v>
      </c>
      <c r="E27" s="209">
        <v>10</v>
      </c>
    </row>
    <row r="28" spans="1:5">
      <c r="A28" s="202" t="s">
        <v>324</v>
      </c>
      <c r="B28" s="203">
        <v>1</v>
      </c>
      <c r="C28" s="204">
        <v>4.5</v>
      </c>
      <c r="D28" s="204">
        <v>8.2000000000000011</v>
      </c>
      <c r="E28" s="205">
        <v>80</v>
      </c>
    </row>
    <row r="29" spans="1:5">
      <c r="A29" s="206" t="s">
        <v>325</v>
      </c>
      <c r="B29" s="207">
        <v>1</v>
      </c>
      <c r="C29" s="208">
        <v>0.5</v>
      </c>
      <c r="D29" s="208">
        <v>0.5</v>
      </c>
      <c r="E29" s="209">
        <v>0</v>
      </c>
    </row>
    <row r="30" spans="1:5">
      <c r="A30" s="202" t="s">
        <v>326</v>
      </c>
      <c r="B30" s="203">
        <v>1</v>
      </c>
      <c r="C30" s="204">
        <v>1</v>
      </c>
      <c r="D30" s="204">
        <v>2</v>
      </c>
      <c r="E30" s="205">
        <v>0</v>
      </c>
    </row>
    <row r="31" spans="1:5">
      <c r="A31" s="206" t="s">
        <v>327</v>
      </c>
      <c r="B31" s="207">
        <v>2</v>
      </c>
      <c r="C31" s="208">
        <v>1</v>
      </c>
      <c r="D31" s="208">
        <v>3.1750000000000003</v>
      </c>
      <c r="E31" s="209">
        <v>0</v>
      </c>
    </row>
    <row r="32" spans="1:5">
      <c r="A32" s="202" t="s">
        <v>328</v>
      </c>
      <c r="B32" s="203">
        <v>2</v>
      </c>
      <c r="C32" s="204">
        <v>1.25</v>
      </c>
      <c r="D32" s="204">
        <v>2.125</v>
      </c>
      <c r="E32" s="205">
        <v>8</v>
      </c>
    </row>
    <row r="33" spans="1:5">
      <c r="A33" s="206" t="s">
        <v>329</v>
      </c>
      <c r="B33" s="207">
        <v>1</v>
      </c>
      <c r="C33" s="208">
        <v>1.5</v>
      </c>
      <c r="D33" s="208">
        <v>3</v>
      </c>
      <c r="E33" s="209">
        <v>0</v>
      </c>
    </row>
    <row r="34" spans="1:5">
      <c r="A34" s="202" t="s">
        <v>330</v>
      </c>
      <c r="B34" s="203">
        <v>2</v>
      </c>
      <c r="C34" s="204">
        <v>1.5</v>
      </c>
      <c r="D34" s="204">
        <v>0.8</v>
      </c>
      <c r="E34" s="205">
        <v>0</v>
      </c>
    </row>
    <row r="35" spans="1:5">
      <c r="A35" s="206" t="s">
        <v>331</v>
      </c>
      <c r="B35" s="207">
        <v>1</v>
      </c>
      <c r="C35" s="208">
        <v>0.25</v>
      </c>
      <c r="D35" s="208">
        <v>0.1</v>
      </c>
      <c r="E35" s="209">
        <v>0</v>
      </c>
    </row>
    <row r="36" spans="1:5">
      <c r="A36" s="202" t="s">
        <v>332</v>
      </c>
      <c r="B36" s="203">
        <v>2</v>
      </c>
      <c r="C36" s="204">
        <v>0.25</v>
      </c>
      <c r="D36" s="204">
        <v>0.30000000000000004</v>
      </c>
      <c r="E36" s="205">
        <v>0</v>
      </c>
    </row>
    <row r="37" spans="1:5">
      <c r="A37" s="206" t="s">
        <v>333</v>
      </c>
      <c r="B37" s="207">
        <v>1</v>
      </c>
      <c r="C37" s="208">
        <v>0.5</v>
      </c>
      <c r="D37" s="208">
        <v>0.4</v>
      </c>
      <c r="E37" s="209">
        <v>0</v>
      </c>
    </row>
    <row r="38" spans="1:5">
      <c r="A38" s="202" t="s">
        <v>334</v>
      </c>
      <c r="B38" s="203">
        <v>1</v>
      </c>
      <c r="C38" s="204">
        <v>0.25</v>
      </c>
      <c r="D38" s="204">
        <v>0.5</v>
      </c>
      <c r="E38" s="205">
        <v>0</v>
      </c>
    </row>
    <row r="39" spans="1:5">
      <c r="A39" s="206" t="s">
        <v>335</v>
      </c>
      <c r="B39" s="207">
        <v>1</v>
      </c>
      <c r="C39" s="208">
        <v>0.75</v>
      </c>
      <c r="D39" s="208">
        <v>1</v>
      </c>
      <c r="E39" s="209">
        <v>0</v>
      </c>
    </row>
    <row r="40" spans="1:5">
      <c r="A40" s="202" t="s">
        <v>336</v>
      </c>
      <c r="B40" s="203">
        <v>1</v>
      </c>
      <c r="C40" s="204">
        <v>0.25</v>
      </c>
      <c r="D40" s="204">
        <v>0.25</v>
      </c>
      <c r="E40" s="205">
        <v>0</v>
      </c>
    </row>
    <row r="41" spans="1:5">
      <c r="A41" s="206" t="s">
        <v>350</v>
      </c>
      <c r="B41" s="207">
        <v>2</v>
      </c>
      <c r="C41" s="208">
        <v>3</v>
      </c>
      <c r="D41" s="208">
        <v>2</v>
      </c>
      <c r="E41" s="209">
        <v>0</v>
      </c>
    </row>
    <row r="42" spans="1:5">
      <c r="A42" s="202" t="s">
        <v>345</v>
      </c>
      <c r="B42" s="203">
        <v>2</v>
      </c>
      <c r="C42" s="204">
        <v>4</v>
      </c>
      <c r="D42" s="204">
        <v>0.5</v>
      </c>
      <c r="E42" s="205">
        <v>0</v>
      </c>
    </row>
    <row r="43" spans="1:5">
      <c r="A43" s="206" t="s">
        <v>337</v>
      </c>
      <c r="B43" s="207">
        <v>3</v>
      </c>
      <c r="C43" s="208">
        <v>0.25</v>
      </c>
      <c r="D43" s="208">
        <v>0.5</v>
      </c>
      <c r="E43" s="209">
        <v>0</v>
      </c>
    </row>
    <row r="44" spans="1:5">
      <c r="A44" s="202" t="s">
        <v>338</v>
      </c>
      <c r="B44" s="203">
        <v>3</v>
      </c>
      <c r="C44" s="204">
        <v>1</v>
      </c>
      <c r="D44" s="204">
        <v>0.30000000000000004</v>
      </c>
      <c r="E44" s="205">
        <v>0</v>
      </c>
    </row>
    <row r="45" spans="1:5">
      <c r="A45" s="206" t="s">
        <v>339</v>
      </c>
      <c r="B45" s="207">
        <v>2</v>
      </c>
      <c r="C45" s="208">
        <v>8</v>
      </c>
      <c r="D45" s="208">
        <v>8</v>
      </c>
      <c r="E45" s="209">
        <v>0</v>
      </c>
    </row>
    <row r="46" spans="1:5">
      <c r="A46" s="202" t="s">
        <v>340</v>
      </c>
      <c r="B46" s="203">
        <v>2</v>
      </c>
      <c r="C46" s="204">
        <v>5.75</v>
      </c>
      <c r="D46" s="204">
        <v>17.100000000000001</v>
      </c>
      <c r="E46" s="205">
        <v>120</v>
      </c>
    </row>
    <row r="47" spans="1:5">
      <c r="A47" s="206" t="s">
        <v>341</v>
      </c>
      <c r="B47" s="207">
        <v>2</v>
      </c>
      <c r="C47" s="208">
        <v>9</v>
      </c>
      <c r="D47" s="208">
        <v>11.25</v>
      </c>
      <c r="E47" s="209">
        <v>0</v>
      </c>
    </row>
    <row r="48" spans="1:5">
      <c r="A48" s="202" t="s">
        <v>342</v>
      </c>
      <c r="B48" s="203">
        <v>2</v>
      </c>
      <c r="C48" s="204">
        <v>1</v>
      </c>
      <c r="D48" s="204">
        <v>1</v>
      </c>
      <c r="E48" s="205">
        <v>0</v>
      </c>
    </row>
    <row r="49" spans="1:9">
      <c r="A49" s="206" t="s">
        <v>343</v>
      </c>
      <c r="B49" s="207">
        <v>2</v>
      </c>
      <c r="C49" s="208">
        <v>1</v>
      </c>
      <c r="D49" s="208">
        <v>1</v>
      </c>
      <c r="E49" s="209">
        <v>0</v>
      </c>
    </row>
    <row r="50" spans="1:9">
      <c r="A50" s="202" t="s">
        <v>344</v>
      </c>
      <c r="B50" s="203">
        <v>2</v>
      </c>
      <c r="C50" s="204">
        <v>2</v>
      </c>
      <c r="D50" s="204">
        <v>1.5</v>
      </c>
      <c r="E50" s="205">
        <v>0</v>
      </c>
    </row>
    <row r="51" spans="1:9" ht="15" thickBot="1">
      <c r="A51" s="206" t="s">
        <v>381</v>
      </c>
      <c r="B51" s="207">
        <v>2</v>
      </c>
      <c r="C51" s="208">
        <v>1</v>
      </c>
      <c r="D51" s="208">
        <v>1</v>
      </c>
      <c r="E51" s="209">
        <v>0</v>
      </c>
    </row>
    <row r="52" spans="1:9" ht="15" thickBot="1">
      <c r="A52" s="30" t="s">
        <v>382</v>
      </c>
      <c r="B52" s="31"/>
      <c r="C52" s="31">
        <f>SUMPRODUCT(C3:C51, B3:B51)</f>
        <v>155.5</v>
      </c>
      <c r="D52" s="31"/>
      <c r="E52" s="32">
        <f>SUMPRODUCT(E3:E51, B3:B51)</f>
        <v>646</v>
      </c>
    </row>
    <row r="55" spans="1:9" ht="15" thickBot="1">
      <c r="A55" s="231" t="s">
        <v>383</v>
      </c>
      <c r="B55" s="232"/>
      <c r="C55" s="232"/>
      <c r="D55" s="232"/>
      <c r="E55" s="232"/>
      <c r="F55" s="232"/>
      <c r="G55" s="232"/>
      <c r="H55" s="33"/>
    </row>
    <row r="56" spans="1:9" ht="26">
      <c r="A56" s="34" t="s">
        <v>384</v>
      </c>
      <c r="B56" s="34" t="s">
        <v>385</v>
      </c>
      <c r="C56" s="34"/>
      <c r="D56" s="34"/>
      <c r="E56" s="34"/>
      <c r="F56" s="34"/>
      <c r="G56" s="34"/>
    </row>
    <row r="57" spans="1:9" ht="15" thickBot="1">
      <c r="A57" s="201">
        <f>'Capacity statements'!B7</f>
        <v>5600</v>
      </c>
      <c r="B57" s="201">
        <f>'Capacity statements'!B8</f>
        <v>2000</v>
      </c>
      <c r="C57" s="201"/>
      <c r="D57" s="201"/>
      <c r="E57" s="201"/>
      <c r="F57" s="201"/>
      <c r="G57" s="201"/>
      <c r="I57" s="5" t="s">
        <v>386</v>
      </c>
    </row>
    <row r="58" spans="1:9">
      <c r="A58" s="35">
        <f t="shared" ref="A58:G58" si="0">A57/$C$52</f>
        <v>36.012861736334408</v>
      </c>
      <c r="B58" s="35">
        <f t="shared" si="0"/>
        <v>12.861736334405144</v>
      </c>
      <c r="C58" s="35"/>
      <c r="D58" s="35"/>
      <c r="E58" s="35"/>
      <c r="F58" s="35"/>
      <c r="G58" s="35">
        <f t="shared" si="0"/>
        <v>0</v>
      </c>
      <c r="I58" s="5" t="s">
        <v>387</v>
      </c>
    </row>
    <row r="59" spans="1:9" ht="15" thickBot="1">
      <c r="A59" s="210">
        <f t="shared" ref="A59:G59" si="1">A57/$E$52</f>
        <v>8.6687306501547994</v>
      </c>
      <c r="B59" s="210">
        <f t="shared" si="1"/>
        <v>3.0959752321981426</v>
      </c>
      <c r="C59" s="210"/>
      <c r="D59" s="210"/>
      <c r="E59" s="210"/>
      <c r="F59" s="210"/>
      <c r="G59" s="210">
        <f t="shared" si="1"/>
        <v>0</v>
      </c>
      <c r="I59" s="5" t="s">
        <v>388</v>
      </c>
    </row>
    <row r="61" spans="1:9" s="100" customFormat="1"/>
    <row r="62" spans="1:9" ht="15" thickBot="1"/>
    <row r="63" spans="1:9" ht="15" thickBot="1">
      <c r="A63" s="228" t="s">
        <v>389</v>
      </c>
      <c r="B63" s="229"/>
      <c r="C63" s="229"/>
      <c r="D63" s="229"/>
      <c r="E63" s="230"/>
      <c r="F63" s="22"/>
    </row>
    <row r="64" spans="1:9" s="82" customFormat="1" ht="29.5" thickBot="1">
      <c r="A64" s="78" t="s">
        <v>368</v>
      </c>
      <c r="B64" s="79" t="s">
        <v>377</v>
      </c>
      <c r="C64" s="79" t="s">
        <v>378</v>
      </c>
      <c r="D64" s="79" t="s">
        <v>379</v>
      </c>
      <c r="E64" s="80" t="s">
        <v>380</v>
      </c>
      <c r="F64" s="81"/>
    </row>
    <row r="65" spans="1:5">
      <c r="A65" s="27" t="s">
        <v>299</v>
      </c>
      <c r="B65" s="62">
        <v>2</v>
      </c>
      <c r="C65" s="28">
        <v>2</v>
      </c>
      <c r="D65" s="28">
        <v>0.5</v>
      </c>
      <c r="E65" s="29">
        <v>0</v>
      </c>
    </row>
    <row r="66" spans="1:5">
      <c r="A66" s="202" t="s">
        <v>300</v>
      </c>
      <c r="B66" s="203">
        <v>1</v>
      </c>
      <c r="C66" s="204">
        <v>0.25</v>
      </c>
      <c r="D66" s="204">
        <v>7.5000000000000011E-2</v>
      </c>
      <c r="E66" s="205">
        <v>0</v>
      </c>
    </row>
    <row r="67" spans="1:5">
      <c r="A67" s="206" t="s">
        <v>301</v>
      </c>
      <c r="B67" s="207">
        <v>1</v>
      </c>
      <c r="C67" s="208">
        <v>2</v>
      </c>
      <c r="D67" s="208">
        <v>0.5</v>
      </c>
      <c r="E67" s="209">
        <v>0</v>
      </c>
    </row>
    <row r="68" spans="1:5">
      <c r="A68" s="202" t="s">
        <v>302</v>
      </c>
      <c r="B68" s="203">
        <v>1</v>
      </c>
      <c r="C68" s="204">
        <v>2.5</v>
      </c>
      <c r="D68" s="204">
        <v>6.5250000000000004</v>
      </c>
      <c r="E68" s="205">
        <v>0</v>
      </c>
    </row>
    <row r="69" spans="1:5">
      <c r="A69" s="206" t="s">
        <v>303</v>
      </c>
      <c r="B69" s="207">
        <v>1</v>
      </c>
      <c r="C69" s="208">
        <v>2</v>
      </c>
      <c r="D69" s="208">
        <v>4</v>
      </c>
      <c r="E69" s="209">
        <v>15</v>
      </c>
    </row>
    <row r="70" spans="1:5">
      <c r="A70" s="202" t="s">
        <v>304</v>
      </c>
      <c r="B70" s="203">
        <v>3</v>
      </c>
      <c r="C70" s="204">
        <v>2.25</v>
      </c>
      <c r="D70" s="204">
        <v>4.05</v>
      </c>
      <c r="E70" s="205">
        <v>5</v>
      </c>
    </row>
    <row r="71" spans="1:5">
      <c r="A71" s="206" t="s">
        <v>305</v>
      </c>
      <c r="B71" s="207">
        <v>3</v>
      </c>
      <c r="C71" s="208">
        <v>1.25</v>
      </c>
      <c r="D71" s="208">
        <v>1.05</v>
      </c>
      <c r="E71" s="209">
        <v>1</v>
      </c>
    </row>
    <row r="72" spans="1:5">
      <c r="A72" s="202" t="s">
        <v>306</v>
      </c>
      <c r="B72" s="203">
        <v>1</v>
      </c>
      <c r="C72" s="204">
        <v>1</v>
      </c>
      <c r="D72" s="204">
        <v>2</v>
      </c>
      <c r="E72" s="205">
        <v>0</v>
      </c>
    </row>
    <row r="73" spans="1:5">
      <c r="A73" s="206" t="s">
        <v>307</v>
      </c>
      <c r="B73" s="207">
        <v>3</v>
      </c>
      <c r="C73" s="208">
        <v>1.25</v>
      </c>
      <c r="D73" s="208">
        <v>1.05</v>
      </c>
      <c r="E73" s="209">
        <v>1</v>
      </c>
    </row>
    <row r="74" spans="1:5">
      <c r="A74" s="202" t="s">
        <v>308</v>
      </c>
      <c r="B74" s="203">
        <v>2</v>
      </c>
      <c r="C74" s="204">
        <v>1.25</v>
      </c>
      <c r="D74" s="204">
        <v>2.75</v>
      </c>
      <c r="E74" s="205">
        <v>8</v>
      </c>
    </row>
    <row r="75" spans="1:5">
      <c r="A75" s="206" t="s">
        <v>309</v>
      </c>
      <c r="B75" s="207">
        <v>1</v>
      </c>
      <c r="C75" s="208">
        <v>2</v>
      </c>
      <c r="D75" s="208">
        <v>2.5</v>
      </c>
      <c r="E75" s="209">
        <v>0</v>
      </c>
    </row>
    <row r="76" spans="1:5">
      <c r="A76" s="202" t="s">
        <v>310</v>
      </c>
      <c r="B76" s="203">
        <v>3</v>
      </c>
      <c r="C76" s="204">
        <v>3</v>
      </c>
      <c r="D76" s="204">
        <v>9</v>
      </c>
      <c r="E76" s="205">
        <v>15</v>
      </c>
    </row>
    <row r="77" spans="1:5">
      <c r="A77" s="206" t="s">
        <v>311</v>
      </c>
      <c r="B77" s="207">
        <v>1</v>
      </c>
      <c r="C77" s="208">
        <v>0.25</v>
      </c>
      <c r="D77" s="208">
        <v>0.1</v>
      </c>
      <c r="E77" s="209">
        <v>0</v>
      </c>
    </row>
    <row r="78" spans="1:5">
      <c r="A78" s="202" t="s">
        <v>312</v>
      </c>
      <c r="B78" s="203">
        <v>2</v>
      </c>
      <c r="C78" s="204">
        <v>1</v>
      </c>
      <c r="D78" s="204">
        <v>4.25</v>
      </c>
      <c r="E78" s="205">
        <v>100</v>
      </c>
    </row>
    <row r="79" spans="1:5">
      <c r="A79" s="206" t="s">
        <v>313</v>
      </c>
      <c r="B79" s="207">
        <v>1</v>
      </c>
      <c r="C79" s="208">
        <v>0.75</v>
      </c>
      <c r="D79" s="208">
        <v>2.25</v>
      </c>
      <c r="E79" s="209">
        <v>0</v>
      </c>
    </row>
    <row r="80" spans="1:5">
      <c r="A80" s="202" t="s">
        <v>314</v>
      </c>
      <c r="B80" s="203">
        <v>3</v>
      </c>
      <c r="C80" s="204">
        <v>0.75</v>
      </c>
      <c r="D80" s="204">
        <v>1.75</v>
      </c>
      <c r="E80" s="205">
        <v>1</v>
      </c>
    </row>
    <row r="81" spans="1:5">
      <c r="A81" s="206" t="s">
        <v>315</v>
      </c>
      <c r="B81" s="207">
        <v>1</v>
      </c>
      <c r="C81" s="208">
        <v>0.5</v>
      </c>
      <c r="D81" s="208">
        <v>0.2</v>
      </c>
      <c r="E81" s="209">
        <v>0</v>
      </c>
    </row>
    <row r="82" spans="1:5">
      <c r="A82" s="202" t="s">
        <v>316</v>
      </c>
      <c r="B82" s="203">
        <v>2</v>
      </c>
      <c r="C82" s="204">
        <v>2</v>
      </c>
      <c r="D82" s="204">
        <v>1</v>
      </c>
      <c r="E82" s="205">
        <v>0</v>
      </c>
    </row>
    <row r="83" spans="1:5">
      <c r="A83" s="206" t="s">
        <v>317</v>
      </c>
      <c r="B83" s="207">
        <v>1</v>
      </c>
      <c r="C83" s="208">
        <v>0.5</v>
      </c>
      <c r="D83" s="208">
        <v>1.5</v>
      </c>
      <c r="E83" s="209">
        <v>0</v>
      </c>
    </row>
    <row r="84" spans="1:5">
      <c r="A84" s="202" t="s">
        <v>318</v>
      </c>
      <c r="B84" s="203">
        <v>2</v>
      </c>
      <c r="C84" s="204">
        <v>2</v>
      </c>
      <c r="D84" s="204">
        <v>4</v>
      </c>
      <c r="E84" s="205">
        <v>0</v>
      </c>
    </row>
    <row r="85" spans="1:5">
      <c r="A85" s="206" t="s">
        <v>319</v>
      </c>
      <c r="B85" s="207">
        <v>1</v>
      </c>
      <c r="C85" s="208">
        <v>1.5</v>
      </c>
      <c r="D85" s="208">
        <v>4</v>
      </c>
      <c r="E85" s="209">
        <v>0</v>
      </c>
    </row>
    <row r="86" spans="1:5">
      <c r="A86" s="202" t="s">
        <v>320</v>
      </c>
      <c r="B86" s="203">
        <v>2</v>
      </c>
      <c r="C86" s="204">
        <v>2.25</v>
      </c>
      <c r="D86" s="204">
        <v>8.375</v>
      </c>
      <c r="E86" s="205">
        <v>0</v>
      </c>
    </row>
    <row r="87" spans="1:5">
      <c r="A87" s="206" t="s">
        <v>321</v>
      </c>
      <c r="B87" s="207">
        <v>1</v>
      </c>
      <c r="C87" s="208">
        <v>1.5</v>
      </c>
      <c r="D87" s="208">
        <v>1.4000000000000001</v>
      </c>
      <c r="E87" s="209">
        <v>0</v>
      </c>
    </row>
    <row r="88" spans="1:5">
      <c r="A88" s="202" t="s">
        <v>322</v>
      </c>
      <c r="B88" s="203">
        <v>1</v>
      </c>
      <c r="C88" s="204">
        <v>0.5</v>
      </c>
      <c r="D88" s="204">
        <v>0.25</v>
      </c>
      <c r="E88" s="205">
        <v>0</v>
      </c>
    </row>
    <row r="89" spans="1:5">
      <c r="A89" s="206" t="s">
        <v>323</v>
      </c>
      <c r="B89" s="207">
        <v>1</v>
      </c>
      <c r="C89" s="208">
        <v>3</v>
      </c>
      <c r="D89" s="208">
        <v>0.60000000000000009</v>
      </c>
      <c r="E89" s="209">
        <v>10</v>
      </c>
    </row>
    <row r="90" spans="1:5">
      <c r="A90" s="202" t="s">
        <v>324</v>
      </c>
      <c r="B90" s="203">
        <v>1</v>
      </c>
      <c r="C90" s="204">
        <v>4.5</v>
      </c>
      <c r="D90" s="204">
        <v>8.2000000000000011</v>
      </c>
      <c r="E90" s="205">
        <v>80</v>
      </c>
    </row>
    <row r="91" spans="1:5">
      <c r="A91" s="206" t="s">
        <v>325</v>
      </c>
      <c r="B91" s="207">
        <v>1</v>
      </c>
      <c r="C91" s="208">
        <v>0.5</v>
      </c>
      <c r="D91" s="208">
        <v>0.5</v>
      </c>
      <c r="E91" s="209">
        <v>0</v>
      </c>
    </row>
    <row r="92" spans="1:5">
      <c r="A92" s="202" t="s">
        <v>326</v>
      </c>
      <c r="B92" s="203">
        <v>1</v>
      </c>
      <c r="C92" s="204">
        <v>1</v>
      </c>
      <c r="D92" s="204">
        <v>2</v>
      </c>
      <c r="E92" s="205">
        <v>0</v>
      </c>
    </row>
    <row r="93" spans="1:5">
      <c r="A93" s="206" t="s">
        <v>327</v>
      </c>
      <c r="B93" s="207">
        <v>2</v>
      </c>
      <c r="C93" s="208">
        <v>1</v>
      </c>
      <c r="D93" s="208">
        <v>3.1750000000000003</v>
      </c>
      <c r="E93" s="209">
        <v>0</v>
      </c>
    </row>
    <row r="94" spans="1:5">
      <c r="A94" s="202" t="s">
        <v>328</v>
      </c>
      <c r="B94" s="203">
        <v>2</v>
      </c>
      <c r="C94" s="204">
        <v>1.25</v>
      </c>
      <c r="D94" s="204">
        <v>2.125</v>
      </c>
      <c r="E94" s="205">
        <v>8</v>
      </c>
    </row>
    <row r="95" spans="1:5">
      <c r="A95" s="206" t="s">
        <v>329</v>
      </c>
      <c r="B95" s="207">
        <v>1</v>
      </c>
      <c r="C95" s="208">
        <v>1.5</v>
      </c>
      <c r="D95" s="208">
        <v>3</v>
      </c>
      <c r="E95" s="209">
        <v>0</v>
      </c>
    </row>
    <row r="96" spans="1:5">
      <c r="A96" s="202" t="s">
        <v>330</v>
      </c>
      <c r="B96" s="203">
        <v>2</v>
      </c>
      <c r="C96" s="204">
        <v>1.5</v>
      </c>
      <c r="D96" s="204">
        <v>0.8</v>
      </c>
      <c r="E96" s="205">
        <v>0</v>
      </c>
    </row>
    <row r="97" spans="1:5">
      <c r="A97" s="206" t="s">
        <v>331</v>
      </c>
      <c r="B97" s="207">
        <v>1</v>
      </c>
      <c r="C97" s="208">
        <v>0.25</v>
      </c>
      <c r="D97" s="208">
        <v>0.1</v>
      </c>
      <c r="E97" s="209">
        <v>0</v>
      </c>
    </row>
    <row r="98" spans="1:5">
      <c r="A98" s="202" t="s">
        <v>332</v>
      </c>
      <c r="B98" s="203">
        <v>2</v>
      </c>
      <c r="C98" s="204">
        <v>0.25</v>
      </c>
      <c r="D98" s="204">
        <v>0.30000000000000004</v>
      </c>
      <c r="E98" s="205">
        <v>0</v>
      </c>
    </row>
    <row r="99" spans="1:5">
      <c r="A99" s="206" t="s">
        <v>333</v>
      </c>
      <c r="B99" s="207">
        <v>1</v>
      </c>
      <c r="C99" s="208">
        <v>0.5</v>
      </c>
      <c r="D99" s="208">
        <v>0.4</v>
      </c>
      <c r="E99" s="209">
        <v>0</v>
      </c>
    </row>
    <row r="100" spans="1:5">
      <c r="A100" s="202" t="s">
        <v>334</v>
      </c>
      <c r="B100" s="203">
        <v>1</v>
      </c>
      <c r="C100" s="204">
        <v>0.25</v>
      </c>
      <c r="D100" s="204">
        <v>0.5</v>
      </c>
      <c r="E100" s="205">
        <v>0</v>
      </c>
    </row>
    <row r="101" spans="1:5">
      <c r="A101" s="206" t="s">
        <v>335</v>
      </c>
      <c r="B101" s="207">
        <v>1</v>
      </c>
      <c r="C101" s="208">
        <v>0.75</v>
      </c>
      <c r="D101" s="208">
        <v>1</v>
      </c>
      <c r="E101" s="209">
        <v>0</v>
      </c>
    </row>
    <row r="102" spans="1:5">
      <c r="A102" s="202" t="s">
        <v>336</v>
      </c>
      <c r="B102" s="203">
        <v>1</v>
      </c>
      <c r="C102" s="204">
        <v>0.25</v>
      </c>
      <c r="D102" s="204">
        <v>0.25</v>
      </c>
      <c r="E102" s="205">
        <v>0</v>
      </c>
    </row>
    <row r="103" spans="1:5">
      <c r="A103" s="206" t="s">
        <v>350</v>
      </c>
      <c r="B103" s="207">
        <v>2</v>
      </c>
      <c r="C103" s="208">
        <v>3</v>
      </c>
      <c r="D103" s="208">
        <v>2</v>
      </c>
      <c r="E103" s="209">
        <v>0</v>
      </c>
    </row>
    <row r="104" spans="1:5">
      <c r="A104" s="202" t="s">
        <v>345</v>
      </c>
      <c r="B104" s="203">
        <v>2</v>
      </c>
      <c r="C104" s="204">
        <v>4</v>
      </c>
      <c r="D104" s="204">
        <v>0.5</v>
      </c>
      <c r="E104" s="205">
        <v>0</v>
      </c>
    </row>
    <row r="105" spans="1:5">
      <c r="A105" s="206" t="s">
        <v>337</v>
      </c>
      <c r="B105" s="207">
        <v>3</v>
      </c>
      <c r="C105" s="208">
        <v>0.25</v>
      </c>
      <c r="D105" s="208">
        <v>0.5</v>
      </c>
      <c r="E105" s="209">
        <v>0</v>
      </c>
    </row>
    <row r="106" spans="1:5">
      <c r="A106" s="202" t="s">
        <v>338</v>
      </c>
      <c r="B106" s="203">
        <v>3</v>
      </c>
      <c r="C106" s="204">
        <v>1</v>
      </c>
      <c r="D106" s="204">
        <v>0.30000000000000004</v>
      </c>
      <c r="E106" s="205">
        <v>0</v>
      </c>
    </row>
    <row r="107" spans="1:5">
      <c r="A107" s="202" t="s">
        <v>346</v>
      </c>
      <c r="B107" s="203">
        <v>2</v>
      </c>
      <c r="C107" s="204">
        <v>1</v>
      </c>
      <c r="D107" s="204">
        <v>1</v>
      </c>
      <c r="E107" s="205">
        <v>0</v>
      </c>
    </row>
    <row r="108" spans="1:5">
      <c r="A108" s="206" t="s">
        <v>347</v>
      </c>
      <c r="B108" s="207">
        <v>2</v>
      </c>
      <c r="C108" s="208">
        <v>1</v>
      </c>
      <c r="D108" s="208">
        <v>1</v>
      </c>
      <c r="E108" s="209">
        <v>0</v>
      </c>
    </row>
    <row r="109" spans="1:5">
      <c r="A109" s="202" t="s">
        <v>348</v>
      </c>
      <c r="B109" s="203">
        <v>2</v>
      </c>
      <c r="C109" s="204">
        <v>2</v>
      </c>
      <c r="D109" s="204">
        <v>1.8250000000000002</v>
      </c>
      <c r="E109" s="205">
        <v>0</v>
      </c>
    </row>
    <row r="110" spans="1:5" ht="15" thickBot="1">
      <c r="A110" s="206" t="s">
        <v>349</v>
      </c>
      <c r="B110" s="207">
        <v>2</v>
      </c>
      <c r="C110" s="208">
        <v>1</v>
      </c>
      <c r="D110" s="208">
        <v>2.5</v>
      </c>
      <c r="E110" s="209">
        <v>0</v>
      </c>
    </row>
    <row r="111" spans="1:5" ht="15" thickBot="1">
      <c r="A111" s="30" t="s">
        <v>382</v>
      </c>
      <c r="B111" s="31"/>
      <c r="C111" s="31">
        <f>SUMPRODUCT(C65:C110, B65:B110)</f>
        <v>110</v>
      </c>
      <c r="D111" s="31"/>
      <c r="E111" s="32">
        <f>SUMPRODUCT(E65:E110, B65:B110)</f>
        <v>406</v>
      </c>
    </row>
    <row r="114" spans="1:9" ht="15" thickBot="1">
      <c r="A114" s="231" t="s">
        <v>383</v>
      </c>
      <c r="B114" s="232"/>
      <c r="C114" s="232"/>
      <c r="D114" s="232"/>
      <c r="E114" s="232"/>
      <c r="F114" s="232"/>
      <c r="G114" s="232"/>
      <c r="H114" s="33"/>
    </row>
    <row r="115" spans="1:9">
      <c r="A115" s="34" t="s">
        <v>390</v>
      </c>
      <c r="B115" s="34"/>
      <c r="C115" s="34"/>
      <c r="D115" s="34"/>
      <c r="E115" s="34"/>
      <c r="F115" s="34"/>
      <c r="G115" s="34"/>
    </row>
    <row r="116" spans="1:9" ht="15" thickBot="1">
      <c r="A116" s="201">
        <f>'Capacity statements'!B6</f>
        <v>2600</v>
      </c>
      <c r="B116" s="201"/>
      <c r="C116" s="201"/>
      <c r="D116" s="201"/>
      <c r="E116" s="201"/>
      <c r="F116" s="201"/>
      <c r="G116" s="201"/>
      <c r="I116" s="5" t="s">
        <v>386</v>
      </c>
    </row>
    <row r="117" spans="1:9">
      <c r="A117" s="35">
        <f t="shared" ref="A117:B117" si="2">A116/$C$52</f>
        <v>16.720257234726688</v>
      </c>
      <c r="B117" s="35">
        <f t="shared" si="2"/>
        <v>0</v>
      </c>
      <c r="C117" s="35"/>
      <c r="D117" s="35"/>
      <c r="E117" s="35"/>
      <c r="F117" s="35"/>
      <c r="G117" s="35">
        <f t="shared" ref="G117" si="3">G116/$C$52</f>
        <v>0</v>
      </c>
      <c r="I117" s="5" t="s">
        <v>387</v>
      </c>
    </row>
    <row r="118" spans="1:9" ht="15" thickBot="1">
      <c r="A118" s="210">
        <f t="shared" ref="A118:B118" si="4">A116/$E$52</f>
        <v>4.0247678018575854</v>
      </c>
      <c r="B118" s="210">
        <f t="shared" si="4"/>
        <v>0</v>
      </c>
      <c r="C118" s="210"/>
      <c r="D118" s="210"/>
      <c r="E118" s="210"/>
      <c r="F118" s="210"/>
      <c r="G118" s="210">
        <f t="shared" ref="G118" si="5">G116/$E$52</f>
        <v>0</v>
      </c>
      <c r="I118" s="5" t="s">
        <v>388</v>
      </c>
    </row>
    <row r="121" spans="1:9" s="100" customFormat="1"/>
  </sheetData>
  <mergeCells count="4">
    <mergeCell ref="A1:E1"/>
    <mergeCell ref="A55:G55"/>
    <mergeCell ref="A63:E63"/>
    <mergeCell ref="A114:G114"/>
  </mergeCells>
  <pageMargins left="0.7" right="0.7" top="0.75" bottom="0.75" header="0.3" footer="0.3"/>
  <pageSetup orientation="portrait" r:id="rId1"/>
  <headerFooter>
    <oddFooter>&amp;L&amp;1#&amp;"Calibri"&amp;7&amp;K000000C2 General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I138"/>
  <sheetViews>
    <sheetView topLeftCell="A121" zoomScale="70" zoomScaleNormal="70" workbookViewId="0">
      <selection activeCell="U130" sqref="U130"/>
    </sheetView>
  </sheetViews>
  <sheetFormatPr defaultColWidth="9.1796875" defaultRowHeight="14.5"/>
  <cols>
    <col min="1" max="1" width="43.7265625" style="5" bestFit="1" customWidth="1"/>
    <col min="2" max="7" width="14" style="5" customWidth="1"/>
    <col min="8" max="16384" width="9.1796875" style="5"/>
  </cols>
  <sheetData>
    <row r="1" spans="1:6" ht="15" thickBot="1">
      <c r="A1" s="228" t="s">
        <v>391</v>
      </c>
      <c r="B1" s="229"/>
      <c r="C1" s="229"/>
      <c r="D1" s="229"/>
      <c r="E1" s="230"/>
      <c r="F1" s="22"/>
    </row>
    <row r="2" spans="1:6" s="82" customFormat="1" ht="29.5" thickBot="1">
      <c r="A2" s="78" t="s">
        <v>368</v>
      </c>
      <c r="B2" s="79" t="s">
        <v>377</v>
      </c>
      <c r="C2" s="79" t="s">
        <v>378</v>
      </c>
      <c r="D2" s="79" t="s">
        <v>379</v>
      </c>
      <c r="E2" s="80" t="s">
        <v>380</v>
      </c>
      <c r="F2" s="81"/>
    </row>
    <row r="3" spans="1:6">
      <c r="A3" s="27" t="s">
        <v>299</v>
      </c>
      <c r="B3" s="28">
        <v>2</v>
      </c>
      <c r="C3" s="28">
        <v>2</v>
      </c>
      <c r="D3" s="28">
        <v>0.5</v>
      </c>
      <c r="E3" s="29">
        <v>0</v>
      </c>
    </row>
    <row r="4" spans="1:6">
      <c r="A4" s="202" t="s">
        <v>300</v>
      </c>
      <c r="B4" s="204">
        <v>1</v>
      </c>
      <c r="C4" s="204">
        <v>0.25</v>
      </c>
      <c r="D4" s="204">
        <v>7.5000000000000011E-2</v>
      </c>
      <c r="E4" s="205">
        <v>0</v>
      </c>
    </row>
    <row r="5" spans="1:6">
      <c r="A5" s="206" t="s">
        <v>301</v>
      </c>
      <c r="B5" s="208">
        <v>1</v>
      </c>
      <c r="C5" s="208">
        <v>2</v>
      </c>
      <c r="D5" s="208">
        <v>0.5</v>
      </c>
      <c r="E5" s="209">
        <v>0</v>
      </c>
    </row>
    <row r="6" spans="1:6">
      <c r="A6" s="202" t="s">
        <v>302</v>
      </c>
      <c r="B6" s="204">
        <v>1</v>
      </c>
      <c r="C6" s="204">
        <v>2.5</v>
      </c>
      <c r="D6" s="204">
        <v>6.5250000000000004</v>
      </c>
      <c r="E6" s="205">
        <v>0</v>
      </c>
    </row>
    <row r="7" spans="1:6">
      <c r="A7" s="206" t="s">
        <v>303</v>
      </c>
      <c r="B7" s="208">
        <v>1</v>
      </c>
      <c r="C7" s="208">
        <v>2</v>
      </c>
      <c r="D7" s="208">
        <v>4</v>
      </c>
      <c r="E7" s="209">
        <v>15</v>
      </c>
    </row>
    <row r="8" spans="1:6">
      <c r="A8" s="202" t="s">
        <v>304</v>
      </c>
      <c r="B8" s="204">
        <v>3</v>
      </c>
      <c r="C8" s="204">
        <v>2.25</v>
      </c>
      <c r="D8" s="204">
        <v>4.05</v>
      </c>
      <c r="E8" s="205">
        <v>5</v>
      </c>
    </row>
    <row r="9" spans="1:6">
      <c r="A9" s="206" t="s">
        <v>305</v>
      </c>
      <c r="B9" s="208">
        <v>3</v>
      </c>
      <c r="C9" s="208">
        <v>1.25</v>
      </c>
      <c r="D9" s="208">
        <v>1.05</v>
      </c>
      <c r="E9" s="209">
        <v>1</v>
      </c>
    </row>
    <row r="10" spans="1:6">
      <c r="A10" s="202" t="s">
        <v>306</v>
      </c>
      <c r="B10" s="204">
        <v>1</v>
      </c>
      <c r="C10" s="204">
        <v>1</v>
      </c>
      <c r="D10" s="204">
        <v>2</v>
      </c>
      <c r="E10" s="205">
        <v>0</v>
      </c>
    </row>
    <row r="11" spans="1:6">
      <c r="A11" s="206" t="s">
        <v>307</v>
      </c>
      <c r="B11" s="208">
        <v>3</v>
      </c>
      <c r="C11" s="208">
        <v>1.25</v>
      </c>
      <c r="D11" s="208">
        <v>1.05</v>
      </c>
      <c r="E11" s="209">
        <v>1</v>
      </c>
    </row>
    <row r="12" spans="1:6">
      <c r="A12" s="202" t="s">
        <v>308</v>
      </c>
      <c r="B12" s="204">
        <v>2</v>
      </c>
      <c r="C12" s="204">
        <v>1.25</v>
      </c>
      <c r="D12" s="204">
        <v>2.75</v>
      </c>
      <c r="E12" s="205">
        <v>8</v>
      </c>
    </row>
    <row r="13" spans="1:6">
      <c r="A13" s="206" t="s">
        <v>309</v>
      </c>
      <c r="B13" s="208">
        <v>1</v>
      </c>
      <c r="C13" s="208">
        <v>2</v>
      </c>
      <c r="D13" s="208">
        <v>2.5</v>
      </c>
      <c r="E13" s="209">
        <v>0</v>
      </c>
    </row>
    <row r="14" spans="1:6">
      <c r="A14" s="202" t="s">
        <v>310</v>
      </c>
      <c r="B14" s="204">
        <v>3</v>
      </c>
      <c r="C14" s="204">
        <v>3</v>
      </c>
      <c r="D14" s="204">
        <v>9</v>
      </c>
      <c r="E14" s="205">
        <v>15</v>
      </c>
    </row>
    <row r="15" spans="1:6">
      <c r="A15" s="206" t="s">
        <v>311</v>
      </c>
      <c r="B15" s="208">
        <v>1</v>
      </c>
      <c r="C15" s="208">
        <v>0.25</v>
      </c>
      <c r="D15" s="208">
        <v>0.1</v>
      </c>
      <c r="E15" s="209">
        <v>0</v>
      </c>
    </row>
    <row r="16" spans="1:6">
      <c r="A16" s="202" t="s">
        <v>312</v>
      </c>
      <c r="B16" s="204">
        <v>2</v>
      </c>
      <c r="C16" s="204">
        <v>1</v>
      </c>
      <c r="D16" s="204">
        <v>4.25</v>
      </c>
      <c r="E16" s="205">
        <v>100</v>
      </c>
    </row>
    <row r="17" spans="1:5">
      <c r="A17" s="206" t="s">
        <v>313</v>
      </c>
      <c r="B17" s="208">
        <v>1</v>
      </c>
      <c r="C17" s="208">
        <v>0.75</v>
      </c>
      <c r="D17" s="208">
        <v>2.25</v>
      </c>
      <c r="E17" s="209">
        <v>0</v>
      </c>
    </row>
    <row r="18" spans="1:5">
      <c r="A18" s="202" t="s">
        <v>314</v>
      </c>
      <c r="B18" s="204">
        <v>3</v>
      </c>
      <c r="C18" s="204">
        <v>0.75</v>
      </c>
      <c r="D18" s="204">
        <v>1.75</v>
      </c>
      <c r="E18" s="205">
        <v>1</v>
      </c>
    </row>
    <row r="19" spans="1:5">
      <c r="A19" s="206" t="s">
        <v>315</v>
      </c>
      <c r="B19" s="208">
        <v>1</v>
      </c>
      <c r="C19" s="208">
        <v>0.5</v>
      </c>
      <c r="D19" s="208">
        <v>0.2</v>
      </c>
      <c r="E19" s="209">
        <v>0</v>
      </c>
    </row>
    <row r="20" spans="1:5">
      <c r="A20" s="202" t="s">
        <v>316</v>
      </c>
      <c r="B20" s="204">
        <v>2</v>
      </c>
      <c r="C20" s="204">
        <v>2</v>
      </c>
      <c r="D20" s="204">
        <v>1</v>
      </c>
      <c r="E20" s="205">
        <v>0</v>
      </c>
    </row>
    <row r="21" spans="1:5">
      <c r="A21" s="206" t="s">
        <v>317</v>
      </c>
      <c r="B21" s="208">
        <v>1</v>
      </c>
      <c r="C21" s="208">
        <v>0.5</v>
      </c>
      <c r="D21" s="208">
        <v>1.5</v>
      </c>
      <c r="E21" s="209">
        <v>0</v>
      </c>
    </row>
    <row r="22" spans="1:5">
      <c r="A22" s="202" t="s">
        <v>318</v>
      </c>
      <c r="B22" s="204">
        <v>2</v>
      </c>
      <c r="C22" s="204">
        <v>2</v>
      </c>
      <c r="D22" s="204">
        <v>4</v>
      </c>
      <c r="E22" s="205">
        <v>0</v>
      </c>
    </row>
    <row r="23" spans="1:5">
      <c r="A23" s="206" t="s">
        <v>319</v>
      </c>
      <c r="B23" s="208">
        <v>1</v>
      </c>
      <c r="C23" s="208">
        <v>1.5</v>
      </c>
      <c r="D23" s="208">
        <v>4</v>
      </c>
      <c r="E23" s="209">
        <v>0</v>
      </c>
    </row>
    <row r="24" spans="1:5">
      <c r="A24" s="202" t="s">
        <v>320</v>
      </c>
      <c r="B24" s="204">
        <v>2</v>
      </c>
      <c r="C24" s="204">
        <v>2.25</v>
      </c>
      <c r="D24" s="204">
        <v>8.375</v>
      </c>
      <c r="E24" s="205">
        <v>0</v>
      </c>
    </row>
    <row r="25" spans="1:5">
      <c r="A25" s="206" t="s">
        <v>321</v>
      </c>
      <c r="B25" s="208">
        <v>1</v>
      </c>
      <c r="C25" s="208">
        <v>1.5</v>
      </c>
      <c r="D25" s="208">
        <v>1.4000000000000001</v>
      </c>
      <c r="E25" s="209">
        <v>0</v>
      </c>
    </row>
    <row r="26" spans="1:5">
      <c r="A26" s="202" t="s">
        <v>322</v>
      </c>
      <c r="B26" s="204">
        <v>1</v>
      </c>
      <c r="C26" s="204">
        <v>0.5</v>
      </c>
      <c r="D26" s="204">
        <v>0.25</v>
      </c>
      <c r="E26" s="205">
        <v>0</v>
      </c>
    </row>
    <row r="27" spans="1:5">
      <c r="A27" s="206" t="s">
        <v>323</v>
      </c>
      <c r="B27" s="208">
        <v>1</v>
      </c>
      <c r="C27" s="208">
        <v>3</v>
      </c>
      <c r="D27" s="208">
        <v>0.60000000000000009</v>
      </c>
      <c r="E27" s="209">
        <v>10</v>
      </c>
    </row>
    <row r="28" spans="1:5">
      <c r="A28" s="202" t="s">
        <v>324</v>
      </c>
      <c r="B28" s="204">
        <v>1</v>
      </c>
      <c r="C28" s="204">
        <v>4.5</v>
      </c>
      <c r="D28" s="204">
        <v>8.2000000000000011</v>
      </c>
      <c r="E28" s="205">
        <v>80</v>
      </c>
    </row>
    <row r="29" spans="1:5">
      <c r="A29" s="206" t="s">
        <v>325</v>
      </c>
      <c r="B29" s="208">
        <v>1</v>
      </c>
      <c r="C29" s="208">
        <v>0.5</v>
      </c>
      <c r="D29" s="208">
        <v>0.5</v>
      </c>
      <c r="E29" s="209">
        <v>0</v>
      </c>
    </row>
    <row r="30" spans="1:5">
      <c r="A30" s="202" t="s">
        <v>326</v>
      </c>
      <c r="B30" s="204">
        <v>1</v>
      </c>
      <c r="C30" s="204">
        <v>1</v>
      </c>
      <c r="D30" s="204">
        <v>2</v>
      </c>
      <c r="E30" s="205">
        <v>0</v>
      </c>
    </row>
    <row r="31" spans="1:5">
      <c r="A31" s="206" t="s">
        <v>327</v>
      </c>
      <c r="B31" s="208">
        <v>2</v>
      </c>
      <c r="C31" s="208">
        <v>1</v>
      </c>
      <c r="D31" s="208">
        <v>3.1750000000000003</v>
      </c>
      <c r="E31" s="209">
        <v>0</v>
      </c>
    </row>
    <row r="32" spans="1:5">
      <c r="A32" s="202" t="s">
        <v>328</v>
      </c>
      <c r="B32" s="204">
        <v>2</v>
      </c>
      <c r="C32" s="204">
        <v>1.25</v>
      </c>
      <c r="D32" s="204">
        <v>2.125</v>
      </c>
      <c r="E32" s="205">
        <v>8</v>
      </c>
    </row>
    <row r="33" spans="1:5">
      <c r="A33" s="206" t="s">
        <v>329</v>
      </c>
      <c r="B33" s="208">
        <v>1</v>
      </c>
      <c r="C33" s="208">
        <v>1.5</v>
      </c>
      <c r="D33" s="208">
        <v>3</v>
      </c>
      <c r="E33" s="209">
        <v>0</v>
      </c>
    </row>
    <row r="34" spans="1:5">
      <c r="A34" s="202" t="s">
        <v>330</v>
      </c>
      <c r="B34" s="204">
        <v>2</v>
      </c>
      <c r="C34" s="204">
        <v>1.5</v>
      </c>
      <c r="D34" s="204">
        <v>0.8</v>
      </c>
      <c r="E34" s="205">
        <v>0</v>
      </c>
    </row>
    <row r="35" spans="1:5">
      <c r="A35" s="206" t="s">
        <v>331</v>
      </c>
      <c r="B35" s="208">
        <v>1</v>
      </c>
      <c r="C35" s="208">
        <v>0.25</v>
      </c>
      <c r="D35" s="208">
        <v>0.1</v>
      </c>
      <c r="E35" s="209">
        <v>0</v>
      </c>
    </row>
    <row r="36" spans="1:5">
      <c r="A36" s="202" t="s">
        <v>332</v>
      </c>
      <c r="B36" s="204">
        <v>2</v>
      </c>
      <c r="C36" s="204">
        <v>0.25</v>
      </c>
      <c r="D36" s="204">
        <v>0.30000000000000004</v>
      </c>
      <c r="E36" s="205">
        <v>0</v>
      </c>
    </row>
    <row r="37" spans="1:5">
      <c r="A37" s="206" t="s">
        <v>333</v>
      </c>
      <c r="B37" s="208">
        <v>1</v>
      </c>
      <c r="C37" s="208">
        <v>0.5</v>
      </c>
      <c r="D37" s="208">
        <v>0.4</v>
      </c>
      <c r="E37" s="209">
        <v>0</v>
      </c>
    </row>
    <row r="38" spans="1:5">
      <c r="A38" s="202" t="s">
        <v>334</v>
      </c>
      <c r="B38" s="204">
        <v>1</v>
      </c>
      <c r="C38" s="204">
        <v>0.25</v>
      </c>
      <c r="D38" s="204">
        <v>0.5</v>
      </c>
      <c r="E38" s="205">
        <v>0</v>
      </c>
    </row>
    <row r="39" spans="1:5">
      <c r="A39" s="206" t="s">
        <v>335</v>
      </c>
      <c r="B39" s="208">
        <v>1</v>
      </c>
      <c r="C39" s="208">
        <v>0.75</v>
      </c>
      <c r="D39" s="208">
        <v>1</v>
      </c>
      <c r="E39" s="209">
        <v>0</v>
      </c>
    </row>
    <row r="40" spans="1:5">
      <c r="A40" s="202" t="s">
        <v>336</v>
      </c>
      <c r="B40" s="204">
        <v>1</v>
      </c>
      <c r="C40" s="204">
        <v>0.25</v>
      </c>
      <c r="D40" s="204">
        <v>0.25</v>
      </c>
      <c r="E40" s="205">
        <v>0</v>
      </c>
    </row>
    <row r="41" spans="1:5">
      <c r="A41" s="206" t="s">
        <v>350</v>
      </c>
      <c r="B41" s="208">
        <v>50</v>
      </c>
      <c r="C41" s="208">
        <v>3</v>
      </c>
      <c r="D41" s="208">
        <v>2</v>
      </c>
      <c r="E41" s="209">
        <v>0</v>
      </c>
    </row>
    <row r="42" spans="1:5">
      <c r="A42" s="202" t="s">
        <v>345</v>
      </c>
      <c r="B42" s="204">
        <v>50</v>
      </c>
      <c r="C42" s="204">
        <v>4</v>
      </c>
      <c r="D42" s="204">
        <v>0.5</v>
      </c>
      <c r="E42" s="205">
        <v>0</v>
      </c>
    </row>
    <row r="43" spans="1:5">
      <c r="A43" s="206" t="s">
        <v>337</v>
      </c>
      <c r="B43" s="208">
        <v>50</v>
      </c>
      <c r="C43" s="208">
        <v>0.25</v>
      </c>
      <c r="D43" s="208">
        <v>0.5</v>
      </c>
      <c r="E43" s="209">
        <v>0</v>
      </c>
    </row>
    <row r="44" spans="1:5">
      <c r="A44" s="202" t="s">
        <v>338</v>
      </c>
      <c r="B44" s="204">
        <v>50</v>
      </c>
      <c r="C44" s="204">
        <v>1</v>
      </c>
      <c r="D44" s="204">
        <v>0.30000000000000004</v>
      </c>
      <c r="E44" s="205">
        <v>0</v>
      </c>
    </row>
    <row r="45" spans="1:5">
      <c r="A45" s="206" t="s">
        <v>339</v>
      </c>
      <c r="B45" s="208">
        <v>10</v>
      </c>
      <c r="C45" s="208">
        <v>8</v>
      </c>
      <c r="D45" s="208">
        <v>8</v>
      </c>
      <c r="E45" s="209">
        <v>0</v>
      </c>
    </row>
    <row r="46" spans="1:5">
      <c r="A46" s="202" t="s">
        <v>340</v>
      </c>
      <c r="B46" s="204">
        <v>50</v>
      </c>
      <c r="C46" s="204">
        <v>5.75</v>
      </c>
      <c r="D46" s="204">
        <v>17.100000000000001</v>
      </c>
      <c r="E46" s="205">
        <v>120</v>
      </c>
    </row>
    <row r="47" spans="1:5">
      <c r="A47" s="206" t="s">
        <v>341</v>
      </c>
      <c r="B47" s="208">
        <v>50</v>
      </c>
      <c r="C47" s="208">
        <v>9</v>
      </c>
      <c r="D47" s="208">
        <v>11.25</v>
      </c>
      <c r="E47" s="209">
        <v>0</v>
      </c>
    </row>
    <row r="48" spans="1:5">
      <c r="A48" s="202" t="s">
        <v>342</v>
      </c>
      <c r="B48" s="204">
        <v>2</v>
      </c>
      <c r="C48" s="204">
        <v>1</v>
      </c>
      <c r="D48" s="204">
        <v>1</v>
      </c>
      <c r="E48" s="205">
        <v>0</v>
      </c>
    </row>
    <row r="49" spans="1:9">
      <c r="A49" s="206" t="s">
        <v>343</v>
      </c>
      <c r="B49" s="208">
        <v>2</v>
      </c>
      <c r="C49" s="208">
        <v>1</v>
      </c>
      <c r="D49" s="208">
        <v>1</v>
      </c>
      <c r="E49" s="209">
        <v>0</v>
      </c>
    </row>
    <row r="50" spans="1:9">
      <c r="A50" s="202" t="s">
        <v>344</v>
      </c>
      <c r="B50" s="204">
        <v>50</v>
      </c>
      <c r="C50" s="204">
        <v>2</v>
      </c>
      <c r="D50" s="204">
        <v>1.5</v>
      </c>
      <c r="E50" s="205">
        <v>0</v>
      </c>
    </row>
    <row r="51" spans="1:9" ht="15" thickBot="1">
      <c r="A51" s="206" t="s">
        <v>381</v>
      </c>
      <c r="B51" s="208">
        <v>50</v>
      </c>
      <c r="C51" s="208">
        <v>1</v>
      </c>
      <c r="D51" s="208">
        <v>1</v>
      </c>
      <c r="E51" s="209">
        <v>0</v>
      </c>
    </row>
    <row r="52" spans="1:9" ht="15" thickBot="1">
      <c r="A52" s="30" t="s">
        <v>382</v>
      </c>
      <c r="B52" s="31"/>
      <c r="C52" s="31">
        <f>SUMPRODUCT(C3:C51,B3:B51)</f>
        <v>1466.25</v>
      </c>
      <c r="D52" s="31"/>
      <c r="E52" s="32">
        <f>SUMPRODUCT(E3:E51, B3:B51)</f>
        <v>6406</v>
      </c>
    </row>
    <row r="55" spans="1:9" ht="15" thickBot="1">
      <c r="A55" s="231" t="s">
        <v>383</v>
      </c>
      <c r="B55" s="232"/>
      <c r="C55" s="232"/>
      <c r="D55" s="232"/>
      <c r="E55" s="232"/>
      <c r="F55" s="232"/>
      <c r="G55" s="232"/>
      <c r="H55" s="33"/>
    </row>
    <row r="56" spans="1:9" ht="26">
      <c r="A56" s="34" t="s">
        <v>384</v>
      </c>
      <c r="B56" s="34" t="s">
        <v>385</v>
      </c>
      <c r="C56" s="34"/>
      <c r="D56" s="34"/>
      <c r="E56" s="34"/>
      <c r="F56" s="34"/>
      <c r="G56" s="34"/>
    </row>
    <row r="57" spans="1:9" ht="15" thickBot="1">
      <c r="A57" s="201">
        <f>'Capacity statements'!B7*49</f>
        <v>274400</v>
      </c>
      <c r="B57" s="201">
        <f>'Capacity statements'!B8*49</f>
        <v>98000</v>
      </c>
      <c r="C57" s="201"/>
      <c r="D57" s="201"/>
      <c r="E57" s="201"/>
      <c r="F57" s="201"/>
      <c r="G57" s="201"/>
      <c r="I57" s="5" t="s">
        <v>392</v>
      </c>
    </row>
    <row r="58" spans="1:9">
      <c r="A58" s="35">
        <f t="shared" ref="A58:G58" si="0">A57/$C$52</f>
        <v>187.14407502131289</v>
      </c>
      <c r="B58" s="35">
        <f t="shared" si="0"/>
        <v>66.83716965046888</v>
      </c>
      <c r="C58" s="35">
        <f t="shared" si="0"/>
        <v>0</v>
      </c>
      <c r="D58" s="35">
        <f t="shared" si="0"/>
        <v>0</v>
      </c>
      <c r="E58" s="35">
        <f t="shared" si="0"/>
        <v>0</v>
      </c>
      <c r="F58" s="35">
        <f t="shared" si="0"/>
        <v>0</v>
      </c>
      <c r="G58" s="35">
        <f t="shared" si="0"/>
        <v>0</v>
      </c>
      <c r="I58" s="5" t="s">
        <v>393</v>
      </c>
    </row>
    <row r="59" spans="1:9" ht="15" thickBot="1">
      <c r="A59" s="210">
        <f t="shared" ref="A59:G59" si="1">A57/$E$52</f>
        <v>42.834842335310647</v>
      </c>
      <c r="B59" s="210">
        <f t="shared" si="1"/>
        <v>15.298157976896659</v>
      </c>
      <c r="C59" s="210">
        <f t="shared" si="1"/>
        <v>0</v>
      </c>
      <c r="D59" s="210">
        <f t="shared" si="1"/>
        <v>0</v>
      </c>
      <c r="E59" s="210">
        <f t="shared" si="1"/>
        <v>0</v>
      </c>
      <c r="F59" s="210">
        <f t="shared" si="1"/>
        <v>0</v>
      </c>
      <c r="G59" s="210">
        <f t="shared" si="1"/>
        <v>0</v>
      </c>
      <c r="I59" s="5" t="s">
        <v>394</v>
      </c>
    </row>
    <row r="61" spans="1:9" s="100" customFormat="1"/>
    <row r="62" spans="1:9" ht="15" thickBot="1"/>
    <row r="63" spans="1:9" ht="15" thickBot="1">
      <c r="A63" s="228" t="s">
        <v>395</v>
      </c>
      <c r="B63" s="229"/>
      <c r="C63" s="229"/>
      <c r="D63" s="229"/>
      <c r="E63" s="230"/>
      <c r="F63" s="22"/>
    </row>
    <row r="64" spans="1:9" s="82" customFormat="1" ht="29.5" thickBot="1">
      <c r="A64" s="78" t="s">
        <v>368</v>
      </c>
      <c r="B64" s="79" t="s">
        <v>377</v>
      </c>
      <c r="C64" s="79" t="s">
        <v>378</v>
      </c>
      <c r="D64" s="79" t="s">
        <v>379</v>
      </c>
      <c r="E64" s="80" t="s">
        <v>380</v>
      </c>
      <c r="F64" s="81"/>
    </row>
    <row r="65" spans="1:5">
      <c r="A65" s="27" t="s">
        <v>299</v>
      </c>
      <c r="B65" s="28">
        <v>2</v>
      </c>
      <c r="C65" s="28">
        <v>2</v>
      </c>
      <c r="D65" s="28">
        <v>0.5</v>
      </c>
      <c r="E65" s="29">
        <v>0</v>
      </c>
    </row>
    <row r="66" spans="1:5">
      <c r="A66" s="202" t="s">
        <v>300</v>
      </c>
      <c r="B66" s="204">
        <v>1</v>
      </c>
      <c r="C66" s="204">
        <v>0.25</v>
      </c>
      <c r="D66" s="204">
        <v>7.5000000000000011E-2</v>
      </c>
      <c r="E66" s="205">
        <v>0</v>
      </c>
    </row>
    <row r="67" spans="1:5">
      <c r="A67" s="206" t="s">
        <v>301</v>
      </c>
      <c r="B67" s="208">
        <v>1</v>
      </c>
      <c r="C67" s="208">
        <v>2</v>
      </c>
      <c r="D67" s="208">
        <v>0.5</v>
      </c>
      <c r="E67" s="209">
        <v>0</v>
      </c>
    </row>
    <row r="68" spans="1:5">
      <c r="A68" s="202" t="s">
        <v>302</v>
      </c>
      <c r="B68" s="204">
        <v>1</v>
      </c>
      <c r="C68" s="204">
        <v>2.5</v>
      </c>
      <c r="D68" s="204">
        <v>6.5250000000000004</v>
      </c>
      <c r="E68" s="205">
        <v>0</v>
      </c>
    </row>
    <row r="69" spans="1:5">
      <c r="A69" s="206" t="s">
        <v>303</v>
      </c>
      <c r="B69" s="208">
        <v>1</v>
      </c>
      <c r="C69" s="208">
        <v>2</v>
      </c>
      <c r="D69" s="208">
        <v>4</v>
      </c>
      <c r="E69" s="209">
        <v>15</v>
      </c>
    </row>
    <row r="70" spans="1:5">
      <c r="A70" s="202" t="s">
        <v>304</v>
      </c>
      <c r="B70" s="204">
        <v>3</v>
      </c>
      <c r="C70" s="204">
        <v>2.25</v>
      </c>
      <c r="D70" s="204">
        <v>4.05</v>
      </c>
      <c r="E70" s="205">
        <v>5</v>
      </c>
    </row>
    <row r="71" spans="1:5">
      <c r="A71" s="206" t="s">
        <v>305</v>
      </c>
      <c r="B71" s="208">
        <v>3</v>
      </c>
      <c r="C71" s="208">
        <v>1.25</v>
      </c>
      <c r="D71" s="208">
        <v>1.05</v>
      </c>
      <c r="E71" s="209">
        <v>1</v>
      </c>
    </row>
    <row r="72" spans="1:5">
      <c r="A72" s="202" t="s">
        <v>306</v>
      </c>
      <c r="B72" s="204">
        <v>1</v>
      </c>
      <c r="C72" s="204">
        <v>1</v>
      </c>
      <c r="D72" s="204">
        <v>2</v>
      </c>
      <c r="E72" s="205">
        <v>0</v>
      </c>
    </row>
    <row r="73" spans="1:5">
      <c r="A73" s="206" t="s">
        <v>307</v>
      </c>
      <c r="B73" s="208">
        <v>3</v>
      </c>
      <c r="C73" s="208">
        <v>1.25</v>
      </c>
      <c r="D73" s="208">
        <v>1.05</v>
      </c>
      <c r="E73" s="209">
        <v>1</v>
      </c>
    </row>
    <row r="74" spans="1:5">
      <c r="A74" s="202" t="s">
        <v>308</v>
      </c>
      <c r="B74" s="204">
        <v>2</v>
      </c>
      <c r="C74" s="204">
        <v>1.25</v>
      </c>
      <c r="D74" s="204">
        <v>2.75</v>
      </c>
      <c r="E74" s="205">
        <v>8</v>
      </c>
    </row>
    <row r="75" spans="1:5">
      <c r="A75" s="206" t="s">
        <v>309</v>
      </c>
      <c r="B75" s="208">
        <v>1</v>
      </c>
      <c r="C75" s="208">
        <v>2</v>
      </c>
      <c r="D75" s="208">
        <v>2.5</v>
      </c>
      <c r="E75" s="209">
        <v>0</v>
      </c>
    </row>
    <row r="76" spans="1:5">
      <c r="A76" s="202" t="s">
        <v>310</v>
      </c>
      <c r="B76" s="204">
        <v>3</v>
      </c>
      <c r="C76" s="204">
        <v>3</v>
      </c>
      <c r="D76" s="204">
        <v>9</v>
      </c>
      <c r="E76" s="205">
        <v>15</v>
      </c>
    </row>
    <row r="77" spans="1:5">
      <c r="A77" s="206" t="s">
        <v>311</v>
      </c>
      <c r="B77" s="208">
        <v>1</v>
      </c>
      <c r="C77" s="208">
        <v>0.25</v>
      </c>
      <c r="D77" s="208">
        <v>0.1</v>
      </c>
      <c r="E77" s="209">
        <v>0</v>
      </c>
    </row>
    <row r="78" spans="1:5">
      <c r="A78" s="202" t="s">
        <v>312</v>
      </c>
      <c r="B78" s="204">
        <v>2</v>
      </c>
      <c r="C78" s="204">
        <v>1</v>
      </c>
      <c r="D78" s="204">
        <v>4.25</v>
      </c>
      <c r="E78" s="205">
        <v>100</v>
      </c>
    </row>
    <row r="79" spans="1:5">
      <c r="A79" s="206" t="s">
        <v>313</v>
      </c>
      <c r="B79" s="208">
        <v>1</v>
      </c>
      <c r="C79" s="208">
        <v>0.75</v>
      </c>
      <c r="D79" s="208">
        <v>2.25</v>
      </c>
      <c r="E79" s="209">
        <v>0</v>
      </c>
    </row>
    <row r="80" spans="1:5">
      <c r="A80" s="202" t="s">
        <v>314</v>
      </c>
      <c r="B80" s="204">
        <v>3</v>
      </c>
      <c r="C80" s="204">
        <v>0.75</v>
      </c>
      <c r="D80" s="204">
        <v>1.75</v>
      </c>
      <c r="E80" s="205">
        <v>1</v>
      </c>
    </row>
    <row r="81" spans="1:5">
      <c r="A81" s="206" t="s">
        <v>315</v>
      </c>
      <c r="B81" s="208">
        <v>1</v>
      </c>
      <c r="C81" s="208">
        <v>0.5</v>
      </c>
      <c r="D81" s="208">
        <v>0.2</v>
      </c>
      <c r="E81" s="209">
        <v>0</v>
      </c>
    </row>
    <row r="82" spans="1:5">
      <c r="A82" s="202" t="s">
        <v>316</v>
      </c>
      <c r="B82" s="204">
        <v>2</v>
      </c>
      <c r="C82" s="204">
        <v>2</v>
      </c>
      <c r="D82" s="204">
        <v>1</v>
      </c>
      <c r="E82" s="205">
        <v>0</v>
      </c>
    </row>
    <row r="83" spans="1:5">
      <c r="A83" s="206" t="s">
        <v>317</v>
      </c>
      <c r="B83" s="208">
        <v>1</v>
      </c>
      <c r="C83" s="208">
        <v>0.5</v>
      </c>
      <c r="D83" s="208">
        <v>1.5</v>
      </c>
      <c r="E83" s="209">
        <v>0</v>
      </c>
    </row>
    <row r="84" spans="1:5">
      <c r="A84" s="202" t="s">
        <v>318</v>
      </c>
      <c r="B84" s="204">
        <v>2</v>
      </c>
      <c r="C84" s="204">
        <v>2</v>
      </c>
      <c r="D84" s="204">
        <v>4</v>
      </c>
      <c r="E84" s="205">
        <v>0</v>
      </c>
    </row>
    <row r="85" spans="1:5">
      <c r="A85" s="206" t="s">
        <v>319</v>
      </c>
      <c r="B85" s="208">
        <v>1</v>
      </c>
      <c r="C85" s="208">
        <v>1.5</v>
      </c>
      <c r="D85" s="208">
        <v>4</v>
      </c>
      <c r="E85" s="209">
        <v>0</v>
      </c>
    </row>
    <row r="86" spans="1:5">
      <c r="A86" s="202" t="s">
        <v>320</v>
      </c>
      <c r="B86" s="204">
        <v>2</v>
      </c>
      <c r="C86" s="204">
        <v>2.25</v>
      </c>
      <c r="D86" s="204">
        <v>8.375</v>
      </c>
      <c r="E86" s="205">
        <v>0</v>
      </c>
    </row>
    <row r="87" spans="1:5">
      <c r="A87" s="206" t="s">
        <v>321</v>
      </c>
      <c r="B87" s="208">
        <v>1</v>
      </c>
      <c r="C87" s="208">
        <v>1.5</v>
      </c>
      <c r="D87" s="208">
        <v>1.4000000000000001</v>
      </c>
      <c r="E87" s="209">
        <v>0</v>
      </c>
    </row>
    <row r="88" spans="1:5">
      <c r="A88" s="202" t="s">
        <v>322</v>
      </c>
      <c r="B88" s="204">
        <v>1</v>
      </c>
      <c r="C88" s="204">
        <v>0.5</v>
      </c>
      <c r="D88" s="204">
        <v>0.25</v>
      </c>
      <c r="E88" s="205">
        <v>0</v>
      </c>
    </row>
    <row r="89" spans="1:5">
      <c r="A89" s="206" t="s">
        <v>323</v>
      </c>
      <c r="B89" s="208">
        <v>1</v>
      </c>
      <c r="C89" s="208">
        <v>3</v>
      </c>
      <c r="D89" s="208">
        <v>0.60000000000000009</v>
      </c>
      <c r="E89" s="209">
        <v>10</v>
      </c>
    </row>
    <row r="90" spans="1:5">
      <c r="A90" s="202" t="s">
        <v>324</v>
      </c>
      <c r="B90" s="204">
        <v>1</v>
      </c>
      <c r="C90" s="204">
        <v>4.5</v>
      </c>
      <c r="D90" s="204">
        <v>8.2000000000000011</v>
      </c>
      <c r="E90" s="205">
        <v>80</v>
      </c>
    </row>
    <row r="91" spans="1:5">
      <c r="A91" s="206" t="s">
        <v>325</v>
      </c>
      <c r="B91" s="208">
        <v>1</v>
      </c>
      <c r="C91" s="208">
        <v>0.5</v>
      </c>
      <c r="D91" s="208">
        <v>0.5</v>
      </c>
      <c r="E91" s="209">
        <v>0</v>
      </c>
    </row>
    <row r="92" spans="1:5">
      <c r="A92" s="202" t="s">
        <v>326</v>
      </c>
      <c r="B92" s="204">
        <v>1</v>
      </c>
      <c r="C92" s="204">
        <v>1</v>
      </c>
      <c r="D92" s="204">
        <v>2</v>
      </c>
      <c r="E92" s="205">
        <v>0</v>
      </c>
    </row>
    <row r="93" spans="1:5">
      <c r="A93" s="206" t="s">
        <v>327</v>
      </c>
      <c r="B93" s="208">
        <v>2</v>
      </c>
      <c r="C93" s="208">
        <v>1</v>
      </c>
      <c r="D93" s="208">
        <v>3.1750000000000003</v>
      </c>
      <c r="E93" s="209">
        <v>0</v>
      </c>
    </row>
    <row r="94" spans="1:5">
      <c r="A94" s="202" t="s">
        <v>328</v>
      </c>
      <c r="B94" s="204">
        <v>2</v>
      </c>
      <c r="C94" s="204">
        <v>1.25</v>
      </c>
      <c r="D94" s="204">
        <v>2.125</v>
      </c>
      <c r="E94" s="205">
        <v>8</v>
      </c>
    </row>
    <row r="95" spans="1:5">
      <c r="A95" s="206" t="s">
        <v>329</v>
      </c>
      <c r="B95" s="208">
        <v>1</v>
      </c>
      <c r="C95" s="208">
        <v>1.5</v>
      </c>
      <c r="D95" s="208">
        <v>3</v>
      </c>
      <c r="E95" s="209">
        <v>0</v>
      </c>
    </row>
    <row r="96" spans="1:5">
      <c r="A96" s="202" t="s">
        <v>330</v>
      </c>
      <c r="B96" s="204">
        <v>2</v>
      </c>
      <c r="C96" s="204">
        <v>1.5</v>
      </c>
      <c r="D96" s="204">
        <v>0.8</v>
      </c>
      <c r="E96" s="205">
        <v>0</v>
      </c>
    </row>
    <row r="97" spans="1:5">
      <c r="A97" s="206" t="s">
        <v>331</v>
      </c>
      <c r="B97" s="208">
        <v>1</v>
      </c>
      <c r="C97" s="208">
        <v>0.25</v>
      </c>
      <c r="D97" s="208">
        <v>0.1</v>
      </c>
      <c r="E97" s="209">
        <v>0</v>
      </c>
    </row>
    <row r="98" spans="1:5">
      <c r="A98" s="202" t="s">
        <v>332</v>
      </c>
      <c r="B98" s="204">
        <v>2</v>
      </c>
      <c r="C98" s="204">
        <v>0.25</v>
      </c>
      <c r="D98" s="204">
        <v>0.30000000000000004</v>
      </c>
      <c r="E98" s="205">
        <v>0</v>
      </c>
    </row>
    <row r="99" spans="1:5">
      <c r="A99" s="206" t="s">
        <v>333</v>
      </c>
      <c r="B99" s="208">
        <v>1</v>
      </c>
      <c r="C99" s="208">
        <v>0.5</v>
      </c>
      <c r="D99" s="208">
        <v>0.4</v>
      </c>
      <c r="E99" s="209">
        <v>0</v>
      </c>
    </row>
    <row r="100" spans="1:5">
      <c r="A100" s="202" t="s">
        <v>334</v>
      </c>
      <c r="B100" s="204">
        <v>1</v>
      </c>
      <c r="C100" s="204">
        <v>0.25</v>
      </c>
      <c r="D100" s="204">
        <v>0.5</v>
      </c>
      <c r="E100" s="205">
        <v>0</v>
      </c>
    </row>
    <row r="101" spans="1:5">
      <c r="A101" s="206" t="s">
        <v>335</v>
      </c>
      <c r="B101" s="208">
        <v>1</v>
      </c>
      <c r="C101" s="208">
        <v>0.75</v>
      </c>
      <c r="D101" s="208">
        <v>1</v>
      </c>
      <c r="E101" s="209">
        <v>0</v>
      </c>
    </row>
    <row r="102" spans="1:5">
      <c r="A102" s="202" t="s">
        <v>336</v>
      </c>
      <c r="B102" s="204">
        <v>1</v>
      </c>
      <c r="C102" s="204">
        <v>0.25</v>
      </c>
      <c r="D102" s="204">
        <v>0.25</v>
      </c>
      <c r="E102" s="205">
        <v>0</v>
      </c>
    </row>
    <row r="103" spans="1:5">
      <c r="A103" s="206" t="s">
        <v>350</v>
      </c>
      <c r="B103" s="208">
        <v>50</v>
      </c>
      <c r="C103" s="208">
        <v>3</v>
      </c>
      <c r="D103" s="208">
        <v>2</v>
      </c>
      <c r="E103" s="209">
        <v>0</v>
      </c>
    </row>
    <row r="104" spans="1:5">
      <c r="A104" s="202" t="s">
        <v>345</v>
      </c>
      <c r="B104" s="204">
        <v>50</v>
      </c>
      <c r="C104" s="204">
        <v>4</v>
      </c>
      <c r="D104" s="204">
        <v>0.5</v>
      </c>
      <c r="E104" s="205">
        <v>0</v>
      </c>
    </row>
    <row r="105" spans="1:5">
      <c r="A105" s="206" t="s">
        <v>337</v>
      </c>
      <c r="B105" s="208">
        <v>50</v>
      </c>
      <c r="C105" s="208">
        <v>0.25</v>
      </c>
      <c r="D105" s="208">
        <v>0.5</v>
      </c>
      <c r="E105" s="209">
        <v>0</v>
      </c>
    </row>
    <row r="106" spans="1:5">
      <c r="A106" s="202" t="s">
        <v>338</v>
      </c>
      <c r="B106" s="204">
        <v>50</v>
      </c>
      <c r="C106" s="204">
        <v>1</v>
      </c>
      <c r="D106" s="204">
        <v>0.30000000000000004</v>
      </c>
      <c r="E106" s="205">
        <v>0</v>
      </c>
    </row>
    <row r="107" spans="1:5">
      <c r="A107" s="202" t="s">
        <v>346</v>
      </c>
      <c r="B107" s="204">
        <v>2</v>
      </c>
      <c r="C107" s="204">
        <v>1</v>
      </c>
      <c r="D107" s="204">
        <v>1</v>
      </c>
      <c r="E107" s="205">
        <v>0</v>
      </c>
    </row>
    <row r="108" spans="1:5">
      <c r="A108" s="206" t="s">
        <v>347</v>
      </c>
      <c r="B108" s="208">
        <v>2</v>
      </c>
      <c r="C108" s="208">
        <v>1</v>
      </c>
      <c r="D108" s="208">
        <v>1</v>
      </c>
      <c r="E108" s="209">
        <v>0</v>
      </c>
    </row>
    <row r="109" spans="1:5">
      <c r="A109" s="202" t="s">
        <v>348</v>
      </c>
      <c r="B109" s="204">
        <v>50</v>
      </c>
      <c r="C109" s="204">
        <v>2</v>
      </c>
      <c r="D109" s="204">
        <v>1.8250000000000002</v>
      </c>
      <c r="E109" s="205">
        <v>0</v>
      </c>
    </row>
    <row r="110" spans="1:5" ht="15" thickBot="1">
      <c r="A110" s="206" t="s">
        <v>349</v>
      </c>
      <c r="B110" s="208">
        <v>50</v>
      </c>
      <c r="C110" s="208">
        <v>1</v>
      </c>
      <c r="D110" s="208">
        <v>2.5</v>
      </c>
      <c r="E110" s="209">
        <v>0</v>
      </c>
    </row>
    <row r="111" spans="1:5" ht="15" thickBot="1">
      <c r="A111" s="30" t="s">
        <v>382</v>
      </c>
      <c r="B111" s="31"/>
      <c r="C111" s="31">
        <f>SUMPRODUCT(C65:C110,B65:B110)</f>
        <v>648.75</v>
      </c>
      <c r="D111" s="31"/>
      <c r="E111" s="32">
        <f>SUMPRODUCT(E65:E110, B65:B110)</f>
        <v>406</v>
      </c>
    </row>
    <row r="114" spans="1:9" ht="15" thickBot="1">
      <c r="A114" s="231" t="s">
        <v>383</v>
      </c>
      <c r="B114" s="232"/>
      <c r="C114" s="232"/>
      <c r="D114" s="232"/>
      <c r="E114" s="232"/>
      <c r="F114" s="232"/>
      <c r="G114" s="232"/>
      <c r="H114" s="33"/>
    </row>
    <row r="115" spans="1:9">
      <c r="A115" s="34" t="s">
        <v>390</v>
      </c>
      <c r="B115" s="34"/>
      <c r="C115" s="34"/>
      <c r="D115" s="34"/>
      <c r="E115" s="34"/>
      <c r="F115" s="34"/>
      <c r="G115" s="34"/>
    </row>
    <row r="116" spans="1:9" ht="15" thickBot="1">
      <c r="A116" s="201">
        <f>'Capacity statements'!B6*49</f>
        <v>127400</v>
      </c>
      <c r="B116" s="201"/>
      <c r="C116" s="201"/>
      <c r="D116" s="201"/>
      <c r="E116" s="201"/>
      <c r="F116" s="201"/>
      <c r="G116" s="201"/>
      <c r="I116" s="5" t="s">
        <v>392</v>
      </c>
    </row>
    <row r="117" spans="1:9">
      <c r="A117" s="35">
        <f t="shared" ref="A117:G117" si="2">A116/$C$52</f>
        <v>86.888320545609545</v>
      </c>
      <c r="B117" s="35">
        <f t="shared" si="2"/>
        <v>0</v>
      </c>
      <c r="C117" s="35">
        <f t="shared" si="2"/>
        <v>0</v>
      </c>
      <c r="D117" s="35">
        <f t="shared" si="2"/>
        <v>0</v>
      </c>
      <c r="E117" s="35">
        <f t="shared" si="2"/>
        <v>0</v>
      </c>
      <c r="F117" s="35">
        <f t="shared" si="2"/>
        <v>0</v>
      </c>
      <c r="G117" s="35">
        <f t="shared" si="2"/>
        <v>0</v>
      </c>
      <c r="I117" s="5" t="s">
        <v>393</v>
      </c>
    </row>
    <row r="118" spans="1:9" ht="15" thickBot="1">
      <c r="A118" s="210">
        <f t="shared" ref="A118:G118" si="3">A116/$E$52</f>
        <v>19.887605369965659</v>
      </c>
      <c r="B118" s="210">
        <f t="shared" si="3"/>
        <v>0</v>
      </c>
      <c r="C118" s="210">
        <f t="shared" si="3"/>
        <v>0</v>
      </c>
      <c r="D118" s="210">
        <f t="shared" si="3"/>
        <v>0</v>
      </c>
      <c r="E118" s="210">
        <f t="shared" si="3"/>
        <v>0</v>
      </c>
      <c r="F118" s="210">
        <f t="shared" si="3"/>
        <v>0</v>
      </c>
      <c r="G118" s="210">
        <f t="shared" si="3"/>
        <v>0</v>
      </c>
      <c r="I118" s="5" t="s">
        <v>394</v>
      </c>
    </row>
    <row r="120" spans="1:9" s="100" customFormat="1"/>
    <row r="122" spans="1:9" ht="15" thickBot="1"/>
    <row r="123" spans="1:9" ht="15" thickBot="1">
      <c r="A123" s="228" t="s">
        <v>396</v>
      </c>
      <c r="B123" s="229"/>
      <c r="C123" s="229"/>
      <c r="D123" s="229"/>
      <c r="E123" s="230"/>
      <c r="F123" s="22"/>
    </row>
    <row r="124" spans="1:9" ht="29.5" thickBot="1">
      <c r="A124" s="23" t="s">
        <v>368</v>
      </c>
      <c r="B124" s="24" t="s">
        <v>377</v>
      </c>
      <c r="C124" s="24" t="s">
        <v>397</v>
      </c>
      <c r="D124" s="24" t="s">
        <v>379</v>
      </c>
      <c r="E124" s="25" t="s">
        <v>380</v>
      </c>
      <c r="F124" s="26"/>
    </row>
    <row r="125" spans="1:9">
      <c r="A125" s="27" t="s">
        <v>398</v>
      </c>
      <c r="B125" s="28"/>
      <c r="C125" s="28"/>
      <c r="D125" s="28"/>
      <c r="E125" s="29"/>
    </row>
    <row r="126" spans="1:9">
      <c r="A126" s="202" t="s">
        <v>399</v>
      </c>
      <c r="B126" s="204"/>
      <c r="C126" s="204"/>
      <c r="D126" s="204"/>
      <c r="E126" s="205"/>
    </row>
    <row r="127" spans="1:9">
      <c r="A127" s="206"/>
      <c r="B127" s="208"/>
      <c r="C127" s="208"/>
      <c r="D127" s="208"/>
      <c r="E127" s="209"/>
    </row>
    <row r="128" spans="1:9">
      <c r="A128" s="202"/>
      <c r="B128" s="204"/>
      <c r="C128" s="204"/>
      <c r="D128" s="204"/>
      <c r="E128" s="205"/>
    </row>
    <row r="129" spans="1:9">
      <c r="A129" s="206" t="s">
        <v>400</v>
      </c>
      <c r="B129" s="208"/>
      <c r="C129" s="208"/>
      <c r="D129" s="208"/>
      <c r="E129" s="209"/>
    </row>
    <row r="130" spans="1:9" ht="15" thickBot="1">
      <c r="A130" s="211" t="s">
        <v>401</v>
      </c>
      <c r="B130" s="201"/>
      <c r="C130" s="201"/>
      <c r="D130" s="201"/>
      <c r="E130" s="212"/>
    </row>
    <row r="131" spans="1:9" ht="15" thickBot="1">
      <c r="A131" s="30" t="s">
        <v>382</v>
      </c>
      <c r="B131" s="31"/>
      <c r="C131" s="31">
        <f>SUMPRODUCT(C125:C130,B125:B130)</f>
        <v>0</v>
      </c>
      <c r="D131" s="31"/>
      <c r="E131" s="32">
        <f>SUMPRODUCT(E125:E130, B125:B130)</f>
        <v>0</v>
      </c>
    </row>
    <row r="134" spans="1:9" ht="15" thickBot="1">
      <c r="A134" s="231" t="s">
        <v>383</v>
      </c>
      <c r="B134" s="232"/>
      <c r="C134" s="232"/>
      <c r="D134" s="232"/>
      <c r="E134" s="232"/>
      <c r="F134" s="232"/>
      <c r="G134" s="232"/>
      <c r="H134" s="33"/>
    </row>
    <row r="135" spans="1:9">
      <c r="A135" s="34" t="s">
        <v>402</v>
      </c>
      <c r="B135" s="34" t="s">
        <v>403</v>
      </c>
      <c r="C135" s="34" t="s">
        <v>372</v>
      </c>
      <c r="D135" s="34"/>
      <c r="E135" s="34"/>
      <c r="F135" s="34"/>
      <c r="G135" s="34"/>
    </row>
    <row r="136" spans="1:9" ht="15" thickBot="1">
      <c r="A136" s="201"/>
      <c r="B136" s="201"/>
      <c r="C136" s="201"/>
      <c r="D136" s="201"/>
      <c r="E136" s="201"/>
      <c r="F136" s="201"/>
      <c r="G136" s="201"/>
      <c r="I136" s="5" t="s">
        <v>392</v>
      </c>
    </row>
    <row r="137" spans="1:9">
      <c r="A137" s="35" t="e">
        <f>A136/$C$131</f>
        <v>#DIV/0!</v>
      </c>
      <c r="B137" s="35" t="e">
        <f t="shared" ref="B137:G137" si="4">B136/$C$131</f>
        <v>#DIV/0!</v>
      </c>
      <c r="C137" s="35" t="e">
        <f t="shared" si="4"/>
        <v>#DIV/0!</v>
      </c>
      <c r="D137" s="35" t="e">
        <f t="shared" si="4"/>
        <v>#DIV/0!</v>
      </c>
      <c r="E137" s="35" t="e">
        <f t="shared" si="4"/>
        <v>#DIV/0!</v>
      </c>
      <c r="F137" s="35" t="e">
        <f t="shared" si="4"/>
        <v>#DIV/0!</v>
      </c>
      <c r="G137" s="35" t="e">
        <f t="shared" si="4"/>
        <v>#DIV/0!</v>
      </c>
      <c r="I137" s="5" t="s">
        <v>393</v>
      </c>
    </row>
    <row r="138" spans="1:9" ht="15" thickBot="1">
      <c r="A138" s="210" t="e">
        <f>A136/$E$131</f>
        <v>#DIV/0!</v>
      </c>
      <c r="B138" s="210" t="e">
        <f t="shared" ref="B138:G138" si="5">B136/$E$131</f>
        <v>#DIV/0!</v>
      </c>
      <c r="C138" s="210" t="e">
        <f t="shared" si="5"/>
        <v>#DIV/0!</v>
      </c>
      <c r="D138" s="210" t="e">
        <f t="shared" si="5"/>
        <v>#DIV/0!</v>
      </c>
      <c r="E138" s="210" t="e">
        <f t="shared" si="5"/>
        <v>#DIV/0!</v>
      </c>
      <c r="F138" s="210" t="e">
        <f t="shared" si="5"/>
        <v>#DIV/0!</v>
      </c>
      <c r="G138" s="210" t="e">
        <f t="shared" si="5"/>
        <v>#DIV/0!</v>
      </c>
      <c r="I138" s="5" t="s">
        <v>394</v>
      </c>
    </row>
  </sheetData>
  <mergeCells count="6">
    <mergeCell ref="A123:E123"/>
    <mergeCell ref="A134:G134"/>
    <mergeCell ref="A1:E1"/>
    <mergeCell ref="A55:G55"/>
    <mergeCell ref="A63:E63"/>
    <mergeCell ref="A114:G114"/>
  </mergeCells>
  <pageMargins left="0.7" right="0.7" top="0.75" bottom="0.75" header="0.3" footer="0.3"/>
  <pageSetup orientation="portrait" r:id="rId1"/>
  <headerFooter>
    <oddFooter>&amp;L&amp;1#&amp;"Calibri"&amp;7&amp;K000000C2 General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84A650E28E7647B345AA51A3860C7E" ma:contentTypeVersion="16" ma:contentTypeDescription="Create a new document." ma:contentTypeScope="" ma:versionID="e8b8dda1806ab0d090dda6dec2bca83c">
  <xsd:schema xmlns:xsd="http://www.w3.org/2001/XMLSchema" xmlns:xs="http://www.w3.org/2001/XMLSchema" xmlns:p="http://schemas.microsoft.com/office/2006/metadata/properties" xmlns:ns1="http://schemas.microsoft.com/sharepoint/v3" xmlns:ns2="b53948ad-4265-49d7-8686-87197ba94a81" xmlns:ns3="abfaa1ae-f5b4-438a-b50e-bf715618ea81" targetNamespace="http://schemas.microsoft.com/office/2006/metadata/properties" ma:root="true" ma:fieldsID="17ef711ae9cf0b19a89cfc2df4b5f64d" ns1:_="" ns2:_="" ns3:_="">
    <xsd:import namespace="http://schemas.microsoft.com/sharepoint/v3"/>
    <xsd:import namespace="b53948ad-4265-49d7-8686-87197ba94a81"/>
    <xsd:import namespace="abfaa1ae-f5b4-438a-b50e-bf715618ea8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3948ad-4265-49d7-8686-87197ba94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140db7b-894d-4be5-b4f9-3216f8c45b4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faa1ae-f5b4-438a-b50e-bf715618ea8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339dc7c-22ee-44a3-8635-8284b7799fdc}" ma:internalName="TaxCatchAll" ma:showField="CatchAllData" ma:web="abfaa1ae-f5b4-438a-b50e-bf715618ea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bfaa1ae-f5b4-438a-b50e-bf715618ea81" xsi:nil="true"/>
    <_ip_UnifiedCompliancePolicyUIAction xmlns="http://schemas.microsoft.com/sharepoint/v3" xsi:nil="true"/>
    <lcf76f155ced4ddcb4097134ff3c332f xmlns="b53948ad-4265-49d7-8686-87197ba94a81">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D129CB6D-A969-444E-BFA1-21AE37478A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53948ad-4265-49d7-8686-87197ba94a81"/>
    <ds:schemaRef ds:uri="abfaa1ae-f5b4-438a-b50e-bf715618ea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A9E797-49AD-4859-A6CC-E560D509CF9E}">
  <ds:schemaRefs>
    <ds:schemaRef ds:uri="http://schemas.microsoft.com/sharepoint/v3/contenttype/forms"/>
  </ds:schemaRefs>
</ds:datastoreItem>
</file>

<file path=customXml/itemProps3.xml><?xml version="1.0" encoding="utf-8"?>
<ds:datastoreItem xmlns:ds="http://schemas.openxmlformats.org/officeDocument/2006/customXml" ds:itemID="{EC2C9C06-F64F-44A3-BD88-F5D320C78482}">
  <ds:schemaRefs>
    <ds:schemaRef ds:uri="http://schemas.microsoft.com/office/2006/metadata/properties"/>
    <ds:schemaRef ds:uri="http://schemas.microsoft.com/office/infopath/2007/PartnerControls"/>
    <ds:schemaRef ds:uri="abfaa1ae-f5b4-438a-b50e-bf715618ea81"/>
    <ds:schemaRef ds:uri="http://schemas.microsoft.com/sharepoint/v3"/>
    <ds:schemaRef ds:uri="b53948ad-4265-49d7-8686-87197ba94a8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51</vt:i4>
      </vt:variant>
    </vt:vector>
  </HeadingPairs>
  <TitlesOfParts>
    <vt:vector size="65" baseType="lpstr">
      <vt:lpstr>Read me first</vt:lpstr>
      <vt:lpstr>Version Control</vt:lpstr>
      <vt:lpstr>Capacity and Performance Req.</vt:lpstr>
      <vt:lpstr>Definitions &amp; Rules </vt:lpstr>
      <vt:lpstr>Infra assumptions </vt:lpstr>
      <vt:lpstr>Please Complete</vt:lpstr>
      <vt:lpstr>DataSheet</vt:lpstr>
      <vt:lpstr>Hardware_profile</vt:lpstr>
      <vt:lpstr>CNF_info</vt:lpstr>
      <vt:lpstr>cBOM </vt:lpstr>
      <vt:lpstr>Capacity KPIs</vt:lpstr>
      <vt:lpstr>Capacity statements</vt:lpstr>
      <vt:lpstr>Minimum size CNF config</vt:lpstr>
      <vt:lpstr>Maximum size CNF config</vt:lpstr>
      <vt:lpstr>DataSheet!CONFIGA</vt:lpstr>
      <vt:lpstr>DataSheet!Disabled</vt:lpstr>
      <vt:lpstr>EDP</vt:lpstr>
      <vt:lpstr>EDPDisabled</vt:lpstr>
      <vt:lpstr>EDPDisabledNA_EDP_is_Enabled</vt:lpstr>
      <vt:lpstr>DataSheet!Enabled</vt:lpstr>
      <vt:lpstr>General_Purpose</vt:lpstr>
      <vt:lpstr>General_PurposeDisabled</vt:lpstr>
      <vt:lpstr>General_PurposeDisabledDisabled</vt:lpstr>
      <vt:lpstr>General_PurposeDisabledEnabled_POD_level_dimensioning_on_CPU_request</vt:lpstr>
      <vt:lpstr>General_PurposeDisabledEnabled_WN_Level_2_to_1</vt:lpstr>
      <vt:lpstr>General_PurposeDisabledEnabled_WN_Level_3_to_1_only_for_non_service_affecting_nodepool</vt:lpstr>
      <vt:lpstr>General_PurposeDisabledEnabled_WN_Level_4_to_1_only_for_non_service_affecting_nodepool</vt:lpstr>
      <vt:lpstr>General_PurposeDisabledPOD_Level_Dimensioning_on_CPU_Request</vt:lpstr>
      <vt:lpstr>General_PurposeDisabledWN_Level_oversubscription_at_host_level</vt:lpstr>
      <vt:lpstr>General_PurposeEnabled</vt:lpstr>
      <vt:lpstr>General_PurposeEnabledDisabled</vt:lpstr>
      <vt:lpstr>General_PurposeEnabledEnabled_WN_Level_3_to_1_only_for_non_service_affecting_nodepool</vt:lpstr>
      <vt:lpstr>General_PurposeEnabledNA_HT_is_already_Enabled</vt:lpstr>
      <vt:lpstr>DataSheet!HT</vt:lpstr>
      <vt:lpstr>Huge_Pages</vt:lpstr>
      <vt:lpstr>Huge_PagesDisabled</vt:lpstr>
      <vt:lpstr>Huge_PagesDisabledDisabled</vt:lpstr>
      <vt:lpstr>Huge_PagesDisabledDisabledEnabled_POD_level_dimensioning_on_CPU_request</vt:lpstr>
      <vt:lpstr>Huge_PagesDisabledDisabledEnabled_WN_Level_2_to_1</vt:lpstr>
      <vt:lpstr>Huge_PagesDisabledDisabledEnabled_WN_Level_3_to_1_only_for_non_service_affecting_nodepool</vt:lpstr>
      <vt:lpstr>Huge_PagesDisabledDisabledEnabled_WN_Level_4_to_1_only_for_non_service_affecting_nodepool</vt:lpstr>
      <vt:lpstr>Huge_PagesDisabledEnabled_POD_level_dimensioning_on_CPU_request</vt:lpstr>
      <vt:lpstr>Huge_PagesDisabledEnabled_WN_Level_2_to_1</vt:lpstr>
      <vt:lpstr>Huge_PagesDisabledEnabled_WN_Level_3_to_1_only_for_non_service_affecting_nodepool</vt:lpstr>
      <vt:lpstr>Huge_PagesDisabledEnabled_WN_Level_4_to_1_only_for_non_service_affecting_nodepool</vt:lpstr>
      <vt:lpstr>Huge_PagesEnabled</vt:lpstr>
      <vt:lpstr>Huge_PagesEnabledDisabled</vt:lpstr>
      <vt:lpstr>Huge_PagesEnabledNA_HT_is_already_Enabled</vt:lpstr>
      <vt:lpstr>HugePages</vt:lpstr>
      <vt:lpstr>OP_1</vt:lpstr>
      <vt:lpstr>OP_2</vt:lpstr>
      <vt:lpstr>OP_HT</vt:lpstr>
      <vt:lpstr>Others</vt:lpstr>
      <vt:lpstr>OthersDisabled</vt:lpstr>
      <vt:lpstr>OthersDisabledDisabled</vt:lpstr>
      <vt:lpstr>OthersDisabledEnabled_POD_level_dimensioning_on_CPU_request</vt:lpstr>
      <vt:lpstr>OthersDisabledEnabled_WN_Level_2_to_1</vt:lpstr>
      <vt:lpstr>OthersDisabledEnabled_WN_Level_3_to_1_only_for_non_service_affecting_nodepool</vt:lpstr>
      <vt:lpstr>OthersDisabledEnabled_WN_Level_4_to_1_only_for_non_service_affecting_nodepool</vt:lpstr>
      <vt:lpstr>OthersEnabled</vt:lpstr>
      <vt:lpstr>OthersEnabledDisabled</vt:lpstr>
      <vt:lpstr>Requirement</vt:lpstr>
      <vt:lpstr>SRIOV</vt:lpstr>
      <vt:lpstr>SRIOVDisabled</vt:lpstr>
      <vt:lpstr>SRIOVDisabledNA_SRIOV_is_Enabled</vt:lpstr>
    </vt:vector>
  </TitlesOfParts>
  <Manager/>
  <Company>Vodafone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Lovisolo, Fabio, Vodafone Italy</dc:creator>
  <cp:keywords/>
  <dc:description/>
  <cp:lastModifiedBy>Jagadeesh Annapureddy</cp:lastModifiedBy>
  <cp:revision/>
  <dcterms:created xsi:type="dcterms:W3CDTF">2017-03-30T13:38:56Z</dcterms:created>
  <dcterms:modified xsi:type="dcterms:W3CDTF">2025-09-19T06:22:27Z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0x0101004484A650E28E7647B345AA51A3860C7E</vt:lpwstr>
  </property>
  <property fmtid="{D5CDD505-2E9C-101B-9397-08002B2CF9AE}" pid="3" name="_NewReviewCycle">
    <vt:lpwstr/>
  </property>
  <property fmtid="{D5CDD505-2E9C-101B-9397-08002B2CF9AE}" pid="4" name="_dlc_DocIdItemGuid">
    <vt:lpwstr>3e42d985-bccd-49e7-8c36-b21cbb2414aa</vt:lpwstr>
  </property>
  <property fmtid="{D5CDD505-2E9C-101B-9397-08002B2CF9AE}" pid="5" name="MSIP_Label_0359f705-2ba0-454b-9cfc-6ce5bcaac040_Enabled">
    <vt:lpwstr>true</vt:lpwstr>
  </property>
  <property fmtid="{D5CDD505-2E9C-101B-9397-08002B2CF9AE}" pid="6" name="MSIP_Label_0359f705-2ba0-454b-9cfc-6ce5bcaac040_SetDate">
    <vt:lpwstr>2022-09-30T15:44:33Z</vt:lpwstr>
  </property>
  <property fmtid="{D5CDD505-2E9C-101B-9397-08002B2CF9AE}" pid="7" name="MSIP_Label_0359f705-2ba0-454b-9cfc-6ce5bcaac040_Method">
    <vt:lpwstr>Standard</vt:lpwstr>
  </property>
  <property fmtid="{D5CDD505-2E9C-101B-9397-08002B2CF9AE}" pid="8" name="MSIP_Label_0359f705-2ba0-454b-9cfc-6ce5bcaac040_Name">
    <vt:lpwstr>0359f705-2ba0-454b-9cfc-6ce5bcaac040</vt:lpwstr>
  </property>
  <property fmtid="{D5CDD505-2E9C-101B-9397-08002B2CF9AE}" pid="9" name="MSIP_Label_0359f705-2ba0-454b-9cfc-6ce5bcaac040_SiteId">
    <vt:lpwstr>68283f3b-8487-4c86-adb3-a5228f18b893</vt:lpwstr>
  </property>
  <property fmtid="{D5CDD505-2E9C-101B-9397-08002B2CF9AE}" pid="10" name="MSIP_Label_0359f705-2ba0-454b-9cfc-6ce5bcaac040_ActionId">
    <vt:lpwstr>790b3d52-57f8-451d-a282-78876d370ea5</vt:lpwstr>
  </property>
  <property fmtid="{D5CDD505-2E9C-101B-9397-08002B2CF9AE}" pid="11" name="MSIP_Label_0359f705-2ba0-454b-9cfc-6ce5bcaac040_ContentBits">
    <vt:lpwstr>2</vt:lpwstr>
  </property>
  <property fmtid="{D5CDD505-2E9C-101B-9397-08002B2CF9AE}" pid="12" name="MediaServiceImageTags">
    <vt:lpwstr/>
  </property>
</Properties>
</file>