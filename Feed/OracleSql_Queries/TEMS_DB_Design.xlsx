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racleSql_Queries\"/>
    </mc:Choice>
  </mc:AlternateContent>
  <xr:revisionPtr revIDLastSave="0" documentId="13_ncr:1_{B7AED017-3729-47F0-B704-EF667B3D779D}" xr6:coauthVersionLast="47" xr6:coauthVersionMax="47" xr10:uidLastSave="{00000000-0000-0000-0000-000000000000}"/>
  <bookViews>
    <workbookView xWindow="-108" yWindow="-108" windowWidth="23256" windowHeight="12456" tabRatio="886" firstSheet="1" activeTab="11" xr2:uid="{00000000-000D-0000-FFFF-FFFF00000000}"/>
  </bookViews>
  <sheets>
    <sheet name="Assumptions" sheetId="10" r:id="rId1"/>
    <sheet name="key" sheetId="9" r:id="rId2"/>
    <sheet name="networkelement" sheetId="1" r:id="rId3"/>
    <sheet name="softwarecomponent" sheetId="2" r:id="rId4"/>
    <sheet name="component" sheetId="8" r:id="rId5"/>
    <sheet name="identity" sheetId="3" r:id="rId6"/>
    <sheet name="softconfiguration" sheetId="4" r:id="rId7"/>
    <sheet name="function" sheetId="12" r:id="rId8"/>
    <sheet name="functionarea" sheetId="5" r:id="rId9"/>
    <sheet name="subfunction" sheetId="13" r:id="rId10"/>
    <sheet name="subfunctionarea" sheetId="6" r:id="rId11"/>
    <sheet name="Subfuncationarea2" sheetId="16" r:id="rId12"/>
    <sheet name="hardwareconfiguration" sheetId="7" r:id="rId13"/>
    <sheet name="Mapping" sheetId="15" r:id="rId14"/>
  </sheets>
  <definedNames>
    <definedName name="_xlnm._FilterDatabase" localSheetId="8" hidden="1">functionarea!$A$1:$E$181</definedName>
    <definedName name="_xlnm._FilterDatabase" localSheetId="13" hidden="1">Mapping!$A$1:$K$893</definedName>
    <definedName name="_xlnm._FilterDatabase" localSheetId="10" hidden="1">subfunctionarea!$A$1:$E$805</definedName>
  </definedNames>
  <calcPr calcId="191029"/>
</workbook>
</file>

<file path=xl/calcChain.xml><?xml version="1.0" encoding="utf-8"?>
<calcChain xmlns="http://schemas.openxmlformats.org/spreadsheetml/2006/main">
  <c r="G3" i="16" l="1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2" i="16"/>
  <c r="H649" i="6"/>
  <c r="F44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2" i="16"/>
  <c r="H648" i="6"/>
  <c r="H775" i="6"/>
  <c r="E775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E774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21" i="6"/>
  <c r="E722" i="6"/>
  <c r="E723" i="6"/>
  <c r="E716" i="6"/>
  <c r="E717" i="6"/>
  <c r="E718" i="6"/>
  <c r="E719" i="6"/>
  <c r="E720" i="6"/>
  <c r="E715" i="6"/>
  <c r="E714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00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2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3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4" i="6"/>
  <c r="E5" i="6"/>
  <c r="E6" i="6"/>
  <c r="E7" i="6"/>
  <c r="E2" i="6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3" i="5"/>
  <c r="K890" i="15"/>
  <c r="K891" i="15"/>
  <c r="K892" i="15"/>
  <c r="K893" i="15"/>
  <c r="J890" i="15"/>
  <c r="J891" i="15"/>
  <c r="J892" i="15"/>
  <c r="J893" i="15"/>
  <c r="I889" i="15"/>
  <c r="I890" i="15"/>
  <c r="I891" i="15"/>
  <c r="I892" i="15"/>
  <c r="I893" i="15"/>
  <c r="H889" i="15"/>
  <c r="H890" i="15"/>
  <c r="H891" i="15"/>
  <c r="H892" i="15"/>
  <c r="H893" i="15"/>
  <c r="J889" i="15"/>
  <c r="K889" i="15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K343" i="15"/>
  <c r="K344" i="15"/>
  <c r="K345" i="15"/>
  <c r="K346" i="15"/>
  <c r="K347" i="15"/>
  <c r="K348" i="15"/>
  <c r="K349" i="15"/>
  <c r="K350" i="15"/>
  <c r="K351" i="15"/>
  <c r="K352" i="15"/>
  <c r="K353" i="15"/>
  <c r="K354" i="15"/>
  <c r="K355" i="15"/>
  <c r="K356" i="15"/>
  <c r="K357" i="15"/>
  <c r="K358" i="15"/>
  <c r="K359" i="15"/>
  <c r="K360" i="15"/>
  <c r="K361" i="15"/>
  <c r="K362" i="15"/>
  <c r="K363" i="15"/>
  <c r="K364" i="15"/>
  <c r="K365" i="15"/>
  <c r="K366" i="15"/>
  <c r="K367" i="15"/>
  <c r="K368" i="15"/>
  <c r="K369" i="15"/>
  <c r="K370" i="15"/>
  <c r="K371" i="15"/>
  <c r="K372" i="15"/>
  <c r="K373" i="15"/>
  <c r="K374" i="15"/>
  <c r="K375" i="15"/>
  <c r="K376" i="15"/>
  <c r="K377" i="15"/>
  <c r="K378" i="15"/>
  <c r="K379" i="15"/>
  <c r="K380" i="15"/>
  <c r="K381" i="15"/>
  <c r="K382" i="15"/>
  <c r="K383" i="15"/>
  <c r="K384" i="15"/>
  <c r="K385" i="15"/>
  <c r="K386" i="15"/>
  <c r="K387" i="15"/>
  <c r="K388" i="15"/>
  <c r="K389" i="15"/>
  <c r="K390" i="15"/>
  <c r="K391" i="15"/>
  <c r="K392" i="15"/>
  <c r="K393" i="15"/>
  <c r="K394" i="15"/>
  <c r="K395" i="15"/>
  <c r="K396" i="15"/>
  <c r="K397" i="15"/>
  <c r="K398" i="15"/>
  <c r="K399" i="15"/>
  <c r="K400" i="15"/>
  <c r="K401" i="15"/>
  <c r="K402" i="15"/>
  <c r="K403" i="15"/>
  <c r="K404" i="15"/>
  <c r="K405" i="15"/>
  <c r="K406" i="15"/>
  <c r="K407" i="15"/>
  <c r="K408" i="15"/>
  <c r="K409" i="15"/>
  <c r="K410" i="15"/>
  <c r="K411" i="15"/>
  <c r="K412" i="15"/>
  <c r="K413" i="15"/>
  <c r="K414" i="15"/>
  <c r="K415" i="15"/>
  <c r="K416" i="15"/>
  <c r="K417" i="15"/>
  <c r="K418" i="15"/>
  <c r="K419" i="15"/>
  <c r="K420" i="15"/>
  <c r="K421" i="15"/>
  <c r="K422" i="15"/>
  <c r="K423" i="15"/>
  <c r="K424" i="15"/>
  <c r="K425" i="15"/>
  <c r="K426" i="15"/>
  <c r="K427" i="15"/>
  <c r="K428" i="15"/>
  <c r="K429" i="15"/>
  <c r="K430" i="15"/>
  <c r="K431" i="15"/>
  <c r="K432" i="15"/>
  <c r="K433" i="15"/>
  <c r="K434" i="15"/>
  <c r="K435" i="15"/>
  <c r="K436" i="15"/>
  <c r="K437" i="15"/>
  <c r="K438" i="15"/>
  <c r="K439" i="15"/>
  <c r="K440" i="15"/>
  <c r="K441" i="15"/>
  <c r="K442" i="15"/>
  <c r="K443" i="15"/>
  <c r="K444" i="15"/>
  <c r="K445" i="15"/>
  <c r="K446" i="15"/>
  <c r="K447" i="15"/>
  <c r="K448" i="15"/>
  <c r="K449" i="15"/>
  <c r="K450" i="15"/>
  <c r="K451" i="15"/>
  <c r="K452" i="15"/>
  <c r="K453" i="15"/>
  <c r="K454" i="15"/>
  <c r="K455" i="15"/>
  <c r="K456" i="15"/>
  <c r="K457" i="15"/>
  <c r="K458" i="15"/>
  <c r="K459" i="15"/>
  <c r="K460" i="15"/>
  <c r="K461" i="15"/>
  <c r="K462" i="15"/>
  <c r="K463" i="15"/>
  <c r="K464" i="15"/>
  <c r="K465" i="15"/>
  <c r="K466" i="15"/>
  <c r="K467" i="15"/>
  <c r="K468" i="15"/>
  <c r="K469" i="15"/>
  <c r="K470" i="15"/>
  <c r="K471" i="15"/>
  <c r="K472" i="15"/>
  <c r="K473" i="15"/>
  <c r="K474" i="15"/>
  <c r="K475" i="15"/>
  <c r="K476" i="15"/>
  <c r="K477" i="15"/>
  <c r="K478" i="15"/>
  <c r="K479" i="15"/>
  <c r="K480" i="15"/>
  <c r="K481" i="15"/>
  <c r="K482" i="15"/>
  <c r="K483" i="15"/>
  <c r="K484" i="15"/>
  <c r="K485" i="15"/>
  <c r="K486" i="15"/>
  <c r="K487" i="15"/>
  <c r="K488" i="15"/>
  <c r="K489" i="15"/>
  <c r="K490" i="15"/>
  <c r="K491" i="15"/>
  <c r="K492" i="15"/>
  <c r="K493" i="15"/>
  <c r="K494" i="15"/>
  <c r="K495" i="15"/>
  <c r="K496" i="15"/>
  <c r="K497" i="15"/>
  <c r="K498" i="15"/>
  <c r="K499" i="15"/>
  <c r="K500" i="15"/>
  <c r="K501" i="15"/>
  <c r="K502" i="15"/>
  <c r="K503" i="15"/>
  <c r="K504" i="15"/>
  <c r="K505" i="15"/>
  <c r="K506" i="15"/>
  <c r="K507" i="15"/>
  <c r="K508" i="15"/>
  <c r="K509" i="15"/>
  <c r="K510" i="15"/>
  <c r="K511" i="15"/>
  <c r="K512" i="15"/>
  <c r="K513" i="15"/>
  <c r="K514" i="15"/>
  <c r="K515" i="15"/>
  <c r="K516" i="15"/>
  <c r="K517" i="15"/>
  <c r="K518" i="15"/>
  <c r="K519" i="15"/>
  <c r="K520" i="15"/>
  <c r="K521" i="15"/>
  <c r="K522" i="15"/>
  <c r="K523" i="15"/>
  <c r="K524" i="15"/>
  <c r="K525" i="15"/>
  <c r="K526" i="15"/>
  <c r="K527" i="15"/>
  <c r="K528" i="15"/>
  <c r="K529" i="15"/>
  <c r="K530" i="15"/>
  <c r="K531" i="15"/>
  <c r="K532" i="15"/>
  <c r="K533" i="15"/>
  <c r="K534" i="15"/>
  <c r="K535" i="15"/>
  <c r="K536" i="15"/>
  <c r="K537" i="15"/>
  <c r="K538" i="15"/>
  <c r="K539" i="15"/>
  <c r="K540" i="15"/>
  <c r="K541" i="15"/>
  <c r="K542" i="15"/>
  <c r="K543" i="15"/>
  <c r="K544" i="15"/>
  <c r="K545" i="15"/>
  <c r="K546" i="15"/>
  <c r="K547" i="15"/>
  <c r="K548" i="15"/>
  <c r="K549" i="15"/>
  <c r="K550" i="15"/>
  <c r="K551" i="15"/>
  <c r="K552" i="15"/>
  <c r="K553" i="15"/>
  <c r="K554" i="15"/>
  <c r="K555" i="15"/>
  <c r="K556" i="15"/>
  <c r="K557" i="15"/>
  <c r="K558" i="15"/>
  <c r="K559" i="15"/>
  <c r="K560" i="15"/>
  <c r="K561" i="15"/>
  <c r="K562" i="15"/>
  <c r="K563" i="15"/>
  <c r="K564" i="15"/>
  <c r="K565" i="15"/>
  <c r="K566" i="15"/>
  <c r="K567" i="15"/>
  <c r="K568" i="15"/>
  <c r="K569" i="15"/>
  <c r="K570" i="15"/>
  <c r="K571" i="15"/>
  <c r="K572" i="15"/>
  <c r="K573" i="15"/>
  <c r="K574" i="15"/>
  <c r="K575" i="15"/>
  <c r="K576" i="15"/>
  <c r="K577" i="15"/>
  <c r="K578" i="15"/>
  <c r="K579" i="15"/>
  <c r="K580" i="15"/>
  <c r="K581" i="15"/>
  <c r="K582" i="15"/>
  <c r="K583" i="15"/>
  <c r="K584" i="15"/>
  <c r="K585" i="15"/>
  <c r="K586" i="15"/>
  <c r="K587" i="15"/>
  <c r="K588" i="15"/>
  <c r="K589" i="15"/>
  <c r="K590" i="15"/>
  <c r="K591" i="15"/>
  <c r="K592" i="15"/>
  <c r="K593" i="15"/>
  <c r="K594" i="15"/>
  <c r="K595" i="15"/>
  <c r="K596" i="15"/>
  <c r="K597" i="15"/>
  <c r="K598" i="15"/>
  <c r="K599" i="15"/>
  <c r="K600" i="15"/>
  <c r="K601" i="15"/>
  <c r="K602" i="15"/>
  <c r="K603" i="15"/>
  <c r="K604" i="15"/>
  <c r="K605" i="15"/>
  <c r="K606" i="15"/>
  <c r="K607" i="15"/>
  <c r="K608" i="15"/>
  <c r="K609" i="15"/>
  <c r="K610" i="15"/>
  <c r="K611" i="15"/>
  <c r="K612" i="15"/>
  <c r="K613" i="15"/>
  <c r="K614" i="15"/>
  <c r="K615" i="15"/>
  <c r="K616" i="15"/>
  <c r="K617" i="15"/>
  <c r="K618" i="15"/>
  <c r="K619" i="15"/>
  <c r="K620" i="15"/>
  <c r="K621" i="15"/>
  <c r="K622" i="15"/>
  <c r="K623" i="15"/>
  <c r="K624" i="15"/>
  <c r="K625" i="15"/>
  <c r="K626" i="15"/>
  <c r="K627" i="15"/>
  <c r="K628" i="15"/>
  <c r="K629" i="15"/>
  <c r="K630" i="15"/>
  <c r="K631" i="15"/>
  <c r="K632" i="15"/>
  <c r="K633" i="15"/>
  <c r="K634" i="15"/>
  <c r="K635" i="15"/>
  <c r="K636" i="15"/>
  <c r="K637" i="15"/>
  <c r="K638" i="15"/>
  <c r="K639" i="15"/>
  <c r="K640" i="15"/>
  <c r="K641" i="15"/>
  <c r="K642" i="15"/>
  <c r="K643" i="15"/>
  <c r="K644" i="15"/>
  <c r="K645" i="15"/>
  <c r="K646" i="15"/>
  <c r="K647" i="15"/>
  <c r="K648" i="15"/>
  <c r="K649" i="15"/>
  <c r="K650" i="15"/>
  <c r="K651" i="15"/>
  <c r="K652" i="15"/>
  <c r="K653" i="15"/>
  <c r="K654" i="15"/>
  <c r="K655" i="15"/>
  <c r="K656" i="15"/>
  <c r="K657" i="15"/>
  <c r="K658" i="15"/>
  <c r="K659" i="15"/>
  <c r="K660" i="15"/>
  <c r="K661" i="15"/>
  <c r="K662" i="15"/>
  <c r="K663" i="15"/>
  <c r="K664" i="15"/>
  <c r="K665" i="15"/>
  <c r="K666" i="15"/>
  <c r="K667" i="15"/>
  <c r="K668" i="15"/>
  <c r="K669" i="15"/>
  <c r="K670" i="15"/>
  <c r="K671" i="15"/>
  <c r="K672" i="15"/>
  <c r="K673" i="15"/>
  <c r="K674" i="15"/>
  <c r="K675" i="15"/>
  <c r="K676" i="15"/>
  <c r="K677" i="15"/>
  <c r="K678" i="15"/>
  <c r="K679" i="15"/>
  <c r="K680" i="15"/>
  <c r="K681" i="15"/>
  <c r="K682" i="15"/>
  <c r="K683" i="15"/>
  <c r="K684" i="15"/>
  <c r="K685" i="15"/>
  <c r="K686" i="15"/>
  <c r="K687" i="15"/>
  <c r="K688" i="15"/>
  <c r="K689" i="15"/>
  <c r="K690" i="15"/>
  <c r="K691" i="15"/>
  <c r="K692" i="15"/>
  <c r="K693" i="15"/>
  <c r="K694" i="15"/>
  <c r="K695" i="15"/>
  <c r="K696" i="15"/>
  <c r="K697" i="15"/>
  <c r="K698" i="15"/>
  <c r="K699" i="15"/>
  <c r="K700" i="15"/>
  <c r="K701" i="15"/>
  <c r="K702" i="15"/>
  <c r="K703" i="15"/>
  <c r="K704" i="15"/>
  <c r="K705" i="15"/>
  <c r="K706" i="15"/>
  <c r="K707" i="15"/>
  <c r="K708" i="15"/>
  <c r="K709" i="15"/>
  <c r="K710" i="15"/>
  <c r="K711" i="15"/>
  <c r="K712" i="15"/>
  <c r="K713" i="15"/>
  <c r="K714" i="15"/>
  <c r="K715" i="15"/>
  <c r="K716" i="15"/>
  <c r="K717" i="15"/>
  <c r="K718" i="15"/>
  <c r="K719" i="15"/>
  <c r="K720" i="15"/>
  <c r="K721" i="15"/>
  <c r="K722" i="15"/>
  <c r="K723" i="15"/>
  <c r="K724" i="15"/>
  <c r="K725" i="15"/>
  <c r="K726" i="15"/>
  <c r="K727" i="15"/>
  <c r="K728" i="15"/>
  <c r="K729" i="15"/>
  <c r="K730" i="15"/>
  <c r="K731" i="15"/>
  <c r="K732" i="15"/>
  <c r="K733" i="15"/>
  <c r="K734" i="15"/>
  <c r="K735" i="15"/>
  <c r="K736" i="15"/>
  <c r="K737" i="15"/>
  <c r="K738" i="15"/>
  <c r="K739" i="15"/>
  <c r="K740" i="15"/>
  <c r="K741" i="15"/>
  <c r="K742" i="15"/>
  <c r="K743" i="15"/>
  <c r="K744" i="15"/>
  <c r="K745" i="15"/>
  <c r="K746" i="15"/>
  <c r="K747" i="15"/>
  <c r="K748" i="15"/>
  <c r="K749" i="15"/>
  <c r="K750" i="15"/>
  <c r="K751" i="15"/>
  <c r="K752" i="15"/>
  <c r="K753" i="15"/>
  <c r="K754" i="15"/>
  <c r="K755" i="15"/>
  <c r="K756" i="15"/>
  <c r="K757" i="15"/>
  <c r="K758" i="15"/>
  <c r="K759" i="15"/>
  <c r="K760" i="15"/>
  <c r="K761" i="15"/>
  <c r="K762" i="15"/>
  <c r="K763" i="15"/>
  <c r="K764" i="15"/>
  <c r="K765" i="15"/>
  <c r="K766" i="15"/>
  <c r="K767" i="15"/>
  <c r="K768" i="15"/>
  <c r="K769" i="15"/>
  <c r="K770" i="15"/>
  <c r="K771" i="15"/>
  <c r="K772" i="15"/>
  <c r="K773" i="15"/>
  <c r="K774" i="15"/>
  <c r="K775" i="15"/>
  <c r="K776" i="15"/>
  <c r="K777" i="15"/>
  <c r="K778" i="15"/>
  <c r="K779" i="15"/>
  <c r="K780" i="15"/>
  <c r="K781" i="15"/>
  <c r="K782" i="15"/>
  <c r="K783" i="15"/>
  <c r="K784" i="15"/>
  <c r="K785" i="15"/>
  <c r="K786" i="15"/>
  <c r="K787" i="15"/>
  <c r="K788" i="15"/>
  <c r="K789" i="15"/>
  <c r="K790" i="15"/>
  <c r="K791" i="15"/>
  <c r="K792" i="15"/>
  <c r="K793" i="15"/>
  <c r="K794" i="15"/>
  <c r="K795" i="15"/>
  <c r="K796" i="15"/>
  <c r="K797" i="15"/>
  <c r="K798" i="15"/>
  <c r="K799" i="15"/>
  <c r="K800" i="15"/>
  <c r="K801" i="15"/>
  <c r="K802" i="15"/>
  <c r="K803" i="15"/>
  <c r="K804" i="15"/>
  <c r="K805" i="15"/>
  <c r="K806" i="15"/>
  <c r="K807" i="15"/>
  <c r="K808" i="15"/>
  <c r="K809" i="15"/>
  <c r="K810" i="15"/>
  <c r="K811" i="15"/>
  <c r="K812" i="15"/>
  <c r="K813" i="15"/>
  <c r="K814" i="15"/>
  <c r="K815" i="15"/>
  <c r="K816" i="15"/>
  <c r="K817" i="15"/>
  <c r="K818" i="15"/>
  <c r="K819" i="15"/>
  <c r="K820" i="15"/>
  <c r="K821" i="15"/>
  <c r="K822" i="15"/>
  <c r="K823" i="15"/>
  <c r="K824" i="15"/>
  <c r="K825" i="15"/>
  <c r="K826" i="15"/>
  <c r="K827" i="15"/>
  <c r="K828" i="15"/>
  <c r="K829" i="15"/>
  <c r="K830" i="15"/>
  <c r="K831" i="15"/>
  <c r="K832" i="15"/>
  <c r="K833" i="15"/>
  <c r="K834" i="15"/>
  <c r="K835" i="15"/>
  <c r="K836" i="15"/>
  <c r="K837" i="15"/>
  <c r="K838" i="15"/>
  <c r="K839" i="15"/>
  <c r="K840" i="15"/>
  <c r="K841" i="15"/>
  <c r="K842" i="15"/>
  <c r="K843" i="15"/>
  <c r="K844" i="15"/>
  <c r="K845" i="15"/>
  <c r="K846" i="15"/>
  <c r="K847" i="15"/>
  <c r="K848" i="15"/>
  <c r="K849" i="15"/>
  <c r="K850" i="15"/>
  <c r="K851" i="15"/>
  <c r="K852" i="15"/>
  <c r="K853" i="15"/>
  <c r="K854" i="15"/>
  <c r="K855" i="15"/>
  <c r="K856" i="15"/>
  <c r="K857" i="15"/>
  <c r="K858" i="15"/>
  <c r="K859" i="15"/>
  <c r="K860" i="15"/>
  <c r="K861" i="15"/>
  <c r="K862" i="15"/>
  <c r="K863" i="15"/>
  <c r="K864" i="15"/>
  <c r="K865" i="15"/>
  <c r="K866" i="15"/>
  <c r="K867" i="15"/>
  <c r="K868" i="15"/>
  <c r="K869" i="15"/>
  <c r="K870" i="15"/>
  <c r="K871" i="15"/>
  <c r="K872" i="15"/>
  <c r="K873" i="15"/>
  <c r="K874" i="15"/>
  <c r="K875" i="15"/>
  <c r="K876" i="15"/>
  <c r="K877" i="15"/>
  <c r="K878" i="15"/>
  <c r="K879" i="15"/>
  <c r="K880" i="15"/>
  <c r="K881" i="15"/>
  <c r="K882" i="15"/>
  <c r="K883" i="15"/>
  <c r="K884" i="15"/>
  <c r="K885" i="15"/>
  <c r="K886" i="15"/>
  <c r="K887" i="15"/>
  <c r="K888" i="15"/>
  <c r="K2" i="15"/>
  <c r="H28" i="15"/>
  <c r="I28" i="15"/>
  <c r="J28" i="15"/>
  <c r="H27" i="15"/>
  <c r="I27" i="15"/>
  <c r="J27" i="15"/>
  <c r="H29" i="15"/>
  <c r="I29" i="15"/>
  <c r="J29" i="15"/>
  <c r="H30" i="15"/>
  <c r="I30" i="15"/>
  <c r="J30" i="15"/>
  <c r="H38" i="15"/>
  <c r="I38" i="15"/>
  <c r="J38" i="15"/>
  <c r="H39" i="15"/>
  <c r="I39" i="15"/>
  <c r="J39" i="15"/>
  <c r="H40" i="15"/>
  <c r="I40" i="15"/>
  <c r="J40" i="15"/>
  <c r="H41" i="15"/>
  <c r="I41" i="15"/>
  <c r="J41" i="15"/>
  <c r="H42" i="15"/>
  <c r="I42" i="15"/>
  <c r="J42" i="15"/>
  <c r="H43" i="15"/>
  <c r="I43" i="15"/>
  <c r="J43" i="15"/>
  <c r="H44" i="15"/>
  <c r="I44" i="15"/>
  <c r="J44" i="15"/>
  <c r="H45" i="15"/>
  <c r="I45" i="15"/>
  <c r="J45" i="15"/>
  <c r="H46" i="15"/>
  <c r="I46" i="15"/>
  <c r="J46" i="15"/>
  <c r="H47" i="15"/>
  <c r="I47" i="15"/>
  <c r="J47" i="15"/>
  <c r="H48" i="15"/>
  <c r="I48" i="15"/>
  <c r="J48" i="15"/>
  <c r="H49" i="15"/>
  <c r="I49" i="15"/>
  <c r="J49" i="15"/>
  <c r="H50" i="15"/>
  <c r="I50" i="15"/>
  <c r="J50" i="15"/>
  <c r="H51" i="15"/>
  <c r="I51" i="15"/>
  <c r="J51" i="15"/>
  <c r="H52" i="15"/>
  <c r="I52" i="15"/>
  <c r="J52" i="15"/>
  <c r="H53" i="15"/>
  <c r="I53" i="15"/>
  <c r="J53" i="15"/>
  <c r="H54" i="15"/>
  <c r="I54" i="15"/>
  <c r="J54" i="15"/>
  <c r="H55" i="15"/>
  <c r="I55" i="15"/>
  <c r="J55" i="15"/>
  <c r="H56" i="15"/>
  <c r="I56" i="15"/>
  <c r="J56" i="15"/>
  <c r="H57" i="15"/>
  <c r="I57" i="15"/>
  <c r="J57" i="15"/>
  <c r="H58" i="15"/>
  <c r="I58" i="15"/>
  <c r="J58" i="15"/>
  <c r="H59" i="15"/>
  <c r="I59" i="15"/>
  <c r="J59" i="15"/>
  <c r="H60" i="15"/>
  <c r="I60" i="15"/>
  <c r="J60" i="15"/>
  <c r="H61" i="15"/>
  <c r="I61" i="15"/>
  <c r="J61" i="15"/>
  <c r="H206" i="15"/>
  <c r="I206" i="15"/>
  <c r="J206" i="15"/>
  <c r="H62" i="15"/>
  <c r="I62" i="15"/>
  <c r="J62" i="15"/>
  <c r="H63" i="15"/>
  <c r="I63" i="15"/>
  <c r="J63" i="15"/>
  <c r="H64" i="15"/>
  <c r="I64" i="15"/>
  <c r="J64" i="15"/>
  <c r="H65" i="15"/>
  <c r="I65" i="15"/>
  <c r="J65" i="15"/>
  <c r="H66" i="15"/>
  <c r="I66" i="15"/>
  <c r="J66" i="15"/>
  <c r="H67" i="15"/>
  <c r="I67" i="15"/>
  <c r="J67" i="15"/>
  <c r="H68" i="15"/>
  <c r="I68" i="15"/>
  <c r="J68" i="15"/>
  <c r="H69" i="15"/>
  <c r="I69" i="15"/>
  <c r="J69" i="15"/>
  <c r="H70" i="15"/>
  <c r="I70" i="15"/>
  <c r="J70" i="15"/>
  <c r="H71" i="15"/>
  <c r="I71" i="15"/>
  <c r="J71" i="15"/>
  <c r="H72" i="15"/>
  <c r="I72" i="15"/>
  <c r="J72" i="15"/>
  <c r="H73" i="15"/>
  <c r="I73" i="15"/>
  <c r="J73" i="15"/>
  <c r="H74" i="15"/>
  <c r="I74" i="15"/>
  <c r="J74" i="15"/>
  <c r="H75" i="15"/>
  <c r="I75" i="15"/>
  <c r="J75" i="15"/>
  <c r="H76" i="15"/>
  <c r="I76" i="15"/>
  <c r="J76" i="15"/>
  <c r="H77" i="15"/>
  <c r="I77" i="15"/>
  <c r="J77" i="15"/>
  <c r="H78" i="15"/>
  <c r="I78" i="15"/>
  <c r="J78" i="15"/>
  <c r="H79" i="15"/>
  <c r="I79" i="15"/>
  <c r="J79" i="15"/>
  <c r="H80" i="15"/>
  <c r="I80" i="15"/>
  <c r="J80" i="15"/>
  <c r="H81" i="15"/>
  <c r="I81" i="15"/>
  <c r="J81" i="15"/>
  <c r="H82" i="15"/>
  <c r="I82" i="15"/>
  <c r="J82" i="15"/>
  <c r="H83" i="15"/>
  <c r="I83" i="15"/>
  <c r="J83" i="15"/>
  <c r="H84" i="15"/>
  <c r="I84" i="15"/>
  <c r="J84" i="15"/>
  <c r="H85" i="15"/>
  <c r="I85" i="15"/>
  <c r="J85" i="15"/>
  <c r="H86" i="15"/>
  <c r="I86" i="15"/>
  <c r="J86" i="15"/>
  <c r="H87" i="15"/>
  <c r="I87" i="15"/>
  <c r="J87" i="15"/>
  <c r="H88" i="15"/>
  <c r="I88" i="15"/>
  <c r="J88" i="15"/>
  <c r="H89" i="15"/>
  <c r="I89" i="15"/>
  <c r="J89" i="15"/>
  <c r="H90" i="15"/>
  <c r="I90" i="15"/>
  <c r="J90" i="15"/>
  <c r="H91" i="15"/>
  <c r="I91" i="15"/>
  <c r="J91" i="15"/>
  <c r="H92" i="15"/>
  <c r="I92" i="15"/>
  <c r="J92" i="15"/>
  <c r="H93" i="15"/>
  <c r="I93" i="15"/>
  <c r="J93" i="15"/>
  <c r="H94" i="15"/>
  <c r="I94" i="15"/>
  <c r="J94" i="15"/>
  <c r="H95" i="15"/>
  <c r="I95" i="15"/>
  <c r="J95" i="15"/>
  <c r="H96" i="15"/>
  <c r="I96" i="15"/>
  <c r="J96" i="15"/>
  <c r="H97" i="15"/>
  <c r="I97" i="15"/>
  <c r="J97" i="15"/>
  <c r="H98" i="15"/>
  <c r="I98" i="15"/>
  <c r="J98" i="15"/>
  <c r="H208" i="15"/>
  <c r="I208" i="15"/>
  <c r="J208" i="15"/>
  <c r="H99" i="15"/>
  <c r="I99" i="15"/>
  <c r="J99" i="15"/>
  <c r="H209" i="15"/>
  <c r="I209" i="15"/>
  <c r="J209" i="15"/>
  <c r="H100" i="15"/>
  <c r="I100" i="15"/>
  <c r="J100" i="15"/>
  <c r="H101" i="15"/>
  <c r="I101" i="15"/>
  <c r="J101" i="15"/>
  <c r="H102" i="15"/>
  <c r="I102" i="15"/>
  <c r="J102" i="15"/>
  <c r="H210" i="15"/>
  <c r="I210" i="15"/>
  <c r="J210" i="15"/>
  <c r="H103" i="15"/>
  <c r="I103" i="15"/>
  <c r="J103" i="15"/>
  <c r="H104" i="15"/>
  <c r="I104" i="15"/>
  <c r="J104" i="15"/>
  <c r="H105" i="15"/>
  <c r="I105" i="15"/>
  <c r="J105" i="15"/>
  <c r="H106" i="15"/>
  <c r="I106" i="15"/>
  <c r="J106" i="15"/>
  <c r="H107" i="15"/>
  <c r="I107" i="15"/>
  <c r="J107" i="15"/>
  <c r="H108" i="15"/>
  <c r="I108" i="15"/>
  <c r="J108" i="15"/>
  <c r="H109" i="15"/>
  <c r="I109" i="15"/>
  <c r="J109" i="15"/>
  <c r="H110" i="15"/>
  <c r="I110" i="15"/>
  <c r="J110" i="15"/>
  <c r="H111" i="15"/>
  <c r="I111" i="15"/>
  <c r="J111" i="15"/>
  <c r="H112" i="15"/>
  <c r="I112" i="15"/>
  <c r="J112" i="15"/>
  <c r="H113" i="15"/>
  <c r="I113" i="15"/>
  <c r="J113" i="15"/>
  <c r="H114" i="15"/>
  <c r="I114" i="15"/>
  <c r="J114" i="15"/>
  <c r="H115" i="15"/>
  <c r="I115" i="15"/>
  <c r="J115" i="15"/>
  <c r="H116" i="15"/>
  <c r="I116" i="15"/>
  <c r="J116" i="15"/>
  <c r="H117" i="15"/>
  <c r="I117" i="15"/>
  <c r="J117" i="15"/>
  <c r="H118" i="15"/>
  <c r="I118" i="15"/>
  <c r="J118" i="15"/>
  <c r="H119" i="15"/>
  <c r="I119" i="15"/>
  <c r="J119" i="15"/>
  <c r="H120" i="15"/>
  <c r="I120" i="15"/>
  <c r="J120" i="15"/>
  <c r="H121" i="15"/>
  <c r="I121" i="15"/>
  <c r="J121" i="15"/>
  <c r="H122" i="15"/>
  <c r="I122" i="15"/>
  <c r="J122" i="15"/>
  <c r="H123" i="15"/>
  <c r="I123" i="15"/>
  <c r="J123" i="15"/>
  <c r="H124" i="15"/>
  <c r="I124" i="15"/>
  <c r="J124" i="15"/>
  <c r="H125" i="15"/>
  <c r="I125" i="15"/>
  <c r="J125" i="15"/>
  <c r="H126" i="15"/>
  <c r="I126" i="15"/>
  <c r="J126" i="15"/>
  <c r="H127" i="15"/>
  <c r="I127" i="15"/>
  <c r="J127" i="15"/>
  <c r="H128" i="15"/>
  <c r="I128" i="15"/>
  <c r="J128" i="15"/>
  <c r="H129" i="15"/>
  <c r="I129" i="15"/>
  <c r="J129" i="15"/>
  <c r="H130" i="15"/>
  <c r="I130" i="15"/>
  <c r="J130" i="15"/>
  <c r="H131" i="15"/>
  <c r="I131" i="15"/>
  <c r="J131" i="15"/>
  <c r="H132" i="15"/>
  <c r="I132" i="15"/>
  <c r="J132" i="15"/>
  <c r="H133" i="15"/>
  <c r="I133" i="15"/>
  <c r="J133" i="15"/>
  <c r="H134" i="15"/>
  <c r="I134" i="15"/>
  <c r="J134" i="15"/>
  <c r="H135" i="15"/>
  <c r="I135" i="15"/>
  <c r="J135" i="15"/>
  <c r="H136" i="15"/>
  <c r="I136" i="15"/>
  <c r="J136" i="15"/>
  <c r="H137" i="15"/>
  <c r="I137" i="15"/>
  <c r="J137" i="15"/>
  <c r="H138" i="15"/>
  <c r="I138" i="15"/>
  <c r="J138" i="15"/>
  <c r="H139" i="15"/>
  <c r="I139" i="15"/>
  <c r="J139" i="15"/>
  <c r="H140" i="15"/>
  <c r="I140" i="15"/>
  <c r="J140" i="15"/>
  <c r="H141" i="15"/>
  <c r="I141" i="15"/>
  <c r="J141" i="15"/>
  <c r="H142" i="15"/>
  <c r="I142" i="15"/>
  <c r="J142" i="15"/>
  <c r="H143" i="15"/>
  <c r="I143" i="15"/>
  <c r="J143" i="15"/>
  <c r="H211" i="15"/>
  <c r="I211" i="15"/>
  <c r="J211" i="15"/>
  <c r="H212" i="15"/>
  <c r="I212" i="15"/>
  <c r="J212" i="15"/>
  <c r="H144" i="15"/>
  <c r="I144" i="15"/>
  <c r="J144" i="15"/>
  <c r="H145" i="15"/>
  <c r="I145" i="15"/>
  <c r="J145" i="15"/>
  <c r="H146" i="15"/>
  <c r="I146" i="15"/>
  <c r="J146" i="15"/>
  <c r="H147" i="15"/>
  <c r="I147" i="15"/>
  <c r="J147" i="15"/>
  <c r="H213" i="15"/>
  <c r="I213" i="15"/>
  <c r="J213" i="15"/>
  <c r="H214" i="15"/>
  <c r="I214" i="15"/>
  <c r="J214" i="15"/>
  <c r="H215" i="15"/>
  <c r="I215" i="15"/>
  <c r="J215" i="15"/>
  <c r="H216" i="15"/>
  <c r="I216" i="15"/>
  <c r="J216" i="15"/>
  <c r="H148" i="15"/>
  <c r="I148" i="15"/>
  <c r="J148" i="15"/>
  <c r="H149" i="15"/>
  <c r="I149" i="15"/>
  <c r="J149" i="15"/>
  <c r="H150" i="15"/>
  <c r="I150" i="15"/>
  <c r="J150" i="15"/>
  <c r="H151" i="15"/>
  <c r="I151" i="15"/>
  <c r="J151" i="15"/>
  <c r="H217" i="15"/>
  <c r="I217" i="15"/>
  <c r="J217" i="15"/>
  <c r="H152" i="15"/>
  <c r="I152" i="15"/>
  <c r="J152" i="15"/>
  <c r="H153" i="15"/>
  <c r="I153" i="15"/>
  <c r="J153" i="15"/>
  <c r="H154" i="15"/>
  <c r="I154" i="15"/>
  <c r="J154" i="15"/>
  <c r="H218" i="15"/>
  <c r="I218" i="15"/>
  <c r="J218" i="15"/>
  <c r="H155" i="15"/>
  <c r="I155" i="15"/>
  <c r="J155" i="15"/>
  <c r="H156" i="15"/>
  <c r="I156" i="15"/>
  <c r="J156" i="15"/>
  <c r="H219" i="15"/>
  <c r="I219" i="15"/>
  <c r="J219" i="15"/>
  <c r="H157" i="15"/>
  <c r="I157" i="15"/>
  <c r="J157" i="15"/>
  <c r="H158" i="15"/>
  <c r="I158" i="15"/>
  <c r="J158" i="15"/>
  <c r="H159" i="15"/>
  <c r="I159" i="15"/>
  <c r="J159" i="15"/>
  <c r="H160" i="15"/>
  <c r="I160" i="15"/>
  <c r="J160" i="15"/>
  <c r="H161" i="15"/>
  <c r="I161" i="15"/>
  <c r="J161" i="15"/>
  <c r="H162" i="15"/>
  <c r="I162" i="15"/>
  <c r="J162" i="15"/>
  <c r="H163" i="15"/>
  <c r="I163" i="15"/>
  <c r="J163" i="15"/>
  <c r="H164" i="15"/>
  <c r="I164" i="15"/>
  <c r="J164" i="15"/>
  <c r="H165" i="15"/>
  <c r="I165" i="15"/>
  <c r="J165" i="15"/>
  <c r="H166" i="15"/>
  <c r="I166" i="15"/>
  <c r="J166" i="15"/>
  <c r="H167" i="15"/>
  <c r="I167" i="15"/>
  <c r="J167" i="15"/>
  <c r="H168" i="15"/>
  <c r="I168" i="15"/>
  <c r="J168" i="15"/>
  <c r="H169" i="15"/>
  <c r="I169" i="15"/>
  <c r="J169" i="15"/>
  <c r="H170" i="15"/>
  <c r="I170" i="15"/>
  <c r="J170" i="15"/>
  <c r="H171" i="15"/>
  <c r="I171" i="15"/>
  <c r="J171" i="15"/>
  <c r="H172" i="15"/>
  <c r="I172" i="15"/>
  <c r="J172" i="15"/>
  <c r="H173" i="15"/>
  <c r="I173" i="15"/>
  <c r="J173" i="15"/>
  <c r="H174" i="15"/>
  <c r="I174" i="15"/>
  <c r="J174" i="15"/>
  <c r="H175" i="15"/>
  <c r="I175" i="15"/>
  <c r="J175" i="15"/>
  <c r="H176" i="15"/>
  <c r="I176" i="15"/>
  <c r="J176" i="15"/>
  <c r="H177" i="15"/>
  <c r="I177" i="15"/>
  <c r="J177" i="15"/>
  <c r="H178" i="15"/>
  <c r="I178" i="15"/>
  <c r="J178" i="15"/>
  <c r="H179" i="15"/>
  <c r="I179" i="15"/>
  <c r="J179" i="15"/>
  <c r="H180" i="15"/>
  <c r="I180" i="15"/>
  <c r="J180" i="15"/>
  <c r="H181" i="15"/>
  <c r="I181" i="15"/>
  <c r="J181" i="15"/>
  <c r="H182" i="15"/>
  <c r="I182" i="15"/>
  <c r="J182" i="15"/>
  <c r="H183" i="15"/>
  <c r="I183" i="15"/>
  <c r="J183" i="15"/>
  <c r="H184" i="15"/>
  <c r="I184" i="15"/>
  <c r="J184" i="15"/>
  <c r="H185" i="15"/>
  <c r="I185" i="15"/>
  <c r="J185" i="15"/>
  <c r="H186" i="15"/>
  <c r="I186" i="15"/>
  <c r="J186" i="15"/>
  <c r="H187" i="15"/>
  <c r="I187" i="15"/>
  <c r="J187" i="15"/>
  <c r="H188" i="15"/>
  <c r="I188" i="15"/>
  <c r="J188" i="15"/>
  <c r="H189" i="15"/>
  <c r="I189" i="15"/>
  <c r="J189" i="15"/>
  <c r="H190" i="15"/>
  <c r="I190" i="15"/>
  <c r="J190" i="15"/>
  <c r="H191" i="15"/>
  <c r="I191" i="15"/>
  <c r="J191" i="15"/>
  <c r="H192" i="15"/>
  <c r="I192" i="15"/>
  <c r="J192" i="15"/>
  <c r="H193" i="15"/>
  <c r="I193" i="15"/>
  <c r="J193" i="15"/>
  <c r="H194" i="15"/>
  <c r="I194" i="15"/>
  <c r="J194" i="15"/>
  <c r="H195" i="15"/>
  <c r="I195" i="15"/>
  <c r="J195" i="15"/>
  <c r="H196" i="15"/>
  <c r="I196" i="15"/>
  <c r="J196" i="15"/>
  <c r="H197" i="15"/>
  <c r="I197" i="15"/>
  <c r="J197" i="15"/>
  <c r="H198" i="15"/>
  <c r="I198" i="15"/>
  <c r="J198" i="15"/>
  <c r="H199" i="15"/>
  <c r="I199" i="15"/>
  <c r="J199" i="15"/>
  <c r="H200" i="15"/>
  <c r="I200" i="15"/>
  <c r="J200" i="15"/>
  <c r="H201" i="15"/>
  <c r="I201" i="15"/>
  <c r="J201" i="15"/>
  <c r="H202" i="15"/>
  <c r="I202" i="15"/>
  <c r="J202" i="15"/>
  <c r="H207" i="15"/>
  <c r="I207" i="15"/>
  <c r="J207" i="15"/>
  <c r="H203" i="15"/>
  <c r="I203" i="15"/>
  <c r="J203" i="15"/>
  <c r="H204" i="15"/>
  <c r="I204" i="15"/>
  <c r="J204" i="15"/>
  <c r="H205" i="15"/>
  <c r="I205" i="15"/>
  <c r="J205" i="15"/>
  <c r="H31" i="15"/>
  <c r="I31" i="15"/>
  <c r="J31" i="15"/>
  <c r="H32" i="15"/>
  <c r="I32" i="15"/>
  <c r="J32" i="15"/>
  <c r="H33" i="15"/>
  <c r="I33" i="15"/>
  <c r="J33" i="15"/>
  <c r="H34" i="15"/>
  <c r="I34" i="15"/>
  <c r="J34" i="15"/>
  <c r="H35" i="15"/>
  <c r="I35" i="15"/>
  <c r="J35" i="15"/>
  <c r="H2" i="15"/>
  <c r="I2" i="15"/>
  <c r="J2" i="15"/>
  <c r="H3" i="15"/>
  <c r="I3" i="15"/>
  <c r="J3" i="15"/>
  <c r="H4" i="15"/>
  <c r="I4" i="15"/>
  <c r="J4" i="15"/>
  <c r="H5" i="15"/>
  <c r="I5" i="15"/>
  <c r="J5" i="15"/>
  <c r="H6" i="15"/>
  <c r="I6" i="15"/>
  <c r="J6" i="15"/>
  <c r="H7" i="15"/>
  <c r="I7" i="15"/>
  <c r="J7" i="15"/>
  <c r="H8" i="15"/>
  <c r="I8" i="15"/>
  <c r="J8" i="15"/>
  <c r="H9" i="15"/>
  <c r="I9" i="15"/>
  <c r="J9" i="15"/>
  <c r="H10" i="15"/>
  <c r="I10" i="15"/>
  <c r="J10" i="15"/>
  <c r="H11" i="15"/>
  <c r="I11" i="15"/>
  <c r="J11" i="15"/>
  <c r="H12" i="15"/>
  <c r="I12" i="15"/>
  <c r="J12" i="15"/>
  <c r="H13" i="15"/>
  <c r="I13" i="15"/>
  <c r="J13" i="15"/>
  <c r="H14" i="15"/>
  <c r="I14" i="15"/>
  <c r="J14" i="15"/>
  <c r="H15" i="15"/>
  <c r="I15" i="15"/>
  <c r="J15" i="15"/>
  <c r="H16" i="15"/>
  <c r="I16" i="15"/>
  <c r="J16" i="15"/>
  <c r="H17" i="15"/>
  <c r="I17" i="15"/>
  <c r="J17" i="15"/>
  <c r="H18" i="15"/>
  <c r="I18" i="15"/>
  <c r="J18" i="15"/>
  <c r="H19" i="15"/>
  <c r="I19" i="15"/>
  <c r="J19" i="15"/>
  <c r="H20" i="15"/>
  <c r="I20" i="15"/>
  <c r="J20" i="15"/>
  <c r="H21" i="15"/>
  <c r="I21" i="15"/>
  <c r="J21" i="15"/>
  <c r="H22" i="15"/>
  <c r="I22" i="15"/>
  <c r="J22" i="15"/>
  <c r="H36" i="15"/>
  <c r="I36" i="15"/>
  <c r="J36" i="15"/>
  <c r="H37" i="15"/>
  <c r="I37" i="15"/>
  <c r="J37" i="15"/>
  <c r="H23" i="15"/>
  <c r="I23" i="15"/>
  <c r="J23" i="15"/>
  <c r="H24" i="15"/>
  <c r="I24" i="15"/>
  <c r="J24" i="15"/>
  <c r="H25" i="15"/>
  <c r="I25" i="15"/>
  <c r="J25" i="15"/>
  <c r="H26" i="15"/>
  <c r="I26" i="15"/>
  <c r="J26" i="15"/>
  <c r="H220" i="15"/>
  <c r="I220" i="15"/>
  <c r="J220" i="15"/>
  <c r="H221" i="15"/>
  <c r="I221" i="15"/>
  <c r="J221" i="15"/>
  <c r="H222" i="15"/>
  <c r="I222" i="15"/>
  <c r="J222" i="15"/>
  <c r="H787" i="15"/>
  <c r="I787" i="15"/>
  <c r="J787" i="15"/>
  <c r="H788" i="15"/>
  <c r="I788" i="15"/>
  <c r="J788" i="15"/>
  <c r="H223" i="15"/>
  <c r="I223" i="15"/>
  <c r="J223" i="15"/>
  <c r="H789" i="15"/>
  <c r="I789" i="15"/>
  <c r="J789" i="15"/>
  <c r="H224" i="15"/>
  <c r="I224" i="15"/>
  <c r="J224" i="15"/>
  <c r="H790" i="15"/>
  <c r="I790" i="15"/>
  <c r="J790" i="15"/>
  <c r="H225" i="15"/>
  <c r="I225" i="15"/>
  <c r="J225" i="15"/>
  <c r="H226" i="15"/>
  <c r="I226" i="15"/>
  <c r="J226" i="15"/>
  <c r="H227" i="15"/>
  <c r="I227" i="15"/>
  <c r="J227" i="15"/>
  <c r="H228" i="15"/>
  <c r="I228" i="15"/>
  <c r="J228" i="15"/>
  <c r="H229" i="15"/>
  <c r="I229" i="15"/>
  <c r="J229" i="15"/>
  <c r="H230" i="15"/>
  <c r="I230" i="15"/>
  <c r="J230" i="15"/>
  <c r="H231" i="15"/>
  <c r="I231" i="15"/>
  <c r="J231" i="15"/>
  <c r="H232" i="15"/>
  <c r="I232" i="15"/>
  <c r="J232" i="15"/>
  <c r="H233" i="15"/>
  <c r="I233" i="15"/>
  <c r="J233" i="15"/>
  <c r="H234" i="15"/>
  <c r="I234" i="15"/>
  <c r="J234" i="15"/>
  <c r="H235" i="15"/>
  <c r="I235" i="15"/>
  <c r="J235" i="15"/>
  <c r="H236" i="15"/>
  <c r="I236" i="15"/>
  <c r="J236" i="15"/>
  <c r="H237" i="15"/>
  <c r="I237" i="15"/>
  <c r="J237" i="15"/>
  <c r="H238" i="15"/>
  <c r="I238" i="15"/>
  <c r="J238" i="15"/>
  <c r="H239" i="15"/>
  <c r="I239" i="15"/>
  <c r="J239" i="15"/>
  <c r="H240" i="15"/>
  <c r="I240" i="15"/>
  <c r="J240" i="15"/>
  <c r="H241" i="15"/>
  <c r="I241" i="15"/>
  <c r="J241" i="15"/>
  <c r="H242" i="15"/>
  <c r="I242" i="15"/>
  <c r="J242" i="15"/>
  <c r="H243" i="15"/>
  <c r="I243" i="15"/>
  <c r="J243" i="15"/>
  <c r="H244" i="15"/>
  <c r="I244" i="15"/>
  <c r="J244" i="15"/>
  <c r="H245" i="15"/>
  <c r="I245" i="15"/>
  <c r="J245" i="15"/>
  <c r="H246" i="15"/>
  <c r="I246" i="15"/>
  <c r="J246" i="15"/>
  <c r="H247" i="15"/>
  <c r="I247" i="15"/>
  <c r="J247" i="15"/>
  <c r="H248" i="15"/>
  <c r="I248" i="15"/>
  <c r="J248" i="15"/>
  <c r="H249" i="15"/>
  <c r="I249" i="15"/>
  <c r="J249" i="15"/>
  <c r="H250" i="15"/>
  <c r="I250" i="15"/>
  <c r="J250" i="15"/>
  <c r="H251" i="15"/>
  <c r="I251" i="15"/>
  <c r="J251" i="15"/>
  <c r="H252" i="15"/>
  <c r="I252" i="15"/>
  <c r="J252" i="15"/>
  <c r="H253" i="15"/>
  <c r="I253" i="15"/>
  <c r="J253" i="15"/>
  <c r="H254" i="15"/>
  <c r="I254" i="15"/>
  <c r="J254" i="15"/>
  <c r="H255" i="15"/>
  <c r="I255" i="15"/>
  <c r="J255" i="15"/>
  <c r="H256" i="15"/>
  <c r="I256" i="15"/>
  <c r="J256" i="15"/>
  <c r="H257" i="15"/>
  <c r="I257" i="15"/>
  <c r="J257" i="15"/>
  <c r="H258" i="15"/>
  <c r="I258" i="15"/>
  <c r="J258" i="15"/>
  <c r="H259" i="15"/>
  <c r="I259" i="15"/>
  <c r="J259" i="15"/>
  <c r="H260" i="15"/>
  <c r="I260" i="15"/>
  <c r="J260" i="15"/>
  <c r="H261" i="15"/>
  <c r="I261" i="15"/>
  <c r="J261" i="15"/>
  <c r="H262" i="15"/>
  <c r="I262" i="15"/>
  <c r="J262" i="15"/>
  <c r="H263" i="15"/>
  <c r="I263" i="15"/>
  <c r="J263" i="15"/>
  <c r="H264" i="15"/>
  <c r="I264" i="15"/>
  <c r="J264" i="15"/>
  <c r="H265" i="15"/>
  <c r="I265" i="15"/>
  <c r="J265" i="15"/>
  <c r="H266" i="15"/>
  <c r="I266" i="15"/>
  <c r="J266" i="15"/>
  <c r="H818" i="15"/>
  <c r="I818" i="15"/>
  <c r="J818" i="15"/>
  <c r="H267" i="15"/>
  <c r="I267" i="15"/>
  <c r="J267" i="15"/>
  <c r="H268" i="15"/>
  <c r="I268" i="15"/>
  <c r="J268" i="15"/>
  <c r="H269" i="15"/>
  <c r="I269" i="15"/>
  <c r="J269" i="15"/>
  <c r="H270" i="15"/>
  <c r="I270" i="15"/>
  <c r="J270" i="15"/>
  <c r="H271" i="15"/>
  <c r="I271" i="15"/>
  <c r="J271" i="15"/>
  <c r="H272" i="15"/>
  <c r="I272" i="15"/>
  <c r="J272" i="15"/>
  <c r="H273" i="15"/>
  <c r="I273" i="15"/>
  <c r="J273" i="15"/>
  <c r="H274" i="15"/>
  <c r="I274" i="15"/>
  <c r="J274" i="15"/>
  <c r="H819" i="15"/>
  <c r="I819" i="15"/>
  <c r="J819" i="15"/>
  <c r="H275" i="15"/>
  <c r="I275" i="15"/>
  <c r="J275" i="15"/>
  <c r="H820" i="15"/>
  <c r="I820" i="15"/>
  <c r="J820" i="15"/>
  <c r="H276" i="15"/>
  <c r="I276" i="15"/>
  <c r="J276" i="15"/>
  <c r="H277" i="15"/>
  <c r="I277" i="15"/>
  <c r="J277" i="15"/>
  <c r="H821" i="15"/>
  <c r="I821" i="15"/>
  <c r="J821" i="15"/>
  <c r="H278" i="15"/>
  <c r="I278" i="15"/>
  <c r="J278" i="15"/>
  <c r="H279" i="15"/>
  <c r="I279" i="15"/>
  <c r="J279" i="15"/>
  <c r="H280" i="15"/>
  <c r="I280" i="15"/>
  <c r="J280" i="15"/>
  <c r="H281" i="15"/>
  <c r="I281" i="15"/>
  <c r="J281" i="15"/>
  <c r="H282" i="15"/>
  <c r="I282" i="15"/>
  <c r="J282" i="15"/>
  <c r="H283" i="15"/>
  <c r="I283" i="15"/>
  <c r="J283" i="15"/>
  <c r="H284" i="15"/>
  <c r="I284" i="15"/>
  <c r="J284" i="15"/>
  <c r="H822" i="15"/>
  <c r="I822" i="15"/>
  <c r="J822" i="15"/>
  <c r="H285" i="15"/>
  <c r="I285" i="15"/>
  <c r="J285" i="15"/>
  <c r="H286" i="15"/>
  <c r="I286" i="15"/>
  <c r="J286" i="15"/>
  <c r="H823" i="15"/>
  <c r="I823" i="15"/>
  <c r="J823" i="15"/>
  <c r="H824" i="15"/>
  <c r="I824" i="15"/>
  <c r="J824" i="15"/>
  <c r="H287" i="15"/>
  <c r="I287" i="15"/>
  <c r="J287" i="15"/>
  <c r="H288" i="15"/>
  <c r="I288" i="15"/>
  <c r="J288" i="15"/>
  <c r="H289" i="15"/>
  <c r="I289" i="15"/>
  <c r="J289" i="15"/>
  <c r="H290" i="15"/>
  <c r="I290" i="15"/>
  <c r="J290" i="15"/>
  <c r="H291" i="15"/>
  <c r="I291" i="15"/>
  <c r="J291" i="15"/>
  <c r="H825" i="15"/>
  <c r="I825" i="15"/>
  <c r="J825" i="15"/>
  <c r="H826" i="15"/>
  <c r="I826" i="15"/>
  <c r="J826" i="15"/>
  <c r="H292" i="15"/>
  <c r="I292" i="15"/>
  <c r="J292" i="15"/>
  <c r="H293" i="15"/>
  <c r="I293" i="15"/>
  <c r="J293" i="15"/>
  <c r="H294" i="15"/>
  <c r="I294" i="15"/>
  <c r="J294" i="15"/>
  <c r="H827" i="15"/>
  <c r="I827" i="15"/>
  <c r="J827" i="15"/>
  <c r="H295" i="15"/>
  <c r="I295" i="15"/>
  <c r="J295" i="15"/>
  <c r="H296" i="15"/>
  <c r="I296" i="15"/>
  <c r="J296" i="15"/>
  <c r="H297" i="15"/>
  <c r="I297" i="15"/>
  <c r="J297" i="15"/>
  <c r="H298" i="15"/>
  <c r="I298" i="15"/>
  <c r="J298" i="15"/>
  <c r="H299" i="15"/>
  <c r="I299" i="15"/>
  <c r="J299" i="15"/>
  <c r="H300" i="15"/>
  <c r="I300" i="15"/>
  <c r="J300" i="15"/>
  <c r="H301" i="15"/>
  <c r="I301" i="15"/>
  <c r="J301" i="15"/>
  <c r="H302" i="15"/>
  <c r="I302" i="15"/>
  <c r="J302" i="15"/>
  <c r="H303" i="15"/>
  <c r="I303" i="15"/>
  <c r="J303" i="15"/>
  <c r="H304" i="15"/>
  <c r="I304" i="15"/>
  <c r="J304" i="15"/>
  <c r="H305" i="15"/>
  <c r="I305" i="15"/>
  <c r="J305" i="15"/>
  <c r="H306" i="15"/>
  <c r="I306" i="15"/>
  <c r="J306" i="15"/>
  <c r="H307" i="15"/>
  <c r="I307" i="15"/>
  <c r="J307" i="15"/>
  <c r="H308" i="15"/>
  <c r="I308" i="15"/>
  <c r="J308" i="15"/>
  <c r="H309" i="15"/>
  <c r="I309" i="15"/>
  <c r="J309" i="15"/>
  <c r="H310" i="15"/>
  <c r="I310" i="15"/>
  <c r="J310" i="15"/>
  <c r="H311" i="15"/>
  <c r="I311" i="15"/>
  <c r="J311" i="15"/>
  <c r="H312" i="15"/>
  <c r="I312" i="15"/>
  <c r="J312" i="15"/>
  <c r="H313" i="15"/>
  <c r="I313" i="15"/>
  <c r="J313" i="15"/>
  <c r="H314" i="15"/>
  <c r="I314" i="15"/>
  <c r="J314" i="15"/>
  <c r="H315" i="15"/>
  <c r="I315" i="15"/>
  <c r="J315" i="15"/>
  <c r="H316" i="15"/>
  <c r="I316" i="15"/>
  <c r="J316" i="15"/>
  <c r="H317" i="15"/>
  <c r="I317" i="15"/>
  <c r="J317" i="15"/>
  <c r="H318" i="15"/>
  <c r="I318" i="15"/>
  <c r="J318" i="15"/>
  <c r="H319" i="15"/>
  <c r="I319" i="15"/>
  <c r="J319" i="15"/>
  <c r="H320" i="15"/>
  <c r="I320" i="15"/>
  <c r="J320" i="15"/>
  <c r="H321" i="15"/>
  <c r="I321" i="15"/>
  <c r="J321" i="15"/>
  <c r="H322" i="15"/>
  <c r="I322" i="15"/>
  <c r="J322" i="15"/>
  <c r="H323" i="15"/>
  <c r="I323" i="15"/>
  <c r="J323" i="15"/>
  <c r="H324" i="15"/>
  <c r="I324" i="15"/>
  <c r="J324" i="15"/>
  <c r="H325" i="15"/>
  <c r="I325" i="15"/>
  <c r="J325" i="15"/>
  <c r="H326" i="15"/>
  <c r="I326" i="15"/>
  <c r="J326" i="15"/>
  <c r="H327" i="15"/>
  <c r="I327" i="15"/>
  <c r="J327" i="15"/>
  <c r="H328" i="15"/>
  <c r="I328" i="15"/>
  <c r="J328" i="15"/>
  <c r="H791" i="15"/>
  <c r="I791" i="15"/>
  <c r="J791" i="15"/>
  <c r="H792" i="15"/>
  <c r="I792" i="15"/>
  <c r="J792" i="15"/>
  <c r="H329" i="15"/>
  <c r="I329" i="15"/>
  <c r="J329" i="15"/>
  <c r="H330" i="15"/>
  <c r="I330" i="15"/>
  <c r="J330" i="15"/>
  <c r="H331" i="15"/>
  <c r="I331" i="15"/>
  <c r="J331" i="15"/>
  <c r="H332" i="15"/>
  <c r="I332" i="15"/>
  <c r="J332" i="15"/>
  <c r="H333" i="15"/>
  <c r="I333" i="15"/>
  <c r="J333" i="15"/>
  <c r="H334" i="15"/>
  <c r="I334" i="15"/>
  <c r="J334" i="15"/>
  <c r="H335" i="15"/>
  <c r="I335" i="15"/>
  <c r="J335" i="15"/>
  <c r="H336" i="15"/>
  <c r="I336" i="15"/>
  <c r="J336" i="15"/>
  <c r="H337" i="15"/>
  <c r="I337" i="15"/>
  <c r="J337" i="15"/>
  <c r="H338" i="15"/>
  <c r="I338" i="15"/>
  <c r="J338" i="15"/>
  <c r="H339" i="15"/>
  <c r="I339" i="15"/>
  <c r="J339" i="15"/>
  <c r="H340" i="15"/>
  <c r="I340" i="15"/>
  <c r="J340" i="15"/>
  <c r="H341" i="15"/>
  <c r="I341" i="15"/>
  <c r="J341" i="15"/>
  <c r="H342" i="15"/>
  <c r="I342" i="15"/>
  <c r="J342" i="15"/>
  <c r="H343" i="15"/>
  <c r="I343" i="15"/>
  <c r="J343" i="15"/>
  <c r="H344" i="15"/>
  <c r="I344" i="15"/>
  <c r="J344" i="15"/>
  <c r="H345" i="15"/>
  <c r="I345" i="15"/>
  <c r="J345" i="15"/>
  <c r="H346" i="15"/>
  <c r="I346" i="15"/>
  <c r="J346" i="15"/>
  <c r="H347" i="15"/>
  <c r="I347" i="15"/>
  <c r="J347" i="15"/>
  <c r="H348" i="15"/>
  <c r="I348" i="15"/>
  <c r="J348" i="15"/>
  <c r="H349" i="15"/>
  <c r="I349" i="15"/>
  <c r="J349" i="15"/>
  <c r="H350" i="15"/>
  <c r="I350" i="15"/>
  <c r="J350" i="15"/>
  <c r="H351" i="15"/>
  <c r="I351" i="15"/>
  <c r="J351" i="15"/>
  <c r="H352" i="15"/>
  <c r="I352" i="15"/>
  <c r="J352" i="15"/>
  <c r="H353" i="15"/>
  <c r="I353" i="15"/>
  <c r="J353" i="15"/>
  <c r="H354" i="15"/>
  <c r="I354" i="15"/>
  <c r="J354" i="15"/>
  <c r="H355" i="15"/>
  <c r="I355" i="15"/>
  <c r="J355" i="15"/>
  <c r="H356" i="15"/>
  <c r="I356" i="15"/>
  <c r="J356" i="15"/>
  <c r="H357" i="15"/>
  <c r="I357" i="15"/>
  <c r="J357" i="15"/>
  <c r="H358" i="15"/>
  <c r="I358" i="15"/>
  <c r="J358" i="15"/>
  <c r="H359" i="15"/>
  <c r="I359" i="15"/>
  <c r="J359" i="15"/>
  <c r="H360" i="15"/>
  <c r="I360" i="15"/>
  <c r="J360" i="15"/>
  <c r="H361" i="15"/>
  <c r="I361" i="15"/>
  <c r="J361" i="15"/>
  <c r="H362" i="15"/>
  <c r="I362" i="15"/>
  <c r="J362" i="15"/>
  <c r="H363" i="15"/>
  <c r="I363" i="15"/>
  <c r="J363" i="15"/>
  <c r="H364" i="15"/>
  <c r="I364" i="15"/>
  <c r="J364" i="15"/>
  <c r="H365" i="15"/>
  <c r="I365" i="15"/>
  <c r="J365" i="15"/>
  <c r="H366" i="15"/>
  <c r="I366" i="15"/>
  <c r="J366" i="15"/>
  <c r="H367" i="15"/>
  <c r="I367" i="15"/>
  <c r="J367" i="15"/>
  <c r="H368" i="15"/>
  <c r="I368" i="15"/>
  <c r="J368" i="15"/>
  <c r="H369" i="15"/>
  <c r="I369" i="15"/>
  <c r="J369" i="15"/>
  <c r="H370" i="15"/>
  <c r="I370" i="15"/>
  <c r="J370" i="15"/>
  <c r="H371" i="15"/>
  <c r="I371" i="15"/>
  <c r="J371" i="15"/>
  <c r="H372" i="15"/>
  <c r="I372" i="15"/>
  <c r="J372" i="15"/>
  <c r="H373" i="15"/>
  <c r="I373" i="15"/>
  <c r="J373" i="15"/>
  <c r="H374" i="15"/>
  <c r="I374" i="15"/>
  <c r="J374" i="15"/>
  <c r="H375" i="15"/>
  <c r="I375" i="15"/>
  <c r="J375" i="15"/>
  <c r="H376" i="15"/>
  <c r="I376" i="15"/>
  <c r="J376" i="15"/>
  <c r="H377" i="15"/>
  <c r="I377" i="15"/>
  <c r="J377" i="15"/>
  <c r="H378" i="15"/>
  <c r="I378" i="15"/>
  <c r="J378" i="15"/>
  <c r="H379" i="15"/>
  <c r="I379" i="15"/>
  <c r="J379" i="15"/>
  <c r="H380" i="15"/>
  <c r="I380" i="15"/>
  <c r="J380" i="15"/>
  <c r="H381" i="15"/>
  <c r="I381" i="15"/>
  <c r="J381" i="15"/>
  <c r="H382" i="15"/>
  <c r="I382" i="15"/>
  <c r="J382" i="15"/>
  <c r="H383" i="15"/>
  <c r="I383" i="15"/>
  <c r="J383" i="15"/>
  <c r="H384" i="15"/>
  <c r="I384" i="15"/>
  <c r="J384" i="15"/>
  <c r="H385" i="15"/>
  <c r="I385" i="15"/>
  <c r="J385" i="15"/>
  <c r="H386" i="15"/>
  <c r="I386" i="15"/>
  <c r="J386" i="15"/>
  <c r="H387" i="15"/>
  <c r="I387" i="15"/>
  <c r="J387" i="15"/>
  <c r="H388" i="15"/>
  <c r="I388" i="15"/>
  <c r="J388" i="15"/>
  <c r="H389" i="15"/>
  <c r="I389" i="15"/>
  <c r="J389" i="15"/>
  <c r="H390" i="15"/>
  <c r="I390" i="15"/>
  <c r="J390" i="15"/>
  <c r="H391" i="15"/>
  <c r="I391" i="15"/>
  <c r="J391" i="15"/>
  <c r="H392" i="15"/>
  <c r="I392" i="15"/>
  <c r="J392" i="15"/>
  <c r="H393" i="15"/>
  <c r="I393" i="15"/>
  <c r="J393" i="15"/>
  <c r="H394" i="15"/>
  <c r="I394" i="15"/>
  <c r="J394" i="15"/>
  <c r="H395" i="15"/>
  <c r="I395" i="15"/>
  <c r="J395" i="15"/>
  <c r="H396" i="15"/>
  <c r="I396" i="15"/>
  <c r="J396" i="15"/>
  <c r="H397" i="15"/>
  <c r="I397" i="15"/>
  <c r="J397" i="15"/>
  <c r="H398" i="15"/>
  <c r="I398" i="15"/>
  <c r="J398" i="15"/>
  <c r="H399" i="15"/>
  <c r="I399" i="15"/>
  <c r="J399" i="15"/>
  <c r="H400" i="15"/>
  <c r="I400" i="15"/>
  <c r="J400" i="15"/>
  <c r="H401" i="15"/>
  <c r="I401" i="15"/>
  <c r="J401" i="15"/>
  <c r="H402" i="15"/>
  <c r="I402" i="15"/>
  <c r="J402" i="15"/>
  <c r="H403" i="15"/>
  <c r="I403" i="15"/>
  <c r="J403" i="15"/>
  <c r="H404" i="15"/>
  <c r="I404" i="15"/>
  <c r="J404" i="15"/>
  <c r="H405" i="15"/>
  <c r="I405" i="15"/>
  <c r="J405" i="15"/>
  <c r="H406" i="15"/>
  <c r="I406" i="15"/>
  <c r="J406" i="15"/>
  <c r="H407" i="15"/>
  <c r="I407" i="15"/>
  <c r="J407" i="15"/>
  <c r="H408" i="15"/>
  <c r="I408" i="15"/>
  <c r="J408" i="15"/>
  <c r="H828" i="15"/>
  <c r="I828" i="15"/>
  <c r="J828" i="15"/>
  <c r="H409" i="15"/>
  <c r="I409" i="15"/>
  <c r="J409" i="15"/>
  <c r="H829" i="15"/>
  <c r="I829" i="15"/>
  <c r="J829" i="15"/>
  <c r="H830" i="15"/>
  <c r="I830" i="15"/>
  <c r="J830" i="15"/>
  <c r="H410" i="15"/>
  <c r="I410" i="15"/>
  <c r="J410" i="15"/>
  <c r="H831" i="15"/>
  <c r="I831" i="15"/>
  <c r="J831" i="15"/>
  <c r="H832" i="15"/>
  <c r="I832" i="15"/>
  <c r="J832" i="15"/>
  <c r="H411" i="15"/>
  <c r="I411" i="15"/>
  <c r="J411" i="15"/>
  <c r="H412" i="15"/>
  <c r="I412" i="15"/>
  <c r="J412" i="15"/>
  <c r="H413" i="15"/>
  <c r="I413" i="15"/>
  <c r="J413" i="15"/>
  <c r="H414" i="15"/>
  <c r="I414" i="15"/>
  <c r="J414" i="15"/>
  <c r="H415" i="15"/>
  <c r="I415" i="15"/>
  <c r="J415" i="15"/>
  <c r="H416" i="15"/>
  <c r="I416" i="15"/>
  <c r="J416" i="15"/>
  <c r="H793" i="15"/>
  <c r="I793" i="15"/>
  <c r="J793" i="15"/>
  <c r="H417" i="15"/>
  <c r="I417" i="15"/>
  <c r="J417" i="15"/>
  <c r="H418" i="15"/>
  <c r="I418" i="15"/>
  <c r="J418" i="15"/>
  <c r="H419" i="15"/>
  <c r="I419" i="15"/>
  <c r="J419" i="15"/>
  <c r="H420" i="15"/>
  <c r="I420" i="15"/>
  <c r="J420" i="15"/>
  <c r="H421" i="15"/>
  <c r="I421" i="15"/>
  <c r="J421" i="15"/>
  <c r="H422" i="15"/>
  <c r="I422" i="15"/>
  <c r="J422" i="15"/>
  <c r="H423" i="15"/>
  <c r="I423" i="15"/>
  <c r="J423" i="15"/>
  <c r="H424" i="15"/>
  <c r="I424" i="15"/>
  <c r="J424" i="15"/>
  <c r="H425" i="15"/>
  <c r="I425" i="15"/>
  <c r="J425" i="15"/>
  <c r="H426" i="15"/>
  <c r="I426" i="15"/>
  <c r="J426" i="15"/>
  <c r="H427" i="15"/>
  <c r="I427" i="15"/>
  <c r="J427" i="15"/>
  <c r="H428" i="15"/>
  <c r="I428" i="15"/>
  <c r="J428" i="15"/>
  <c r="H429" i="15"/>
  <c r="I429" i="15"/>
  <c r="J429" i="15"/>
  <c r="H430" i="15"/>
  <c r="I430" i="15"/>
  <c r="J430" i="15"/>
  <c r="H794" i="15"/>
  <c r="I794" i="15"/>
  <c r="J794" i="15"/>
  <c r="H431" i="15"/>
  <c r="I431" i="15"/>
  <c r="J431" i="15"/>
  <c r="H432" i="15"/>
  <c r="I432" i="15"/>
  <c r="J432" i="15"/>
  <c r="H433" i="15"/>
  <c r="I433" i="15"/>
  <c r="J433" i="15"/>
  <c r="H434" i="15"/>
  <c r="I434" i="15"/>
  <c r="J434" i="15"/>
  <c r="H435" i="15"/>
  <c r="I435" i="15"/>
  <c r="J435" i="15"/>
  <c r="H436" i="15"/>
  <c r="I436" i="15"/>
  <c r="J436" i="15"/>
  <c r="H437" i="15"/>
  <c r="I437" i="15"/>
  <c r="J437" i="15"/>
  <c r="H438" i="15"/>
  <c r="I438" i="15"/>
  <c r="J438" i="15"/>
  <c r="H439" i="15"/>
  <c r="I439" i="15"/>
  <c r="J439" i="15"/>
  <c r="H440" i="15"/>
  <c r="I440" i="15"/>
  <c r="J440" i="15"/>
  <c r="H441" i="15"/>
  <c r="I441" i="15"/>
  <c r="J441" i="15"/>
  <c r="H442" i="15"/>
  <c r="I442" i="15"/>
  <c r="J442" i="15"/>
  <c r="H443" i="15"/>
  <c r="I443" i="15"/>
  <c r="J443" i="15"/>
  <c r="H444" i="15"/>
  <c r="I444" i="15"/>
  <c r="J444" i="15"/>
  <c r="H445" i="15"/>
  <c r="I445" i="15"/>
  <c r="J445" i="15"/>
  <c r="H446" i="15"/>
  <c r="I446" i="15"/>
  <c r="J446" i="15"/>
  <c r="H795" i="15"/>
  <c r="I795" i="15"/>
  <c r="J795" i="15"/>
  <c r="H447" i="15"/>
  <c r="I447" i="15"/>
  <c r="J447" i="15"/>
  <c r="H448" i="15"/>
  <c r="I448" i="15"/>
  <c r="J448" i="15"/>
  <c r="H449" i="15"/>
  <c r="I449" i="15"/>
  <c r="J449" i="15"/>
  <c r="H450" i="15"/>
  <c r="I450" i="15"/>
  <c r="J450" i="15"/>
  <c r="H451" i="15"/>
  <c r="I451" i="15"/>
  <c r="J451" i="15"/>
  <c r="H452" i="15"/>
  <c r="I452" i="15"/>
  <c r="J452" i="15"/>
  <c r="H453" i="15"/>
  <c r="I453" i="15"/>
  <c r="J453" i="15"/>
  <c r="H454" i="15"/>
  <c r="I454" i="15"/>
  <c r="J454" i="15"/>
  <c r="H455" i="15"/>
  <c r="I455" i="15"/>
  <c r="J455" i="15"/>
  <c r="H456" i="15"/>
  <c r="I456" i="15"/>
  <c r="J456" i="15"/>
  <c r="H457" i="15"/>
  <c r="I457" i="15"/>
  <c r="J457" i="15"/>
  <c r="H458" i="15"/>
  <c r="I458" i="15"/>
  <c r="J458" i="15"/>
  <c r="H459" i="15"/>
  <c r="I459" i="15"/>
  <c r="J459" i="15"/>
  <c r="H460" i="15"/>
  <c r="I460" i="15"/>
  <c r="J460" i="15"/>
  <c r="H461" i="15"/>
  <c r="I461" i="15"/>
  <c r="J461" i="15"/>
  <c r="H462" i="15"/>
  <c r="I462" i="15"/>
  <c r="J462" i="15"/>
  <c r="H463" i="15"/>
  <c r="I463" i="15"/>
  <c r="J463" i="15"/>
  <c r="H464" i="15"/>
  <c r="I464" i="15"/>
  <c r="J464" i="15"/>
  <c r="H465" i="15"/>
  <c r="I465" i="15"/>
  <c r="J465" i="15"/>
  <c r="H466" i="15"/>
  <c r="I466" i="15"/>
  <c r="J466" i="15"/>
  <c r="H467" i="15"/>
  <c r="I467" i="15"/>
  <c r="J467" i="15"/>
  <c r="H468" i="15"/>
  <c r="I468" i="15"/>
  <c r="J468" i="15"/>
  <c r="H796" i="15"/>
  <c r="I796" i="15"/>
  <c r="J796" i="15"/>
  <c r="H469" i="15"/>
  <c r="I469" i="15"/>
  <c r="J469" i="15"/>
  <c r="H797" i="15"/>
  <c r="I797" i="15"/>
  <c r="J797" i="15"/>
  <c r="H798" i="15"/>
  <c r="I798" i="15"/>
  <c r="J798" i="15"/>
  <c r="H470" i="15"/>
  <c r="I470" i="15"/>
  <c r="J470" i="15"/>
  <c r="H471" i="15"/>
  <c r="I471" i="15"/>
  <c r="J471" i="15"/>
  <c r="H472" i="15"/>
  <c r="I472" i="15"/>
  <c r="J472" i="15"/>
  <c r="H473" i="15"/>
  <c r="I473" i="15"/>
  <c r="J473" i="15"/>
  <c r="H474" i="15"/>
  <c r="I474" i="15"/>
  <c r="J474" i="15"/>
  <c r="H475" i="15"/>
  <c r="I475" i="15"/>
  <c r="J475" i="15"/>
  <c r="H476" i="15"/>
  <c r="I476" i="15"/>
  <c r="J476" i="15"/>
  <c r="H477" i="15"/>
  <c r="I477" i="15"/>
  <c r="J477" i="15"/>
  <c r="H478" i="15"/>
  <c r="I478" i="15"/>
  <c r="J478" i="15"/>
  <c r="H799" i="15"/>
  <c r="I799" i="15"/>
  <c r="J799" i="15"/>
  <c r="H479" i="15"/>
  <c r="I479" i="15"/>
  <c r="J479" i="15"/>
  <c r="H480" i="15"/>
  <c r="I480" i="15"/>
  <c r="J480" i="15"/>
  <c r="H481" i="15"/>
  <c r="I481" i="15"/>
  <c r="J481" i="15"/>
  <c r="H482" i="15"/>
  <c r="I482" i="15"/>
  <c r="J482" i="15"/>
  <c r="H483" i="15"/>
  <c r="I483" i="15"/>
  <c r="J483" i="15"/>
  <c r="H484" i="15"/>
  <c r="I484" i="15"/>
  <c r="J484" i="15"/>
  <c r="H485" i="15"/>
  <c r="I485" i="15"/>
  <c r="J485" i="15"/>
  <c r="H486" i="15"/>
  <c r="I486" i="15"/>
  <c r="J486" i="15"/>
  <c r="H487" i="15"/>
  <c r="I487" i="15"/>
  <c r="J487" i="15"/>
  <c r="H488" i="15"/>
  <c r="I488" i="15"/>
  <c r="J488" i="15"/>
  <c r="H489" i="15"/>
  <c r="I489" i="15"/>
  <c r="J489" i="15"/>
  <c r="H490" i="15"/>
  <c r="I490" i="15"/>
  <c r="J490" i="15"/>
  <c r="H491" i="15"/>
  <c r="I491" i="15"/>
  <c r="J491" i="15"/>
  <c r="H800" i="15"/>
  <c r="I800" i="15"/>
  <c r="J800" i="15"/>
  <c r="H492" i="15"/>
  <c r="I492" i="15"/>
  <c r="J492" i="15"/>
  <c r="H801" i="15"/>
  <c r="I801" i="15"/>
  <c r="J801" i="15"/>
  <c r="H493" i="15"/>
  <c r="I493" i="15"/>
  <c r="J493" i="15"/>
  <c r="H494" i="15"/>
  <c r="I494" i="15"/>
  <c r="J494" i="15"/>
  <c r="H802" i="15"/>
  <c r="I802" i="15"/>
  <c r="J802" i="15"/>
  <c r="H495" i="15"/>
  <c r="I495" i="15"/>
  <c r="J495" i="15"/>
  <c r="H496" i="15"/>
  <c r="I496" i="15"/>
  <c r="J496" i="15"/>
  <c r="H497" i="15"/>
  <c r="I497" i="15"/>
  <c r="J497" i="15"/>
  <c r="H498" i="15"/>
  <c r="I498" i="15"/>
  <c r="J498" i="15"/>
  <c r="H803" i="15"/>
  <c r="I803" i="15"/>
  <c r="J803" i="15"/>
  <c r="H499" i="15"/>
  <c r="I499" i="15"/>
  <c r="J499" i="15"/>
  <c r="H500" i="15"/>
  <c r="I500" i="15"/>
  <c r="J500" i="15"/>
  <c r="H501" i="15"/>
  <c r="I501" i="15"/>
  <c r="J501" i="15"/>
  <c r="H502" i="15"/>
  <c r="I502" i="15"/>
  <c r="J502" i="15"/>
  <c r="H503" i="15"/>
  <c r="I503" i="15"/>
  <c r="J503" i="15"/>
  <c r="H504" i="15"/>
  <c r="I504" i="15"/>
  <c r="J504" i="15"/>
  <c r="H505" i="15"/>
  <c r="I505" i="15"/>
  <c r="J505" i="15"/>
  <c r="H506" i="15"/>
  <c r="I506" i="15"/>
  <c r="J506" i="15"/>
  <c r="H507" i="15"/>
  <c r="I507" i="15"/>
  <c r="J507" i="15"/>
  <c r="H508" i="15"/>
  <c r="I508" i="15"/>
  <c r="J508" i="15"/>
  <c r="H509" i="15"/>
  <c r="I509" i="15"/>
  <c r="J509" i="15"/>
  <c r="H510" i="15"/>
  <c r="I510" i="15"/>
  <c r="J510" i="15"/>
  <c r="H511" i="15"/>
  <c r="I511" i="15"/>
  <c r="J511" i="15"/>
  <c r="H512" i="15"/>
  <c r="I512" i="15"/>
  <c r="J512" i="15"/>
  <c r="H513" i="15"/>
  <c r="I513" i="15"/>
  <c r="J513" i="15"/>
  <c r="H514" i="15"/>
  <c r="I514" i="15"/>
  <c r="J514" i="15"/>
  <c r="H515" i="15"/>
  <c r="I515" i="15"/>
  <c r="J515" i="15"/>
  <c r="H516" i="15"/>
  <c r="I516" i="15"/>
  <c r="J516" i="15"/>
  <c r="H517" i="15"/>
  <c r="I517" i="15"/>
  <c r="J517" i="15"/>
  <c r="H518" i="15"/>
  <c r="I518" i="15"/>
  <c r="J518" i="15"/>
  <c r="H519" i="15"/>
  <c r="I519" i="15"/>
  <c r="J519" i="15"/>
  <c r="H520" i="15"/>
  <c r="I520" i="15"/>
  <c r="J520" i="15"/>
  <c r="H521" i="15"/>
  <c r="I521" i="15"/>
  <c r="J521" i="15"/>
  <c r="H522" i="15"/>
  <c r="I522" i="15"/>
  <c r="J522" i="15"/>
  <c r="H523" i="15"/>
  <c r="I523" i="15"/>
  <c r="J523" i="15"/>
  <c r="H524" i="15"/>
  <c r="I524" i="15"/>
  <c r="J524" i="15"/>
  <c r="H525" i="15"/>
  <c r="I525" i="15"/>
  <c r="J525" i="15"/>
  <c r="H526" i="15"/>
  <c r="I526" i="15"/>
  <c r="J526" i="15"/>
  <c r="H527" i="15"/>
  <c r="I527" i="15"/>
  <c r="J527" i="15"/>
  <c r="H528" i="15"/>
  <c r="I528" i="15"/>
  <c r="J528" i="15"/>
  <c r="H529" i="15"/>
  <c r="I529" i="15"/>
  <c r="J529" i="15"/>
  <c r="H530" i="15"/>
  <c r="I530" i="15"/>
  <c r="J530" i="15"/>
  <c r="H531" i="15"/>
  <c r="I531" i="15"/>
  <c r="J531" i="15"/>
  <c r="H532" i="15"/>
  <c r="I532" i="15"/>
  <c r="J532" i="15"/>
  <c r="H533" i="15"/>
  <c r="I533" i="15"/>
  <c r="J533" i="15"/>
  <c r="H534" i="15"/>
  <c r="I534" i="15"/>
  <c r="J534" i="15"/>
  <c r="H535" i="15"/>
  <c r="I535" i="15"/>
  <c r="J535" i="15"/>
  <c r="H536" i="15"/>
  <c r="I536" i="15"/>
  <c r="J536" i="15"/>
  <c r="H537" i="15"/>
  <c r="I537" i="15"/>
  <c r="J537" i="15"/>
  <c r="H538" i="15"/>
  <c r="I538" i="15"/>
  <c r="J538" i="15"/>
  <c r="H539" i="15"/>
  <c r="I539" i="15"/>
  <c r="J539" i="15"/>
  <c r="H540" i="15"/>
  <c r="I540" i="15"/>
  <c r="J540" i="15"/>
  <c r="H541" i="15"/>
  <c r="I541" i="15"/>
  <c r="J541" i="15"/>
  <c r="H542" i="15"/>
  <c r="I542" i="15"/>
  <c r="J542" i="15"/>
  <c r="H543" i="15"/>
  <c r="I543" i="15"/>
  <c r="J543" i="15"/>
  <c r="H833" i="15"/>
  <c r="I833" i="15"/>
  <c r="J833" i="15"/>
  <c r="H834" i="15"/>
  <c r="I834" i="15"/>
  <c r="J834" i="15"/>
  <c r="H544" i="15"/>
  <c r="I544" i="15"/>
  <c r="J544" i="15"/>
  <c r="H545" i="15"/>
  <c r="I545" i="15"/>
  <c r="J545" i="15"/>
  <c r="H546" i="15"/>
  <c r="I546" i="15"/>
  <c r="J546" i="15"/>
  <c r="H860" i="15"/>
  <c r="I860" i="15"/>
  <c r="J860" i="15"/>
  <c r="H861" i="15"/>
  <c r="I861" i="15"/>
  <c r="J861" i="15"/>
  <c r="H862" i="15"/>
  <c r="I862" i="15"/>
  <c r="J862" i="15"/>
  <c r="H547" i="15"/>
  <c r="I547" i="15"/>
  <c r="J547" i="15"/>
  <c r="H548" i="15"/>
  <c r="I548" i="15"/>
  <c r="J548" i="15"/>
  <c r="H835" i="15"/>
  <c r="I835" i="15"/>
  <c r="J835" i="15"/>
  <c r="H863" i="15"/>
  <c r="I863" i="15"/>
  <c r="J863" i="15"/>
  <c r="H549" i="15"/>
  <c r="I549" i="15"/>
  <c r="J549" i="15"/>
  <c r="H550" i="15"/>
  <c r="I550" i="15"/>
  <c r="J550" i="15"/>
  <c r="H836" i="15"/>
  <c r="I836" i="15"/>
  <c r="J836" i="15"/>
  <c r="H551" i="15"/>
  <c r="I551" i="15"/>
  <c r="J551" i="15"/>
  <c r="H837" i="15"/>
  <c r="I837" i="15"/>
  <c r="J837" i="15"/>
  <c r="H838" i="15"/>
  <c r="I838" i="15"/>
  <c r="J838" i="15"/>
  <c r="H864" i="15"/>
  <c r="I864" i="15"/>
  <c r="J864" i="15"/>
  <c r="H865" i="15"/>
  <c r="I865" i="15"/>
  <c r="J865" i="15"/>
  <c r="H866" i="15"/>
  <c r="I866" i="15"/>
  <c r="J866" i="15"/>
  <c r="H552" i="15"/>
  <c r="I552" i="15"/>
  <c r="J552" i="15"/>
  <c r="H553" i="15"/>
  <c r="I553" i="15"/>
  <c r="J553" i="15"/>
  <c r="H554" i="15"/>
  <c r="I554" i="15"/>
  <c r="J554" i="15"/>
  <c r="H555" i="15"/>
  <c r="I555" i="15"/>
  <c r="J555" i="15"/>
  <c r="H556" i="15"/>
  <c r="I556" i="15"/>
  <c r="J556" i="15"/>
  <c r="H557" i="15"/>
  <c r="I557" i="15"/>
  <c r="J557" i="15"/>
  <c r="H558" i="15"/>
  <c r="I558" i="15"/>
  <c r="J558" i="15"/>
  <c r="H839" i="15"/>
  <c r="I839" i="15"/>
  <c r="J839" i="15"/>
  <c r="H840" i="15"/>
  <c r="I840" i="15"/>
  <c r="J840" i="15"/>
  <c r="H841" i="15"/>
  <c r="I841" i="15"/>
  <c r="J841" i="15"/>
  <c r="H559" i="15"/>
  <c r="I559" i="15"/>
  <c r="J559" i="15"/>
  <c r="H560" i="15"/>
  <c r="I560" i="15"/>
  <c r="J560" i="15"/>
  <c r="H561" i="15"/>
  <c r="I561" i="15"/>
  <c r="J561" i="15"/>
  <c r="H562" i="15"/>
  <c r="I562" i="15"/>
  <c r="J562" i="15"/>
  <c r="H563" i="15"/>
  <c r="I563" i="15"/>
  <c r="J563" i="15"/>
  <c r="H564" i="15"/>
  <c r="I564" i="15"/>
  <c r="J564" i="15"/>
  <c r="H565" i="15"/>
  <c r="I565" i="15"/>
  <c r="J565" i="15"/>
  <c r="H566" i="15"/>
  <c r="I566" i="15"/>
  <c r="J566" i="15"/>
  <c r="H567" i="15"/>
  <c r="I567" i="15"/>
  <c r="J567" i="15"/>
  <c r="H842" i="15"/>
  <c r="I842" i="15"/>
  <c r="J842" i="15"/>
  <c r="H568" i="15"/>
  <c r="I568" i="15"/>
  <c r="J568" i="15"/>
  <c r="H569" i="15"/>
  <c r="I569" i="15"/>
  <c r="J569" i="15"/>
  <c r="H570" i="15"/>
  <c r="I570" i="15"/>
  <c r="J570" i="15"/>
  <c r="H571" i="15"/>
  <c r="I571" i="15"/>
  <c r="J571" i="15"/>
  <c r="H572" i="15"/>
  <c r="I572" i="15"/>
  <c r="J572" i="15"/>
  <c r="H573" i="15"/>
  <c r="I573" i="15"/>
  <c r="J573" i="15"/>
  <c r="H574" i="15"/>
  <c r="I574" i="15"/>
  <c r="J574" i="15"/>
  <c r="H575" i="15"/>
  <c r="I575" i="15"/>
  <c r="J575" i="15"/>
  <c r="H576" i="15"/>
  <c r="I576" i="15"/>
  <c r="J576" i="15"/>
  <c r="H577" i="15"/>
  <c r="I577" i="15"/>
  <c r="J577" i="15"/>
  <c r="H578" i="15"/>
  <c r="I578" i="15"/>
  <c r="J578" i="15"/>
  <c r="H579" i="15"/>
  <c r="I579" i="15"/>
  <c r="J579" i="15"/>
  <c r="H580" i="15"/>
  <c r="I580" i="15"/>
  <c r="J580" i="15"/>
  <c r="H581" i="15"/>
  <c r="I581" i="15"/>
  <c r="J581" i="15"/>
  <c r="H582" i="15"/>
  <c r="I582" i="15"/>
  <c r="J582" i="15"/>
  <c r="H867" i="15"/>
  <c r="I867" i="15"/>
  <c r="J867" i="15"/>
  <c r="H583" i="15"/>
  <c r="I583" i="15"/>
  <c r="J583" i="15"/>
  <c r="H584" i="15"/>
  <c r="I584" i="15"/>
  <c r="J584" i="15"/>
  <c r="H585" i="15"/>
  <c r="I585" i="15"/>
  <c r="J585" i="15"/>
  <c r="H868" i="15"/>
  <c r="I868" i="15"/>
  <c r="J868" i="15"/>
  <c r="H586" i="15"/>
  <c r="I586" i="15"/>
  <c r="J586" i="15"/>
  <c r="H587" i="15"/>
  <c r="I587" i="15"/>
  <c r="J587" i="15"/>
  <c r="H843" i="15"/>
  <c r="I843" i="15"/>
  <c r="J843" i="15"/>
  <c r="H869" i="15"/>
  <c r="I869" i="15"/>
  <c r="J869" i="15"/>
  <c r="H588" i="15"/>
  <c r="I588" i="15"/>
  <c r="J588" i="15"/>
  <c r="H589" i="15"/>
  <c r="I589" i="15"/>
  <c r="J589" i="15"/>
  <c r="H590" i="15"/>
  <c r="I590" i="15"/>
  <c r="J590" i="15"/>
  <c r="H591" i="15"/>
  <c r="I591" i="15"/>
  <c r="J591" i="15"/>
  <c r="H870" i="15"/>
  <c r="I870" i="15"/>
  <c r="J870" i="15"/>
  <c r="H592" i="15"/>
  <c r="I592" i="15"/>
  <c r="J592" i="15"/>
  <c r="H593" i="15"/>
  <c r="I593" i="15"/>
  <c r="J593" i="15"/>
  <c r="H594" i="15"/>
  <c r="I594" i="15"/>
  <c r="J594" i="15"/>
  <c r="H844" i="15"/>
  <c r="I844" i="15"/>
  <c r="J844" i="15"/>
  <c r="H595" i="15"/>
  <c r="I595" i="15"/>
  <c r="J595" i="15"/>
  <c r="H596" i="15"/>
  <c r="I596" i="15"/>
  <c r="J596" i="15"/>
  <c r="H597" i="15"/>
  <c r="I597" i="15"/>
  <c r="J597" i="15"/>
  <c r="H598" i="15"/>
  <c r="I598" i="15"/>
  <c r="J598" i="15"/>
  <c r="H599" i="15"/>
  <c r="I599" i="15"/>
  <c r="J599" i="15"/>
  <c r="H871" i="15"/>
  <c r="I871" i="15"/>
  <c r="J871" i="15"/>
  <c r="H600" i="15"/>
  <c r="I600" i="15"/>
  <c r="J600" i="15"/>
  <c r="H601" i="15"/>
  <c r="I601" i="15"/>
  <c r="J601" i="15"/>
  <c r="H602" i="15"/>
  <c r="I602" i="15"/>
  <c r="J602" i="15"/>
  <c r="H603" i="15"/>
  <c r="I603" i="15"/>
  <c r="J603" i="15"/>
  <c r="H604" i="15"/>
  <c r="I604" i="15"/>
  <c r="J604" i="15"/>
  <c r="H872" i="15"/>
  <c r="I872" i="15"/>
  <c r="J872" i="15"/>
  <c r="H873" i="15"/>
  <c r="I873" i="15"/>
  <c r="J873" i="15"/>
  <c r="H605" i="15"/>
  <c r="I605" i="15"/>
  <c r="J605" i="15"/>
  <c r="H606" i="15"/>
  <c r="I606" i="15"/>
  <c r="J606" i="15"/>
  <c r="H607" i="15"/>
  <c r="I607" i="15"/>
  <c r="J607" i="15"/>
  <c r="H608" i="15"/>
  <c r="I608" i="15"/>
  <c r="J608" i="15"/>
  <c r="H609" i="15"/>
  <c r="I609" i="15"/>
  <c r="J609" i="15"/>
  <c r="H610" i="15"/>
  <c r="I610" i="15"/>
  <c r="J610" i="15"/>
  <c r="H611" i="15"/>
  <c r="I611" i="15"/>
  <c r="J611" i="15"/>
  <c r="H612" i="15"/>
  <c r="I612" i="15"/>
  <c r="J612" i="15"/>
  <c r="H874" i="15"/>
  <c r="I874" i="15"/>
  <c r="J874" i="15"/>
  <c r="H613" i="15"/>
  <c r="I613" i="15"/>
  <c r="J613" i="15"/>
  <c r="H614" i="15"/>
  <c r="I614" i="15"/>
  <c r="J614" i="15"/>
  <c r="H875" i="15"/>
  <c r="I875" i="15"/>
  <c r="J875" i="15"/>
  <c r="H845" i="15"/>
  <c r="I845" i="15"/>
  <c r="J845" i="15"/>
  <c r="H615" i="15"/>
  <c r="I615" i="15"/>
  <c r="J615" i="15"/>
  <c r="H616" i="15"/>
  <c r="I616" i="15"/>
  <c r="J616" i="15"/>
  <c r="H876" i="15"/>
  <c r="I876" i="15"/>
  <c r="J876" i="15"/>
  <c r="H617" i="15"/>
  <c r="I617" i="15"/>
  <c r="J617" i="15"/>
  <c r="H618" i="15"/>
  <c r="I618" i="15"/>
  <c r="J618" i="15"/>
  <c r="H619" i="15"/>
  <c r="I619" i="15"/>
  <c r="J619" i="15"/>
  <c r="H877" i="15"/>
  <c r="I877" i="15"/>
  <c r="J877" i="15"/>
  <c r="H620" i="15"/>
  <c r="I620" i="15"/>
  <c r="J620" i="15"/>
  <c r="H621" i="15"/>
  <c r="I621" i="15"/>
  <c r="J621" i="15"/>
  <c r="H622" i="15"/>
  <c r="I622" i="15"/>
  <c r="J622" i="15"/>
  <c r="H623" i="15"/>
  <c r="I623" i="15"/>
  <c r="J623" i="15"/>
  <c r="H846" i="15"/>
  <c r="I846" i="15"/>
  <c r="J846" i="15"/>
  <c r="H624" i="15"/>
  <c r="I624" i="15"/>
  <c r="J624" i="15"/>
  <c r="H847" i="15"/>
  <c r="I847" i="15"/>
  <c r="J847" i="15"/>
  <c r="H625" i="15"/>
  <c r="I625" i="15"/>
  <c r="J625" i="15"/>
  <c r="H626" i="15"/>
  <c r="I626" i="15"/>
  <c r="J626" i="15"/>
  <c r="H627" i="15"/>
  <c r="I627" i="15"/>
  <c r="J627" i="15"/>
  <c r="H628" i="15"/>
  <c r="I628" i="15"/>
  <c r="J628" i="15"/>
  <c r="H629" i="15"/>
  <c r="I629" i="15"/>
  <c r="J629" i="15"/>
  <c r="H630" i="15"/>
  <c r="I630" i="15"/>
  <c r="J630" i="15"/>
  <c r="H631" i="15"/>
  <c r="I631" i="15"/>
  <c r="J631" i="15"/>
  <c r="H632" i="15"/>
  <c r="I632" i="15"/>
  <c r="J632" i="15"/>
  <c r="H633" i="15"/>
  <c r="I633" i="15"/>
  <c r="J633" i="15"/>
  <c r="H634" i="15"/>
  <c r="I634" i="15"/>
  <c r="J634" i="15"/>
  <c r="H878" i="15"/>
  <c r="I878" i="15"/>
  <c r="J878" i="15"/>
  <c r="H635" i="15"/>
  <c r="I635" i="15"/>
  <c r="J635" i="15"/>
  <c r="H848" i="15"/>
  <c r="I848" i="15"/>
  <c r="J848" i="15"/>
  <c r="H879" i="15"/>
  <c r="I879" i="15"/>
  <c r="J879" i="15"/>
  <c r="H880" i="15"/>
  <c r="I880" i="15"/>
  <c r="J880" i="15"/>
  <c r="H849" i="15"/>
  <c r="I849" i="15"/>
  <c r="J849" i="15"/>
  <c r="H636" i="15"/>
  <c r="I636" i="15"/>
  <c r="J636" i="15"/>
  <c r="H637" i="15"/>
  <c r="I637" i="15"/>
  <c r="J637" i="15"/>
  <c r="H850" i="15"/>
  <c r="I850" i="15"/>
  <c r="J850" i="15"/>
  <c r="H638" i="15"/>
  <c r="I638" i="15"/>
  <c r="J638" i="15"/>
  <c r="H639" i="15"/>
  <c r="I639" i="15"/>
  <c r="J639" i="15"/>
  <c r="H881" i="15"/>
  <c r="I881" i="15"/>
  <c r="J881" i="15"/>
  <c r="H851" i="15"/>
  <c r="I851" i="15"/>
  <c r="J851" i="15"/>
  <c r="H640" i="15"/>
  <c r="I640" i="15"/>
  <c r="J640" i="15"/>
  <c r="H641" i="15"/>
  <c r="I641" i="15"/>
  <c r="J641" i="15"/>
  <c r="H642" i="15"/>
  <c r="I642" i="15"/>
  <c r="J642" i="15"/>
  <c r="H643" i="15"/>
  <c r="I643" i="15"/>
  <c r="J643" i="15"/>
  <c r="H644" i="15"/>
  <c r="I644" i="15"/>
  <c r="J644" i="15"/>
  <c r="H645" i="15"/>
  <c r="I645" i="15"/>
  <c r="J645" i="15"/>
  <c r="H646" i="15"/>
  <c r="I646" i="15"/>
  <c r="J646" i="15"/>
  <c r="H647" i="15"/>
  <c r="I647" i="15"/>
  <c r="J647" i="15"/>
  <c r="H648" i="15"/>
  <c r="I648" i="15"/>
  <c r="J648" i="15"/>
  <c r="H649" i="15"/>
  <c r="I649" i="15"/>
  <c r="J649" i="15"/>
  <c r="H650" i="15"/>
  <c r="I650" i="15"/>
  <c r="J650" i="15"/>
  <c r="H651" i="15"/>
  <c r="I651" i="15"/>
  <c r="J651" i="15"/>
  <c r="H652" i="15"/>
  <c r="I652" i="15"/>
  <c r="J652" i="15"/>
  <c r="H653" i="15"/>
  <c r="I653" i="15"/>
  <c r="J653" i="15"/>
  <c r="H654" i="15"/>
  <c r="I654" i="15"/>
  <c r="J654" i="15"/>
  <c r="H655" i="15"/>
  <c r="I655" i="15"/>
  <c r="J655" i="15"/>
  <c r="H852" i="15"/>
  <c r="I852" i="15"/>
  <c r="J852" i="15"/>
  <c r="H853" i="15"/>
  <c r="I853" i="15"/>
  <c r="J853" i="15"/>
  <c r="H854" i="15"/>
  <c r="I854" i="15"/>
  <c r="J854" i="15"/>
  <c r="H656" i="15"/>
  <c r="I656" i="15"/>
  <c r="J656" i="15"/>
  <c r="H882" i="15"/>
  <c r="I882" i="15"/>
  <c r="J882" i="15"/>
  <c r="H883" i="15"/>
  <c r="I883" i="15"/>
  <c r="J883" i="15"/>
  <c r="H884" i="15"/>
  <c r="I884" i="15"/>
  <c r="J884" i="15"/>
  <c r="H885" i="15"/>
  <c r="I885" i="15"/>
  <c r="J885" i="15"/>
  <c r="H657" i="15"/>
  <c r="I657" i="15"/>
  <c r="J657" i="15"/>
  <c r="H658" i="15"/>
  <c r="I658" i="15"/>
  <c r="J658" i="15"/>
  <c r="H659" i="15"/>
  <c r="I659" i="15"/>
  <c r="J659" i="15"/>
  <c r="H660" i="15"/>
  <c r="I660" i="15"/>
  <c r="J660" i="15"/>
  <c r="H855" i="15"/>
  <c r="I855" i="15"/>
  <c r="J855" i="15"/>
  <c r="H661" i="15"/>
  <c r="I661" i="15"/>
  <c r="J661" i="15"/>
  <c r="H662" i="15"/>
  <c r="I662" i="15"/>
  <c r="J662" i="15"/>
  <c r="H663" i="15"/>
  <c r="I663" i="15"/>
  <c r="J663" i="15"/>
  <c r="H886" i="15"/>
  <c r="I886" i="15"/>
  <c r="J886" i="15"/>
  <c r="H664" i="15"/>
  <c r="I664" i="15"/>
  <c r="J664" i="15"/>
  <c r="H665" i="15"/>
  <c r="I665" i="15"/>
  <c r="J665" i="15"/>
  <c r="H887" i="15"/>
  <c r="I887" i="15"/>
  <c r="J887" i="15"/>
  <c r="H856" i="15"/>
  <c r="I856" i="15"/>
  <c r="J856" i="15"/>
  <c r="H666" i="15"/>
  <c r="I666" i="15"/>
  <c r="J666" i="15"/>
  <c r="H667" i="15"/>
  <c r="I667" i="15"/>
  <c r="J667" i="15"/>
  <c r="H668" i="15"/>
  <c r="I668" i="15"/>
  <c r="J668" i="15"/>
  <c r="H669" i="15"/>
  <c r="I669" i="15"/>
  <c r="J669" i="15"/>
  <c r="H670" i="15"/>
  <c r="I670" i="15"/>
  <c r="J670" i="15"/>
  <c r="H671" i="15"/>
  <c r="I671" i="15"/>
  <c r="J671" i="15"/>
  <c r="H672" i="15"/>
  <c r="I672" i="15"/>
  <c r="J672" i="15"/>
  <c r="H673" i="15"/>
  <c r="I673" i="15"/>
  <c r="J673" i="15"/>
  <c r="H857" i="15"/>
  <c r="I857" i="15"/>
  <c r="J857" i="15"/>
  <c r="H804" i="15"/>
  <c r="I804" i="15"/>
  <c r="J804" i="15"/>
  <c r="H674" i="15"/>
  <c r="I674" i="15"/>
  <c r="J674" i="15"/>
  <c r="H805" i="15"/>
  <c r="I805" i="15"/>
  <c r="J805" i="15"/>
  <c r="H675" i="15"/>
  <c r="I675" i="15"/>
  <c r="J675" i="15"/>
  <c r="H676" i="15"/>
  <c r="I676" i="15"/>
  <c r="J676" i="15"/>
  <c r="H677" i="15"/>
  <c r="I677" i="15"/>
  <c r="J677" i="15"/>
  <c r="H678" i="15"/>
  <c r="I678" i="15"/>
  <c r="J678" i="15"/>
  <c r="H679" i="15"/>
  <c r="I679" i="15"/>
  <c r="J679" i="15"/>
  <c r="H680" i="15"/>
  <c r="I680" i="15"/>
  <c r="J680" i="15"/>
  <c r="H681" i="15"/>
  <c r="I681" i="15"/>
  <c r="J681" i="15"/>
  <c r="H682" i="15"/>
  <c r="I682" i="15"/>
  <c r="J682" i="15"/>
  <c r="H683" i="15"/>
  <c r="I683" i="15"/>
  <c r="J683" i="15"/>
  <c r="H684" i="15"/>
  <c r="I684" i="15"/>
  <c r="J684" i="15"/>
  <c r="H685" i="15"/>
  <c r="I685" i="15"/>
  <c r="J685" i="15"/>
  <c r="H686" i="15"/>
  <c r="I686" i="15"/>
  <c r="J686" i="15"/>
  <c r="H687" i="15"/>
  <c r="I687" i="15"/>
  <c r="J687" i="15"/>
  <c r="H858" i="15"/>
  <c r="I858" i="15"/>
  <c r="J858" i="15"/>
  <c r="H888" i="15"/>
  <c r="I888" i="15"/>
  <c r="J888" i="15"/>
  <c r="H688" i="15"/>
  <c r="I688" i="15"/>
  <c r="J688" i="15"/>
  <c r="H689" i="15"/>
  <c r="I689" i="15"/>
  <c r="J689" i="15"/>
  <c r="H690" i="15"/>
  <c r="I690" i="15"/>
  <c r="J690" i="15"/>
  <c r="H691" i="15"/>
  <c r="I691" i="15"/>
  <c r="J691" i="15"/>
  <c r="H692" i="15"/>
  <c r="I692" i="15"/>
  <c r="J692" i="15"/>
  <c r="H693" i="15"/>
  <c r="I693" i="15"/>
  <c r="J693" i="15"/>
  <c r="H694" i="15"/>
  <c r="I694" i="15"/>
  <c r="J694" i="15"/>
  <c r="H695" i="15"/>
  <c r="I695" i="15"/>
  <c r="J695" i="15"/>
  <c r="H696" i="15"/>
  <c r="I696" i="15"/>
  <c r="J696" i="15"/>
  <c r="H859" i="15"/>
  <c r="I859" i="15"/>
  <c r="J859" i="15"/>
  <c r="H697" i="15"/>
  <c r="I697" i="15"/>
  <c r="J697" i="15"/>
  <c r="H698" i="15"/>
  <c r="I698" i="15"/>
  <c r="J698" i="15"/>
  <c r="H806" i="15"/>
  <c r="I806" i="15"/>
  <c r="J806" i="15"/>
  <c r="H807" i="15"/>
  <c r="I807" i="15"/>
  <c r="J807" i="15"/>
  <c r="H699" i="15"/>
  <c r="I699" i="15"/>
  <c r="J699" i="15"/>
  <c r="H700" i="15"/>
  <c r="I700" i="15"/>
  <c r="J700" i="15"/>
  <c r="H701" i="15"/>
  <c r="I701" i="15"/>
  <c r="J701" i="15"/>
  <c r="H702" i="15"/>
  <c r="I702" i="15"/>
  <c r="J702" i="15"/>
  <c r="H703" i="15"/>
  <c r="I703" i="15"/>
  <c r="J703" i="15"/>
  <c r="H704" i="15"/>
  <c r="I704" i="15"/>
  <c r="J704" i="15"/>
  <c r="H705" i="15"/>
  <c r="I705" i="15"/>
  <c r="J705" i="15"/>
  <c r="H706" i="15"/>
  <c r="I706" i="15"/>
  <c r="J706" i="15"/>
  <c r="H808" i="15"/>
  <c r="I808" i="15"/>
  <c r="J808" i="15"/>
  <c r="H707" i="15"/>
  <c r="I707" i="15"/>
  <c r="J707" i="15"/>
  <c r="H708" i="15"/>
  <c r="I708" i="15"/>
  <c r="J708" i="15"/>
  <c r="H709" i="15"/>
  <c r="I709" i="15"/>
  <c r="J709" i="15"/>
  <c r="H710" i="15"/>
  <c r="I710" i="15"/>
  <c r="J710" i="15"/>
  <c r="H711" i="15"/>
  <c r="I711" i="15"/>
  <c r="J711" i="15"/>
  <c r="H712" i="15"/>
  <c r="I712" i="15"/>
  <c r="J712" i="15"/>
  <c r="H713" i="15"/>
  <c r="I713" i="15"/>
  <c r="J713" i="15"/>
  <c r="H714" i="15"/>
  <c r="I714" i="15"/>
  <c r="J714" i="15"/>
  <c r="H715" i="15"/>
  <c r="I715" i="15"/>
  <c r="J715" i="15"/>
  <c r="H716" i="15"/>
  <c r="I716" i="15"/>
  <c r="J716" i="15"/>
  <c r="H717" i="15"/>
  <c r="I717" i="15"/>
  <c r="J717" i="15"/>
  <c r="H718" i="15"/>
  <c r="I718" i="15"/>
  <c r="J718" i="15"/>
  <c r="H719" i="15"/>
  <c r="I719" i="15"/>
  <c r="J719" i="15"/>
  <c r="H720" i="15"/>
  <c r="I720" i="15"/>
  <c r="J720" i="15"/>
  <c r="H721" i="15"/>
  <c r="I721" i="15"/>
  <c r="J721" i="15"/>
  <c r="H722" i="15"/>
  <c r="I722" i="15"/>
  <c r="J722" i="15"/>
  <c r="H723" i="15"/>
  <c r="I723" i="15"/>
  <c r="J723" i="15"/>
  <c r="H724" i="15"/>
  <c r="I724" i="15"/>
  <c r="J724" i="15"/>
  <c r="H809" i="15"/>
  <c r="I809" i="15"/>
  <c r="J809" i="15"/>
  <c r="H725" i="15"/>
  <c r="I725" i="15"/>
  <c r="J725" i="15"/>
  <c r="H726" i="15"/>
  <c r="I726" i="15"/>
  <c r="J726" i="15"/>
  <c r="H727" i="15"/>
  <c r="I727" i="15"/>
  <c r="J727" i="15"/>
  <c r="H728" i="15"/>
  <c r="I728" i="15"/>
  <c r="J728" i="15"/>
  <c r="H729" i="15"/>
  <c r="I729" i="15"/>
  <c r="J729" i="15"/>
  <c r="H730" i="15"/>
  <c r="I730" i="15"/>
  <c r="J730" i="15"/>
  <c r="H731" i="15"/>
  <c r="I731" i="15"/>
  <c r="J731" i="15"/>
  <c r="H732" i="15"/>
  <c r="I732" i="15"/>
  <c r="J732" i="15"/>
  <c r="H733" i="15"/>
  <c r="I733" i="15"/>
  <c r="J733" i="15"/>
  <c r="H734" i="15"/>
  <c r="I734" i="15"/>
  <c r="J734" i="15"/>
  <c r="H735" i="15"/>
  <c r="I735" i="15"/>
  <c r="J735" i="15"/>
  <c r="H736" i="15"/>
  <c r="I736" i="15"/>
  <c r="J736" i="15"/>
  <c r="H737" i="15"/>
  <c r="I737" i="15"/>
  <c r="J737" i="15"/>
  <c r="H810" i="15"/>
  <c r="I810" i="15"/>
  <c r="J810" i="15"/>
  <c r="H811" i="15"/>
  <c r="I811" i="15"/>
  <c r="J811" i="15"/>
  <c r="H738" i="15"/>
  <c r="I738" i="15"/>
  <c r="J738" i="15"/>
  <c r="H739" i="15"/>
  <c r="I739" i="15"/>
  <c r="J739" i="15"/>
  <c r="H740" i="15"/>
  <c r="I740" i="15"/>
  <c r="J740" i="15"/>
  <c r="H741" i="15"/>
  <c r="I741" i="15"/>
  <c r="J741" i="15"/>
  <c r="H742" i="15"/>
  <c r="I742" i="15"/>
  <c r="J742" i="15"/>
  <c r="H743" i="15"/>
  <c r="I743" i="15"/>
  <c r="J743" i="15"/>
  <c r="H744" i="15"/>
  <c r="I744" i="15"/>
  <c r="J744" i="15"/>
  <c r="H745" i="15"/>
  <c r="I745" i="15"/>
  <c r="J745" i="15"/>
  <c r="H746" i="15"/>
  <c r="I746" i="15"/>
  <c r="J746" i="15"/>
  <c r="H747" i="15"/>
  <c r="I747" i="15"/>
  <c r="J747" i="15"/>
  <c r="H748" i="15"/>
  <c r="I748" i="15"/>
  <c r="J748" i="15"/>
  <c r="H749" i="15"/>
  <c r="I749" i="15"/>
  <c r="J749" i="15"/>
  <c r="H750" i="15"/>
  <c r="I750" i="15"/>
  <c r="J750" i="15"/>
  <c r="H751" i="15"/>
  <c r="I751" i="15"/>
  <c r="J751" i="15"/>
  <c r="H752" i="15"/>
  <c r="I752" i="15"/>
  <c r="J752" i="15"/>
  <c r="H753" i="15"/>
  <c r="I753" i="15"/>
  <c r="J753" i="15"/>
  <c r="H754" i="15"/>
  <c r="I754" i="15"/>
  <c r="J754" i="15"/>
  <c r="H755" i="15"/>
  <c r="I755" i="15"/>
  <c r="J755" i="15"/>
  <c r="H756" i="15"/>
  <c r="I756" i="15"/>
  <c r="J756" i="15"/>
  <c r="H757" i="15"/>
  <c r="I757" i="15"/>
  <c r="J757" i="15"/>
  <c r="H758" i="15"/>
  <c r="I758" i="15"/>
  <c r="J758" i="15"/>
  <c r="H759" i="15"/>
  <c r="I759" i="15"/>
  <c r="J759" i="15"/>
  <c r="H760" i="15"/>
  <c r="I760" i="15"/>
  <c r="J760" i="15"/>
  <c r="H761" i="15"/>
  <c r="I761" i="15"/>
  <c r="J761" i="15"/>
  <c r="H762" i="15"/>
  <c r="I762" i="15"/>
  <c r="J762" i="15"/>
  <c r="H763" i="15"/>
  <c r="I763" i="15"/>
  <c r="J763" i="15"/>
  <c r="H764" i="15"/>
  <c r="I764" i="15"/>
  <c r="J764" i="15"/>
  <c r="H812" i="15"/>
  <c r="I812" i="15"/>
  <c r="J812" i="15"/>
  <c r="H765" i="15"/>
  <c r="I765" i="15"/>
  <c r="J765" i="15"/>
  <c r="H766" i="15"/>
  <c r="I766" i="15"/>
  <c r="J766" i="15"/>
  <c r="H813" i="15"/>
  <c r="I813" i="15"/>
  <c r="J813" i="15"/>
  <c r="H814" i="15"/>
  <c r="I814" i="15"/>
  <c r="J814" i="15"/>
  <c r="H815" i="15"/>
  <c r="I815" i="15"/>
  <c r="J815" i="15"/>
  <c r="H767" i="15"/>
  <c r="I767" i="15"/>
  <c r="J767" i="15"/>
  <c r="H768" i="15"/>
  <c r="I768" i="15"/>
  <c r="J768" i="15"/>
  <c r="H769" i="15"/>
  <c r="I769" i="15"/>
  <c r="J769" i="15"/>
  <c r="H816" i="15"/>
  <c r="I816" i="15"/>
  <c r="J816" i="15"/>
  <c r="H770" i="15"/>
  <c r="I770" i="15"/>
  <c r="J770" i="15"/>
  <c r="H771" i="15"/>
  <c r="I771" i="15"/>
  <c r="J771" i="15"/>
  <c r="H772" i="15"/>
  <c r="I772" i="15"/>
  <c r="J772" i="15"/>
  <c r="H773" i="15"/>
  <c r="I773" i="15"/>
  <c r="J773" i="15"/>
  <c r="H774" i="15"/>
  <c r="I774" i="15"/>
  <c r="J774" i="15"/>
  <c r="H775" i="15"/>
  <c r="I775" i="15"/>
  <c r="J775" i="15"/>
  <c r="H776" i="15"/>
  <c r="I776" i="15"/>
  <c r="J776" i="15"/>
  <c r="H777" i="15"/>
  <c r="I777" i="15"/>
  <c r="J777" i="15"/>
  <c r="H778" i="15"/>
  <c r="I778" i="15"/>
  <c r="J778" i="15"/>
  <c r="H817" i="15"/>
  <c r="I817" i="15"/>
  <c r="J817" i="15"/>
  <c r="H779" i="15"/>
  <c r="I779" i="15"/>
  <c r="J779" i="15"/>
  <c r="H780" i="15"/>
  <c r="I780" i="15"/>
  <c r="J780" i="15"/>
  <c r="H781" i="15"/>
  <c r="I781" i="15"/>
  <c r="J781" i="15"/>
  <c r="H782" i="15"/>
  <c r="I782" i="15"/>
  <c r="J782" i="15"/>
  <c r="H783" i="15"/>
  <c r="I783" i="15"/>
  <c r="J783" i="15"/>
  <c r="H784" i="15"/>
  <c r="I784" i="15"/>
  <c r="J784" i="15"/>
  <c r="H785" i="15"/>
  <c r="I785" i="15"/>
  <c r="J785" i="15"/>
  <c r="H786" i="15"/>
  <c r="I786" i="15"/>
  <c r="J786" i="1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2" i="5"/>
</calcChain>
</file>

<file path=xl/sharedStrings.xml><?xml version="1.0" encoding="utf-8"?>
<sst xmlns="http://schemas.openxmlformats.org/spreadsheetml/2006/main" count="6149" uniqueCount="1585">
  <si>
    <t>nad_id</t>
  </si>
  <si>
    <t>dataacquisitiondate</t>
  </si>
  <si>
    <t>nvarchar</t>
  </si>
  <si>
    <t>elementname</t>
  </si>
  <si>
    <t>nodetype</t>
  </si>
  <si>
    <t>oem</t>
  </si>
  <si>
    <t>opco</t>
  </si>
  <si>
    <t>platformtype</t>
  </si>
  <si>
    <t>sitelocation</t>
  </si>
  <si>
    <t>softwareinstalldate</t>
  </si>
  <si>
    <t>softwareinstalldateap</t>
  </si>
  <si>
    <t>softwareinstalldatecp</t>
  </si>
  <si>
    <t>softwareproductdate</t>
  </si>
  <si>
    <t>softwareproductdateap</t>
  </si>
  <si>
    <t>softwareproductdatecp</t>
  </si>
  <si>
    <t>softwareproductnumber</t>
  </si>
  <si>
    <t>softwareproductnumberap</t>
  </si>
  <si>
    <t>softwareproductnumbercp</t>
  </si>
  <si>
    <t>softwarereleaseinformation</t>
  </si>
  <si>
    <t>softwarereleaseinformationap</t>
  </si>
  <si>
    <t>softwarereleaseinformationcp</t>
  </si>
  <si>
    <t>spare1ossorenm</t>
  </si>
  <si>
    <t>spare2xmlversion</t>
  </si>
  <si>
    <t>created_by</t>
  </si>
  <si>
    <t>created_on</t>
  </si>
  <si>
    <t>datetime</t>
  </si>
  <si>
    <t>modified_by</t>
  </si>
  <si>
    <t>modified_on</t>
  </si>
  <si>
    <t>soft_comp_id</t>
  </si>
  <si>
    <t>identity_id</t>
  </si>
  <si>
    <t>soft_config_id</t>
  </si>
  <si>
    <t>comp_id</t>
  </si>
  <si>
    <t>function_id</t>
  </si>
  <si>
    <t>sub_func_id</t>
  </si>
  <si>
    <t>mainsoftwareversion</t>
  </si>
  <si>
    <t>apnodeaipaddress</t>
  </si>
  <si>
    <t>apnodebipaddress</t>
  </si>
  <si>
    <t>ipaddress</t>
  </si>
  <si>
    <t>productiondate</t>
  </si>
  <si>
    <t>productionnumber</t>
  </si>
  <si>
    <t>productionrevision</t>
  </si>
  <si>
    <t>applicationname</t>
  </si>
  <si>
    <t>bordergatewayfunctionid</t>
  </si>
  <si>
    <t>callretentiontimer</t>
  </si>
  <si>
    <t>capacityforprioritycalls</t>
  </si>
  <si>
    <t>datetimeoffset</t>
  </si>
  <si>
    <t>directmediarouting</t>
  </si>
  <si>
    <t>dnprefix</t>
  </si>
  <si>
    <t>enableondemandscaling</t>
  </si>
  <si>
    <t>evssupportedinmrf</t>
  </si>
  <si>
    <t>failoverdetectiontimer</t>
  </si>
  <si>
    <t>id</t>
  </si>
  <si>
    <t>localdatetime</t>
  </si>
  <si>
    <t>locationname</t>
  </si>
  <si>
    <t>logicalname</t>
  </si>
  <si>
    <t>managedelementid</t>
  </si>
  <si>
    <t>managedelementtype</t>
  </si>
  <si>
    <t>managedelementtypelist</t>
  </si>
  <si>
    <t>mediaipversion</t>
  </si>
  <si>
    <t>mediaresourcefunctionid</t>
  </si>
  <si>
    <t>mmasid</t>
  </si>
  <si>
    <t>mtasfunctionblacklisttime</t>
  </si>
  <si>
    <t>mtasfunctionfulldiskpercentage</t>
  </si>
  <si>
    <t>mtasfunctioninvalidaddress</t>
  </si>
  <si>
    <t>mtasfunctionmaxsessionduration</t>
  </si>
  <si>
    <t>mtasfunctionmccmnc</t>
  </si>
  <si>
    <t>mtasfunctionnettraceversion</t>
  </si>
  <si>
    <t>mtasfunctionrestart</t>
  </si>
  <si>
    <t>mtasfunctionversion</t>
  </si>
  <si>
    <t>networkmanagedelementid</t>
  </si>
  <si>
    <t>netype</t>
  </si>
  <si>
    <t>release</t>
  </si>
  <si>
    <t>scaleinthreshold</t>
  </si>
  <si>
    <t>scaleoutthreshold</t>
  </si>
  <si>
    <t>scalingmonitorinterval</t>
  </si>
  <si>
    <t>shuttingdowntimer</t>
  </si>
  <si>
    <t>signalinglocalport</t>
  </si>
  <si>
    <t>signalingvlanid</t>
  </si>
  <si>
    <t>siteid</t>
  </si>
  <si>
    <t>slaacinuse</t>
  </si>
  <si>
    <t>swversion</t>
  </si>
  <si>
    <t>systemfunctionsid</t>
  </si>
  <si>
    <t>timezone</t>
  </si>
  <si>
    <t>transcodingretention</t>
  </si>
  <si>
    <t>transportid</t>
  </si>
  <si>
    <t>userdefinedstate</t>
  </si>
  <si>
    <t>userlabel</t>
  </si>
  <si>
    <t>vendorname</t>
  </si>
  <si>
    <t>sigcompcompressiontype</t>
  </si>
  <si>
    <t>sigcompcompressionalgorithm</t>
  </si>
  <si>
    <t>dnsexpiredcachebehavior</t>
  </si>
  <si>
    <t>dnsretransmissiontimer</t>
  </si>
  <si>
    <t>dnscachesize</t>
  </si>
  <si>
    <t>dnsserverentry</t>
  </si>
  <si>
    <t>dnslocaladdress</t>
  </si>
  <si>
    <t>extnetselectiondefaultpoolname</t>
  </si>
  <si>
    <t>extnetselectionmaxtables</t>
  </si>
  <si>
    <t>cscfenablerecordroutesubscribe</t>
  </si>
  <si>
    <t>cscfreducedtransactionlifespan</t>
  </si>
  <si>
    <t>scscfcontacturimatchingenabled</t>
  </si>
  <si>
    <t>cscfenumforlocalnumbersenabled</t>
  </si>
  <si>
    <t>cscfdomainbasedpsiroutingentry</t>
  </si>
  <si>
    <t>l3ref</t>
  </si>
  <si>
    <t>actioncapableinfo</t>
  </si>
  <si>
    <t>active</t>
  </si>
  <si>
    <t>fingerprint</t>
  </si>
  <si>
    <t>serverreconnectattemptinterval</t>
  </si>
  <si>
    <t>msprocessingid</t>
  </si>
  <si>
    <t>codinglaw</t>
  </si>
  <si>
    <t>hardwaretype</t>
  </si>
  <si>
    <t>productname</t>
  </si>
  <si>
    <t>productno</t>
  </si>
  <si>
    <t>productrevision</t>
  </si>
  <si>
    <t>serialnumber</t>
  </si>
  <si>
    <t>unitlocation</t>
  </si>
  <si>
    <t>vendor</t>
  </si>
  <si>
    <t>number</t>
  </si>
  <si>
    <t>Size</t>
  </si>
  <si>
    <t>Datatype</t>
  </si>
  <si>
    <t>Column Name</t>
  </si>
  <si>
    <t>pk</t>
  </si>
  <si>
    <t>fk</t>
  </si>
  <si>
    <t>Table Name</t>
  </si>
  <si>
    <t>Primary Key</t>
  </si>
  <si>
    <t>networkelement</t>
  </si>
  <si>
    <t>softwarecomponent</t>
  </si>
  <si>
    <t>identity</t>
  </si>
  <si>
    <t>softconfiguration</t>
  </si>
  <si>
    <t>component</t>
  </si>
  <si>
    <t>functionarea</t>
  </si>
  <si>
    <t>subfunctionarea</t>
  </si>
  <si>
    <t>hardwareconfiguration</t>
  </si>
  <si>
    <t>Foreign Key</t>
  </si>
  <si>
    <t>Foreign Key Mapping Table</t>
  </si>
  <si>
    <t xml:space="preserve">PrimaryKey size is defined as Number of 20 </t>
  </si>
  <si>
    <t>All table will contain, created on, created by, modified on, modified by</t>
  </si>
  <si>
    <t>Parent Table will be networkelement table which is used to identify the uniqueness of record</t>
  </si>
  <si>
    <t>Oracle has limitation of 30 characters for a column name, if any tag above 30 characters will be shrinked, not trimmed (Developers decision)</t>
  </si>
  <si>
    <t>All table contains columns based on sample xml provided. Any new column has to be added in future</t>
  </si>
  <si>
    <t>All tag value has a max of 30 characters (sample xml provided), so defined 50 characters.  Any larger values in future, column size has to be modified</t>
  </si>
  <si>
    <t>hard_config_id</t>
  </si>
  <si>
    <t>name</t>
  </si>
  <si>
    <t>xml_last_parse_file_date</t>
  </si>
  <si>
    <t>accesssignallingid</t>
  </si>
  <si>
    <t>amrwbhigherthresholdalarm</t>
  </si>
  <si>
    <t>amrwblowerthresholdalarm</t>
  </si>
  <si>
    <t>autoconfigurationallowed</t>
  </si>
  <si>
    <t>cappercentreservedforwpscalls</t>
  </si>
  <si>
    <t>doclibuserdefined</t>
  </si>
  <si>
    <t>documentserveraddress</t>
  </si>
  <si>
    <t>dscpaudio</t>
  </si>
  <si>
    <t>dscpmarking</t>
  </si>
  <si>
    <t>dscpmultimedia</t>
  </si>
  <si>
    <t>equipmentid</t>
  </si>
  <si>
    <t>ethernetswitchfabricid</t>
  </si>
  <si>
    <t>explicitcongestionnotification</t>
  </si>
  <si>
    <t>featurestatebgfsmsrp</t>
  </si>
  <si>
    <t>featurestatebgfwebrtc</t>
  </si>
  <si>
    <t>featurestatecontentsharing</t>
  </si>
  <si>
    <t>featurestatedtmfsuppression</t>
  </si>
  <si>
    <t>featurestateg722</t>
  </si>
  <si>
    <t>featurestatemscpoolproxygsm</t>
  </si>
  <si>
    <t>featurestatemscpoolproxywcdma</t>
  </si>
  <si>
    <t>featurestatevoicetranscoding</t>
  </si>
  <si>
    <t>g711packetizationtimenb</t>
  </si>
  <si>
    <t>g729higherthresholdalarm</t>
  </si>
  <si>
    <t>g729lowerthresholdalarm</t>
  </si>
  <si>
    <t>interactivemessagingid</t>
  </si>
  <si>
    <t>intermittentfaultthreshold</t>
  </si>
  <si>
    <t>ipbcpt1timer</t>
  </si>
  <si>
    <t>ipoamid</t>
  </si>
  <si>
    <t>ipsystemid</t>
  </si>
  <si>
    <t>islsupervisionid</t>
  </si>
  <si>
    <t>lasthwpichange</t>
  </si>
  <si>
    <t>lastuppichange</t>
  </si>
  <si>
    <t>licensecapacitybgf</t>
  </si>
  <si>
    <t>licensecapacityhdvoicetrans</t>
  </si>
  <si>
    <t>licensecapacitymrfp</t>
  </si>
  <si>
    <t>licensecapacityvideo</t>
  </si>
  <si>
    <t>licensecapacityvoicetrans</t>
  </si>
  <si>
    <t>licensestatebgfatgw</t>
  </si>
  <si>
    <t>licensestatebgfevs</t>
  </si>
  <si>
    <t>licensestatebgfipv6</t>
  </si>
  <si>
    <t>licensestatebgfprioritycall</t>
  </si>
  <si>
    <t>licensestatebgfsmsrp</t>
  </si>
  <si>
    <t>licensestatebgfsrtp</t>
  </si>
  <si>
    <t>licensestatebgfwebrtc</t>
  </si>
  <si>
    <t>licensestatecontentsharing</t>
  </si>
  <si>
    <t>licensestateg722</t>
  </si>
  <si>
    <t>licensestatehdaudio</t>
  </si>
  <si>
    <t>licensestateipv6</t>
  </si>
  <si>
    <t>licensestatemrfc</t>
  </si>
  <si>
    <t>licensestatemrfevs</t>
  </si>
  <si>
    <t>licensestatemrfipv6</t>
  </si>
  <si>
    <t>licensestatemrfprioritycall</t>
  </si>
  <si>
    <t>logonserveraddress</t>
  </si>
  <si>
    <t>managedelementdataid</t>
  </si>
  <si>
    <t>maxbandwidthforiptransport</t>
  </si>
  <si>
    <t>mbaccongestiondscpmode</t>
  </si>
  <si>
    <t>mbaccongestiondscpvalue</t>
  </si>
  <si>
    <t>mbaclicensingstatus</t>
  </si>
  <si>
    <t>mbaclostpacketscalculationmode</t>
  </si>
  <si>
    <t>mbacmeasurementinterval</t>
  </si>
  <si>
    <t>mbacmode</t>
  </si>
  <si>
    <t>mbacthreshold</t>
  </si>
  <si>
    <t>mbacweightingfactor</t>
  </si>
  <si>
    <t>mgwapplicationid</t>
  </si>
  <si>
    <t>minimumhdvolumecfreespace</t>
  </si>
  <si>
    <t>mrfcfunctionid</t>
  </si>
  <si>
    <t>mrfpfunctionid</t>
  </si>
  <si>
    <t>piugroupescalationtype</t>
  </si>
  <si>
    <t>powersavemodeenabled</t>
  </si>
  <si>
    <t>rtcpbearersupervisiontimeraoip</t>
  </si>
  <si>
    <t>rtcpbearersupervisiontimermb</t>
  </si>
  <si>
    <t>rtcpbearersupervisiontimernb</t>
  </si>
  <si>
    <t>rtcpbearersupervisiontimervoip</t>
  </si>
  <si>
    <t>rtcponnbactive</t>
  </si>
  <si>
    <t>sachigherthresholdalarm</t>
  </si>
  <si>
    <t>saclowerthresholdalarm</t>
  </si>
  <si>
    <t>sacmode</t>
  </si>
  <si>
    <t>scchigherthresholdalarm</t>
  </si>
  <si>
    <t>scclowerthresholdalarm</t>
  </si>
  <si>
    <t>sersupervisiontimer</t>
  </si>
  <si>
    <t>signallingproxyid</t>
  </si>
  <si>
    <t>speechactivityfactor</t>
  </si>
  <si>
    <t>switchfabricid</t>
  </si>
  <si>
    <t>swmanagementid</t>
  </si>
  <si>
    <t>swserverurllist</t>
  </si>
  <si>
    <t>tfoipemode</t>
  </si>
  <si>
    <t>voiphigherthresholdalarm</t>
  </si>
  <si>
    <t>voiplowerthresholdalarm</t>
  </si>
  <si>
    <t>applicationconfiguration</t>
  </si>
  <si>
    <t>ddbfunctionid</t>
  </si>
  <si>
    <t>dscfunctionid</t>
  </si>
  <si>
    <t>healthcheckresult</t>
  </si>
  <si>
    <t>healthcheckschedule</t>
  </si>
  <si>
    <t>ipworksrootid</t>
  </si>
  <si>
    <t>javacafid</t>
  </si>
  <si>
    <t>miminfo</t>
  </si>
  <si>
    <t>mtasfunctionfqdn</t>
  </si>
  <si>
    <t>mtasfunctionmmtasname</t>
  </si>
  <si>
    <t>mtasfunctionnwfoiwasname</t>
  </si>
  <si>
    <t>mtasfunctionnwpriwasname</t>
  </si>
  <si>
    <t>mtasfunctionsccasname</t>
  </si>
  <si>
    <t>policycontrolfunctionid</t>
  </si>
  <si>
    <t>productnumber</t>
  </si>
  <si>
    <t>producttype</t>
  </si>
  <si>
    <t>site</t>
  </si>
  <si>
    <t>spdh</t>
  </si>
  <si>
    <t>transportnetworkid</t>
  </si>
  <si>
    <t>licensecapacityaudioconference</t>
  </si>
  <si>
    <t>licensecapacityvideoconference</t>
  </si>
  <si>
    <t>licensecapacityhdvidoconfernce</t>
  </si>
  <si>
    <t>mtasfunctionmaxnumberofsessionsaction</t>
  </si>
  <si>
    <t>func_id</t>
  </si>
  <si>
    <t>area_name</t>
  </si>
  <si>
    <t>subfun_id</t>
  </si>
  <si>
    <t>func_area_id</t>
  </si>
  <si>
    <t>subfunc_id</t>
  </si>
  <si>
    <t>mtasfunctionadministrativestateafterrestart</t>
  </si>
  <si>
    <t>sub_fun_name</t>
  </si>
  <si>
    <t>numbernormalisationtablesyncstate</t>
  </si>
  <si>
    <t>extnetselectioninitialtransittablename</t>
  </si>
  <si>
    <t>extnetselectioninitialtablename</t>
  </si>
  <si>
    <t>extnetselectiontablessynchronization</t>
  </si>
  <si>
    <t>extnetselectionsynchronizationstate</t>
  </si>
  <si>
    <t>extnetselectionactiveconfiguration</t>
  </si>
  <si>
    <t>cscfdomainroutingactivematchingtable</t>
  </si>
  <si>
    <t>cscfdomainroutingselectedconfig</t>
  </si>
  <si>
    <t>cscfnumberportabilityrejectonfailedenum</t>
  </si>
  <si>
    <t>cscfmaxnonsupervisedsessionduration</t>
  </si>
  <si>
    <t>cscfremovedialogueonnegativenotifyresponse</t>
  </si>
  <si>
    <t>cscfglobalnumbernormalizationphonecontext</t>
  </si>
  <si>
    <t>cscfenableglobalnumbernormalization</t>
  </si>
  <si>
    <t>cscfreplacerequesturiwithdefaultimpu</t>
  </si>
  <si>
    <t>cscfserveduseridentityselection</t>
  </si>
  <si>
    <t>cscfcxalwaysuserealmbasedrouting</t>
  </si>
  <si>
    <t>noofattempsofassociationestablishment</t>
  </si>
  <si>
    <t>licensecapacityvideoconferencing</t>
  </si>
  <si>
    <t>licensecapacityaudioconferencing</t>
  </si>
  <si>
    <t>licensecapacityhdvideoconferencing</t>
  </si>
  <si>
    <t>mtasfunctionvtpadministrativestate</t>
  </si>
  <si>
    <t>mtasfunctionadministrativestate</t>
  </si>
  <si>
    <t>mtasfunctionnotfulldiskpercentage</t>
  </si>
  <si>
    <t>mtasfunctionmaxnumberofsessions</t>
  </si>
  <si>
    <t>mtasfunctionmaxnumberofsubscriptionsessions</t>
  </si>
  <si>
    <t>mtascsiremotescfsubsystemnumber</t>
  </si>
  <si>
    <t>mtaschargingterminatingoffline</t>
  </si>
  <si>
    <t>mtaschargingeventmeasurementtimer</t>
  </si>
  <si>
    <t>mtaschargingacrstoragemaxnbracr</t>
  </si>
  <si>
    <t>mtaschargingreportredirectingnumber</t>
  </si>
  <si>
    <t>mtaschargingoriginatingoffline</t>
  </si>
  <si>
    <t>mtaschargingscheduledconferenceoffline</t>
  </si>
  <si>
    <t>mtaschargingacrstoragemaxfilesize</t>
  </si>
  <si>
    <t>mtaschargingsubscribercreditnotification</t>
  </si>
  <si>
    <t>mtassubsdataregeventresponsetimer</t>
  </si>
  <si>
    <t>mtassubsdatastlastsessiontimer</t>
  </si>
  <si>
    <t>mtassubsdatainitreghssfetchdelay</t>
  </si>
  <si>
    <t>mtassubsdataservicerecordslimit</t>
  </si>
  <si>
    <t>mtassubsdatamobileclassification</t>
  </si>
  <si>
    <t>mtastracedefaulttraceprintsubscriberkey</t>
  </si>
  <si>
    <t>mtastracedefaultcriticalconfigperminute</t>
  </si>
  <si>
    <t>mtastracedefaultwarningperminute</t>
  </si>
  <si>
    <t>mtassipsteppingolinesessionversion</t>
  </si>
  <si>
    <t>mtassiptrafficterminatingipport</t>
  </si>
  <si>
    <t>mtassiptrafficoriginatingipport</t>
  </si>
  <si>
    <t>mtassipcancel2finalresponsetimer</t>
  </si>
  <si>
    <t>mtassipinvite2finalresponsetimer</t>
  </si>
  <si>
    <t>mtascomdetailslocalstoragemaxtime</t>
  </si>
  <si>
    <t>mtascomdetailsinterfaceversion</t>
  </si>
  <si>
    <t>mtascomdetailssecondcdsaddress</t>
  </si>
  <si>
    <t>mtascomdetailslocalstoragemaxnbracr</t>
  </si>
  <si>
    <t>mtascomdetailslocalstoragemaxfilesize</t>
  </si>
  <si>
    <t>mtasxdmscai3ginactivitytimeout</t>
  </si>
  <si>
    <t>mtasxdmsxcapresponsecontenttype</t>
  </si>
  <si>
    <t>mtasxdmscai3gadministrativestate</t>
  </si>
  <si>
    <t>mtasxdmsccmpadministrativestate</t>
  </si>
  <si>
    <t>mtasxdmscai3ginterfacepriority</t>
  </si>
  <si>
    <t>mtasscalingtimebasedscalingenabled</t>
  </si>
  <si>
    <t>mtasxdmscalleridentitynumnormtranslation</t>
  </si>
  <si>
    <t>mtasxdmscai3girsdefaultimpuusage</t>
  </si>
  <si>
    <t>mtastraceehprintreasonsipwarningheader</t>
  </si>
  <si>
    <t>mtastraceehprintreasonsipredirectanderrorcode</t>
  </si>
  <si>
    <t>mtastraceehprintreasonsipreasonheader</t>
  </si>
  <si>
    <t>mtastraceehprintreasonsubscriberid</t>
  </si>
  <si>
    <t>mtaschargingsubscribercreditnotificationofferestablishedmediatotarget</t>
  </si>
  <si>
    <t>mtaschargingccrstoragemaxfilesize</t>
  </si>
  <si>
    <t>mtaschargingsubscribercreditnotificationmrfoffer</t>
  </si>
  <si>
    <t>mtaschargingmrfuserinputerrorhandlingprofile</t>
  </si>
  <si>
    <t>mtaschargingsubscribercreditnotificationvideodirective</t>
  </si>
  <si>
    <t>mtaschargingccrstoragemaxtimeperfile</t>
  </si>
  <si>
    <t>mtaschargingccrstoragemaxnoofccr</t>
  </si>
  <si>
    <t>mtassipterminationoncancelandanswercrossover</t>
  </si>
  <si>
    <t>mtassipsupportpserveduserheader</t>
  </si>
  <si>
    <t>mtassipremoverefresherparameterinearlyupdate</t>
  </si>
  <si>
    <t>mtassipsessionrefreshnegotiationinearlyupdate</t>
  </si>
  <si>
    <t>mtassipofferanswerexchangecontrol</t>
  </si>
  <si>
    <t>mtassipremovesupportedheaderinerrorresponse</t>
  </si>
  <si>
    <t>mtassipsdpinsessionrefreshresponses</t>
  </si>
  <si>
    <t>mtassipchangerefresherroleinreinviteandupdate</t>
  </si>
  <si>
    <t>mtassipadditionalinfoinnegresponses</t>
  </si>
  <si>
    <t>mtassipenablesessionrefreshforearlyupdate</t>
  </si>
  <si>
    <t>mtassubsdatadisablenotifyirsupdate</t>
  </si>
  <si>
    <t>mtassubsdatammteldevicefilterinclude</t>
  </si>
  <si>
    <t>mtassubsdatammteldevicefilterexclude</t>
  </si>
  <si>
    <t>mtassubsdatasccinitialselectionawareness</t>
  </si>
  <si>
    <t>mtasfunctionscalingterminatewaittime</t>
  </si>
  <si>
    <t>nonregisteredusersallowedforec</t>
  </si>
  <si>
    <t>nonregusersallowedforeconnormalbearer</t>
  </si>
  <si>
    <t>num_normal_tablesyncstate</t>
  </si>
  <si>
    <t>ext_select_intialtransit_name</t>
  </si>
  <si>
    <t>ext_select_defaultpoolname</t>
  </si>
  <si>
    <t>ext_select_synchronizatinstate</t>
  </si>
  <si>
    <t>ext_select_activeconfiguration</t>
  </si>
  <si>
    <t>ext_select_tablesynchrnization</t>
  </si>
  <si>
    <t>ext_select_intial_tablename</t>
  </si>
  <si>
    <t>cscf_dmainrout_actmatch_table</t>
  </si>
  <si>
    <t>cscf_dmainrout_selectconfig</t>
  </si>
  <si>
    <t>cscf_numprtbiltyrejectfailenum</t>
  </si>
  <si>
    <t>cscf_nablerecordroutesubscribe</t>
  </si>
  <si>
    <t>cscf_reducedtransactlifespan</t>
  </si>
  <si>
    <t>cscf_maxnonsupervisesessiondur</t>
  </si>
  <si>
    <t>cscf_remdialogonneg_notifyresp</t>
  </si>
  <si>
    <t>cscf_enumlocalnumbersenabled</t>
  </si>
  <si>
    <t>cscf_globalnumnormal_phcontxt</t>
  </si>
  <si>
    <t>cscf_enableglobalnumbernormal</t>
  </si>
  <si>
    <t>cscf_dmainbasedpsiroutingentry</t>
  </si>
  <si>
    <t>cscf_replsreq_uriwithdef_timpu</t>
  </si>
  <si>
    <t>cscf_serveduseridentityselect</t>
  </si>
  <si>
    <t>cscf_cxalwaysuserelmbasedrout</t>
  </si>
  <si>
    <t>mtascsiremotescfsubsystemnum</t>
  </si>
  <si>
    <t>mtaschargeventmeasurementtimer</t>
  </si>
  <si>
    <t>mtaschargterminatingoffline</t>
  </si>
  <si>
    <t>mtaschargacrstoragemaxnbracr</t>
  </si>
  <si>
    <t>mtaschargreportredirectnum</t>
  </si>
  <si>
    <t>mtaschargoriginatingoffline</t>
  </si>
  <si>
    <t>mtaschargschduleconfrnceofline</t>
  </si>
  <si>
    <t>mtaschargacrstoragemaxfilesize</t>
  </si>
  <si>
    <t>mtaschargsubscribecreditnotif</t>
  </si>
  <si>
    <t>mtasubdataregeventrsponsetimer</t>
  </si>
  <si>
    <t>mtassubsdatainitregfetchdelay</t>
  </si>
  <si>
    <t>mtassubsdataservicerecordlimit</t>
  </si>
  <si>
    <t>mtassubsdatamobileclass</t>
  </si>
  <si>
    <t>mtastracedeftraceprintsubsckey</t>
  </si>
  <si>
    <t>mtastracedefcritconfigprminute</t>
  </si>
  <si>
    <t>mtastracedefwarningprminute</t>
  </si>
  <si>
    <t>mtassipsteppingolinesesionvr</t>
  </si>
  <si>
    <t>mtassiptraficterminatingipport</t>
  </si>
  <si>
    <t>mtassiptraficoriginatingipport</t>
  </si>
  <si>
    <t>mtassipcancel2finalresptimer</t>
  </si>
  <si>
    <t>mtassipinvite2finalresptimer</t>
  </si>
  <si>
    <t>mtascomdeetslclstormaxfilesize</t>
  </si>
  <si>
    <t>mtascomdeetslclstormaxnbracr</t>
  </si>
  <si>
    <t>mtascomdetaillclstormaxtime</t>
  </si>
  <si>
    <t>mtasxdmsxcaprespcontenttype</t>
  </si>
  <si>
    <t>mtasxdmscai3gadminstate</t>
  </si>
  <si>
    <t>mtasxdmsccmpadminstate</t>
  </si>
  <si>
    <t>nonreguserallowforecnrmlbearer</t>
  </si>
  <si>
    <t>ds0bundleid</t>
  </si>
  <si>
    <t>ds0bundlemoref</t>
  </si>
  <si>
    <t>ipinterfacemoref</t>
  </si>
  <si>
    <t>interface2</t>
  </si>
  <si>
    <t>interface1</t>
  </si>
  <si>
    <t>os155spistandbyid</t>
  </si>
  <si>
    <t>os155spiworkingid</t>
  </si>
  <si>
    <t>generalprocessorunitid</t>
  </si>
  <si>
    <t>activeswversion</t>
  </si>
  <si>
    <t>rpuid</t>
  </si>
  <si>
    <t>rpumoref</t>
  </si>
  <si>
    <t>lastexecutedjob</t>
  </si>
  <si>
    <t>mtp3bapmoref</t>
  </si>
  <si>
    <t>pluginunitid</t>
  </si>
  <si>
    <t>admclasspath</t>
  </si>
  <si>
    <t>listofmessages</t>
  </si>
  <si>
    <t>subrackprodtyperef</t>
  </si>
  <si>
    <t>imstreamer</t>
  </si>
  <si>
    <t>mtp2profileituid</t>
  </si>
  <si>
    <t>tdmtermgrpmos</t>
  </si>
  <si>
    <t>switchmodule</t>
  </si>
  <si>
    <t>switchmodulenumber1</t>
  </si>
  <si>
    <t>switchmodulenumber2</t>
  </si>
  <si>
    <t>reservedby</t>
  </si>
  <si>
    <t>hss-extdbconfigurllist</t>
  </si>
  <si>
    <t>lasttransferresult</t>
  </si>
  <si>
    <t>date from the file name</t>
  </si>
  <si>
    <t>mtas_vtpadmin_state</t>
  </si>
  <si>
    <t>mtas_fulldiskpercentage</t>
  </si>
  <si>
    <t>mtas_administrativestate</t>
  </si>
  <si>
    <t>mtas_maxsessionduration</t>
  </si>
  <si>
    <t>mtas_notfulldiskpercentage</t>
  </si>
  <si>
    <t>mtas_maxnumofsesionsaction</t>
  </si>
  <si>
    <t>mtas_maxnumofsessions</t>
  </si>
  <si>
    <t>mtas_maxnumsubscriptsesion</t>
  </si>
  <si>
    <t>mtas_scalingterminatwaitime</t>
  </si>
  <si>
    <t>mtas_admin_stateafterrestrt</t>
  </si>
  <si>
    <t>area1</t>
  </si>
  <si>
    <t>mtassipipversion</t>
  </si>
  <si>
    <t>mtassipoptionsuri</t>
  </si>
  <si>
    <t>mtassipsccorigport</t>
  </si>
  <si>
    <t>mtassipserveruseragentheader</t>
  </si>
  <si>
    <t>mtassipcnameport</t>
  </si>
  <si>
    <t>mtassipuesessiontimersupport</t>
  </si>
  <si>
    <t>mtassipfailovertimeinvite</t>
  </si>
  <si>
    <t>mtassipsdpans200</t>
  </si>
  <si>
    <t>mtassiporiginatingaschaining</t>
  </si>
  <si>
    <t>mtassipsccorigunregport</t>
  </si>
  <si>
    <t>mtassipfailovertimenoninvite</t>
  </si>
  <si>
    <t>mtassipscctermunregport</t>
  </si>
  <si>
    <t>mtassiptransportincontact</t>
  </si>
  <si>
    <t>mtassipdefaultsessionexpiry</t>
  </si>
  <si>
    <t>mtassipdefaultminse</t>
  </si>
  <si>
    <t>mtassippsiport</t>
  </si>
  <si>
    <t>mtassipprotocolmtasorigcall</t>
  </si>
  <si>
    <t>mtassiptimerb</t>
  </si>
  <si>
    <t>mtassipstport</t>
  </si>
  <si>
    <t>mtassipipdscpmarking</t>
  </si>
  <si>
    <t>mtasmediaframework</t>
  </si>
  <si>
    <t>mtascomdetailsprimecdsaddress</t>
  </si>
  <si>
    <t>mtascondetailsreportingtype</t>
  </si>
  <si>
    <t>mtascomdetails</t>
  </si>
  <si>
    <t>mtascomdetailsservcontext</t>
  </si>
  <si>
    <t>mtaswebserviceslocalport</t>
  </si>
  <si>
    <t>mtaswebservices</t>
  </si>
  <si>
    <t>mtasgls</t>
  </si>
  <si>
    <t>mtassupportfunctionsid</t>
  </si>
  <si>
    <t>mtasmrfc</t>
  </si>
  <si>
    <t>mtasxdmsretryafterminimum</t>
  </si>
  <si>
    <t>mtasdxmsretryaftermaximum</t>
  </si>
  <si>
    <t>mtasxdmscai3gmaximumsessions</t>
  </si>
  <si>
    <t>mtasxdmsutinterfacepriority</t>
  </si>
  <si>
    <t>mtasxdmsutadministrativestate</t>
  </si>
  <si>
    <t>mtasxdmsccmpinterfacepriority</t>
  </si>
  <si>
    <t>mtasxdms</t>
  </si>
  <si>
    <t>mtasxdmscai3glogging</t>
  </si>
  <si>
    <t>referencetolicenseserver</t>
  </si>
  <si>
    <t>imsakaremovedialogunprotrereg</t>
  </si>
  <si>
    <t>imsakareusetcptermcall</t>
  </si>
  <si>
    <t>imsakaregistrarusesrcip</t>
  </si>
  <si>
    <t>smmstate</t>
  </si>
  <si>
    <t>transferlogstatus</t>
  </si>
  <si>
    <t>forcedsipuriescaping</t>
  </si>
  <si>
    <t>maxinitrt</t>
  </si>
  <si>
    <t xml:space="preserve">icmpintermittenttolerance </t>
  </si>
  <si>
    <t xml:space="preserve">icmpbarringtime </t>
  </si>
  <si>
    <t xml:space="preserve">icmpenabled </t>
  </si>
  <si>
    <t xml:space="preserve">icmpintermittencyinterval </t>
  </si>
  <si>
    <t xml:space="preserve">icmpmessagedistribution </t>
  </si>
  <si>
    <t xml:space="preserve">cscfdomainroutingenabled </t>
  </si>
  <si>
    <t xml:space="preserve">cscf_dmainrout_actmatch_table </t>
  </si>
  <si>
    <t xml:space="preserve">cscfdomainroutingsyncstate </t>
  </si>
  <si>
    <t xml:space="preserve">cscf_dmainrout_selectconfig </t>
  </si>
  <si>
    <t xml:space="preserve">cscfdomainroutingsyncconfig </t>
  </si>
  <si>
    <t xml:space="preserve">cscfdomainroutingactiveconfig </t>
  </si>
  <si>
    <t xml:space="preserve">cscf_numprtbiltyrejctfailenum </t>
  </si>
  <si>
    <t xml:space="preserve">cscf_nablerecordroutesubscrbe </t>
  </si>
  <si>
    <t xml:space="preserve">cscf_reducedtransactlifespan </t>
  </si>
  <si>
    <t xml:space="preserve">scscfcontacturimatchingenbled </t>
  </si>
  <si>
    <t xml:space="preserve">cscftimert1value </t>
  </si>
  <si>
    <t xml:space="preserve">cscftimerfvalue </t>
  </si>
  <si>
    <t xml:space="preserve">cscfusagestate </t>
  </si>
  <si>
    <t xml:space="preserve">cscfcxdestinationrealm </t>
  </si>
  <si>
    <t xml:space="preserve">cscfcxoriginhost </t>
  </si>
  <si>
    <t xml:space="preserve">cscftrustednetwork </t>
  </si>
  <si>
    <t xml:space="preserve">cscftimert2value </t>
  </si>
  <si>
    <t xml:space="preserve">cscfadministrativestate </t>
  </si>
  <si>
    <t xml:space="preserve">cscfextnetselonenumpstn </t>
  </si>
  <si>
    <t xml:space="preserve">bcfdomainnameentry </t>
  </si>
  <si>
    <t xml:space="preserve">cscf_maxnonsupervisesesiondur </t>
  </si>
  <si>
    <t xml:space="preserve">cscftimerbvalue </t>
  </si>
  <si>
    <t xml:space="preserve">cscf_enumlocalnumbersenabled </t>
  </si>
  <si>
    <t xml:space="preserve">cscfunallocatetroutingenabled </t>
  </si>
  <si>
    <t xml:space="preserve">bcfenabled </t>
  </si>
  <si>
    <t xml:space="preserve">cscfakaalgorithmentry </t>
  </si>
  <si>
    <t xml:space="preserve">cscf_globalnumnormal_phcontxt </t>
  </si>
  <si>
    <t xml:space="preserve">cscfcicroutingenabled </t>
  </si>
  <si>
    <t xml:space="preserve">cscfphonecontext </t>
  </si>
  <si>
    <t xml:space="preserve">cscfsendrequestudponly </t>
  </si>
  <si>
    <t xml:space="preserve">cscftimerdalue </t>
  </si>
  <si>
    <t xml:space="preserve">cscfscscffailovertimer </t>
  </si>
  <si>
    <t xml:space="preserve">cscfsmpauthorization </t>
  </si>
  <si>
    <t xml:space="preserve">cscftimert4value </t>
  </si>
  <si>
    <t xml:space="preserve">cscf_enableglobalnumbernormal </t>
  </si>
  <si>
    <t xml:space="preserve">cscfactiveusermethod </t>
  </si>
  <si>
    <t xml:space="preserve">bcfoperationalstate </t>
  </si>
  <si>
    <t xml:space="preserve">cscf_dmainbsedpsiroutingentry </t>
  </si>
  <si>
    <t xml:space="preserve">cscfsessionrefreshmin </t>
  </si>
  <si>
    <t xml:space="preserve">cscfgaugeinterval </t>
  </si>
  <si>
    <t xml:space="preserve">icscftransitenabled </t>
  </si>
  <si>
    <t xml:space="preserve">cscfrequireuserequalphone </t>
  </si>
  <si>
    <t xml:space="preserve">cscfsippmkey </t>
  </si>
  <si>
    <t xml:space="preserve">cscf_replsreq_uriwthdef_timpu </t>
  </si>
  <si>
    <t xml:space="preserve">cscfextnetselonrnbeforeenum </t>
  </si>
  <si>
    <t xml:space="preserve">cscfonwardroutingenabled </t>
  </si>
  <si>
    <t xml:space="preserve">cscfcxdestinationhost </t>
  </si>
  <si>
    <t xml:space="preserve">cscf_serveduseridentityselect </t>
  </si>
  <si>
    <t xml:space="preserve">cscfprovidedefaultcontext </t>
  </si>
  <si>
    <t xml:space="preserve">cscfforkingtimer </t>
  </si>
  <si>
    <t xml:space="preserve">icscfnoninvitefailovertimer </t>
  </si>
  <si>
    <t xml:space="preserve">cscfispbehavior </t>
  </si>
  <si>
    <t xml:space="preserve">cscfsessionrefreshdefault </t>
  </si>
  <si>
    <t xml:space="preserve">cscfenumtopdomain </t>
  </si>
  <si>
    <t xml:space="preserve">cscfcxoriginrealm </t>
  </si>
  <si>
    <t xml:space="preserve">icscfdomainnameentry </t>
  </si>
  <si>
    <t xml:space="preserve">cscftimercvalue </t>
  </si>
  <si>
    <t xml:space="preserve">cscfoverridedefaultcontext </t>
  </si>
  <si>
    <t xml:space="preserve">cscfsessionrefreshmax </t>
  </si>
  <si>
    <t xml:space="preserve">cscf_cxalwaysuserelmbasedrout </t>
  </si>
  <si>
    <t xml:space="preserve">cscfdomainalias </t>
  </si>
  <si>
    <t xml:space="preserve">cscfdatabasesweepertime </t>
  </si>
  <si>
    <t xml:space="preserve">scscfdomainnameentry </t>
  </si>
  <si>
    <t xml:space="preserve">userlabel </t>
  </si>
  <si>
    <t xml:space="preserve">l3ref </t>
  </si>
  <si>
    <t xml:space="preserve">hostid </t>
  </si>
  <si>
    <t xml:space="preserve">localfilestorepath </t>
  </si>
  <si>
    <t xml:space="preserve">actioncapable </t>
  </si>
  <si>
    <t xml:space="preserve">fallbacktimer </t>
  </si>
  <si>
    <t xml:space="preserve">swmid </t>
  </si>
  <si>
    <t xml:space="preserve">secmid </t>
  </si>
  <si>
    <t xml:space="preserve">active </t>
  </si>
  <si>
    <t xml:space="preserve">swinventoryid </t>
  </si>
  <si>
    <t xml:space="preserve">capacityalarmthreshold </t>
  </si>
  <si>
    <t xml:space="preserve">lastinventorychange </t>
  </si>
  <si>
    <t xml:space="preserve">lockingcode </t>
  </si>
  <si>
    <t xml:space="preserve">capacityalarmhysteresis </t>
  </si>
  <si>
    <t xml:space="preserve">fingerprint </t>
  </si>
  <si>
    <t xml:space="preserve">serversynchronizationinterval </t>
  </si>
  <si>
    <t xml:space="preserve">lmstate </t>
  </si>
  <si>
    <t xml:space="preserve">fingerprintupdateable </t>
  </si>
  <si>
    <t xml:space="preserve">licenseexpirationwarning </t>
  </si>
  <si>
    <t xml:space="preserve">serverreconnectattemptintrval </t>
  </si>
  <si>
    <t xml:space="preserve">lastlicenseinventoryrefresh </t>
  </si>
  <si>
    <t xml:space="preserve">heartbeatinterval </t>
  </si>
  <si>
    <t xml:space="preserve">lmid </t>
  </si>
  <si>
    <t xml:space="preserve">fmid </t>
  </si>
  <si>
    <t xml:space="preserve">sysmid </t>
  </si>
  <si>
    <t xml:space="preserve">pmid </t>
  </si>
  <si>
    <t xml:space="preserve">filemid </t>
  </si>
  <si>
    <t xml:space="preserve">brmid </t>
  </si>
  <si>
    <t xml:space="preserve">exportpackagelabelprefix </t>
  </si>
  <si>
    <t xml:space="preserve">sbglistid </t>
  </si>
  <si>
    <t xml:space="preserve">excessivetrafficthreshold </t>
  </si>
  <si>
    <t xml:space="preserve">bgftrafficsupervisionid </t>
  </si>
  <si>
    <t xml:space="preserve">msprocessingid </t>
  </si>
  <si>
    <t xml:space="preserve">codinglaw </t>
  </si>
  <si>
    <t xml:space="preserve">bgfnetworksid </t>
  </si>
  <si>
    <t xml:space="preserve">localipaddress </t>
  </si>
  <si>
    <t xml:space="preserve">portnumber </t>
  </si>
  <si>
    <t xml:space="preserve">sctpendpointid </t>
  </si>
  <si>
    <t xml:space="preserve">bgfresourceid </t>
  </si>
  <si>
    <t xml:space="preserve">dscp39 </t>
  </si>
  <si>
    <t xml:space="preserve">dscp38 </t>
  </si>
  <si>
    <t xml:space="preserve">dscp37 </t>
  </si>
  <si>
    <t xml:space="preserve">dscptopbitid </t>
  </si>
  <si>
    <t xml:space="preserve">dscp03 </t>
  </si>
  <si>
    <t xml:space="preserve">dscp47 </t>
  </si>
  <si>
    <t xml:space="preserve">dscp46 </t>
  </si>
  <si>
    <t xml:space="preserve">dscp02 </t>
  </si>
  <si>
    <t xml:space="preserve">dscp45 </t>
  </si>
  <si>
    <t xml:space="preserve">dscp01 </t>
  </si>
  <si>
    <t xml:space="preserve">dscp44 </t>
  </si>
  <si>
    <t xml:space="preserve">dscp00 </t>
  </si>
  <si>
    <t xml:space="preserve">dscp43 </t>
  </si>
  <si>
    <t xml:space="preserve">dscp42 </t>
  </si>
  <si>
    <t xml:space="preserve">dscp41 </t>
  </si>
  <si>
    <t xml:space="preserve">dscp40 </t>
  </si>
  <si>
    <t xml:space="preserve">dscp29 </t>
  </si>
  <si>
    <t xml:space="preserve">dscp28 </t>
  </si>
  <si>
    <t xml:space="preserve">dscp27 </t>
  </si>
  <si>
    <t xml:space="preserve">dscp26 </t>
  </si>
  <si>
    <t xml:space="preserve">dscp36 </t>
  </si>
  <si>
    <t xml:space="preserve">dscp35 </t>
  </si>
  <si>
    <t xml:space="preserve">dscp34 </t>
  </si>
  <si>
    <t xml:space="preserve">dscp33 </t>
  </si>
  <si>
    <t xml:space="preserve">dscp32 </t>
  </si>
  <si>
    <t xml:space="preserve">dscp31 </t>
  </si>
  <si>
    <t xml:space="preserve">dscp30 </t>
  </si>
  <si>
    <t xml:space="preserve">dscp19 </t>
  </si>
  <si>
    <t xml:space="preserve">dscp18 </t>
  </si>
  <si>
    <t xml:space="preserve">dscp17 </t>
  </si>
  <si>
    <t xml:space="preserve">dscp16 </t>
  </si>
  <si>
    <t xml:space="preserve">dscp59 </t>
  </si>
  <si>
    <t xml:space="preserve">dscp15 </t>
  </si>
  <si>
    <t xml:space="preserve">dscp61 </t>
  </si>
  <si>
    <t xml:space="preserve">dscp60 </t>
  </si>
  <si>
    <t xml:space="preserve">dscp25 </t>
  </si>
  <si>
    <t xml:space="preserve">dscp24 </t>
  </si>
  <si>
    <t xml:space="preserve">dscp23 </t>
  </si>
  <si>
    <t xml:space="preserve">dscp22 </t>
  </si>
  <si>
    <t xml:space="preserve">dscp21 </t>
  </si>
  <si>
    <t xml:space="preserve">dscp20 </t>
  </si>
  <si>
    <t xml:space="preserve">dscp63 </t>
  </si>
  <si>
    <t xml:space="preserve">dscp62 </t>
  </si>
  <si>
    <t xml:space="preserve">dscp09 </t>
  </si>
  <si>
    <t xml:space="preserve">dscp08 </t>
  </si>
  <si>
    <t xml:space="preserve">dscp07 </t>
  </si>
  <si>
    <t xml:space="preserve">dscp06 </t>
  </si>
  <si>
    <t xml:space="preserve">dscp49 </t>
  </si>
  <si>
    <t xml:space="preserve">dscp05 </t>
  </si>
  <si>
    <t xml:space="preserve">dscp04 </t>
  </si>
  <si>
    <t xml:space="preserve">dscp48 </t>
  </si>
  <si>
    <t xml:space="preserve">dscp50 </t>
  </si>
  <si>
    <t xml:space="preserve">dscp58 </t>
  </si>
  <si>
    <t xml:space="preserve">dscp14 </t>
  </si>
  <si>
    <t xml:space="preserve">dscp57 </t>
  </si>
  <si>
    <t xml:space="preserve">dscp13 </t>
  </si>
  <si>
    <t xml:space="preserve">dscp56 </t>
  </si>
  <si>
    <t xml:space="preserve">dscp12 </t>
  </si>
  <si>
    <t xml:space="preserve">dscp11 </t>
  </si>
  <si>
    <t xml:space="preserve">dscp55 </t>
  </si>
  <si>
    <t xml:space="preserve">dscp54 </t>
  </si>
  <si>
    <t xml:space="preserve">dscp1 </t>
  </si>
  <si>
    <t xml:space="preserve">dscp53 </t>
  </si>
  <si>
    <t xml:space="preserve">dscp52 </t>
  </si>
  <si>
    <t xml:space="preserve">dscp51 </t>
  </si>
  <si>
    <t xml:space="preserve">ippoolrangestart </t>
  </si>
  <si>
    <t xml:space="preserve">ippoolstate </t>
  </si>
  <si>
    <t xml:space="preserve">ippoolrangeend </t>
  </si>
  <si>
    <t xml:space="preserve">gatewayaddress </t>
  </si>
  <si>
    <t xml:space="preserve">subnetmasklength </t>
  </si>
  <si>
    <t xml:space="preserve">signalingippoolid </t>
  </si>
  <si>
    <t xml:space="preserve">ipaddressesinuselist </t>
  </si>
  <si>
    <t xml:space="preserve">minrto </t>
  </si>
  <si>
    <t xml:space="preserve">pathmaxrtx </t>
  </si>
  <si>
    <t xml:space="preserve">maxrnitrt </t>
  </si>
  <si>
    <t xml:space="preserve">assocmaxrtx </t>
  </si>
  <si>
    <t xml:space="preserve">maxburst </t>
  </si>
  <si>
    <t xml:space="preserve">maxrto </t>
  </si>
  <si>
    <t xml:space="preserve">alphaindex </t>
  </si>
  <si>
    <t xml:space="preserve">maxsctppdusize </t>
  </si>
  <si>
    <t xml:space="preserve">enablepathmtudiscovery </t>
  </si>
  <si>
    <t xml:space="preserve">primarypathmaxrtx </t>
  </si>
  <si>
    <t xml:space="preserve">sctpprofileid </t>
  </si>
  <si>
    <t xml:space="preserve">sacktimer </t>
  </si>
  <si>
    <t xml:space="preserve">cookielife </t>
  </si>
  <si>
    <t xml:space="preserve">dscp </t>
  </si>
  <si>
    <t xml:space="preserve">betaindex </t>
  </si>
  <si>
    <t xml:space="preserve">initrto </t>
  </si>
  <si>
    <t xml:space="preserve">mrfresourceid </t>
  </si>
  <si>
    <t xml:space="preserve">defaultlanguagecode </t>
  </si>
  <si>
    <t xml:space="preserve">announcementsid </t>
  </si>
  <si>
    <t xml:space="preserve">dnsid </t>
  </si>
  <si>
    <t xml:space="preserve">dscpdns </t>
  </si>
  <si>
    <t xml:space="preserve">localportnumber </t>
  </si>
  <si>
    <t xml:space="preserve">dscpsignaling </t>
  </si>
  <si>
    <t xml:space="preserve">administrativestate </t>
  </si>
  <si>
    <t xml:space="preserve">mrfsipcontrolid </t>
  </si>
  <si>
    <t xml:space="preserve">signalingvlanid </t>
  </si>
  <si>
    <t xml:space="preserve">mrfh248controlid </t>
  </si>
  <si>
    <t xml:space="preserve">mrfconfigurationid </t>
  </si>
  <si>
    <t xml:space="preserve">mediavlanid </t>
  </si>
  <si>
    <t xml:space="preserve">mtassystemconstantsc1 </t>
  </si>
  <si>
    <t xml:space="preserve">mtassystemconstantsc3 </t>
  </si>
  <si>
    <t xml:space="preserve">mtassystemconstant </t>
  </si>
  <si>
    <t xml:space="preserve">mtassystemconstantsc2 </t>
  </si>
  <si>
    <t xml:space="preserve">mtassystemconstantsc </t>
  </si>
  <si>
    <t xml:space="preserve">mtassystemconstantsc9 </t>
  </si>
  <si>
    <t xml:space="preserve">mtassystemconstantsc8 </t>
  </si>
  <si>
    <t xml:space="preserve">mtassystemconstantsc5 </t>
  </si>
  <si>
    <t xml:space="preserve">mtassystemconstantsc4 </t>
  </si>
  <si>
    <t xml:space="preserve">mtassystemconstantsc7 </t>
  </si>
  <si>
    <t xml:space="preserve">mtassystemconstantsc6 </t>
  </si>
  <si>
    <t xml:space="preserve">mtaspx </t>
  </si>
  <si>
    <t xml:space="preserve">mtasservices </t>
  </si>
  <si>
    <t xml:space="preserve">mtascsiglobaltitle </t>
  </si>
  <si>
    <t xml:space="preserve">mtascsi </t>
  </si>
  <si>
    <t xml:space="preserve">mtascsiscfsubsystemnumber </t>
  </si>
  <si>
    <t xml:space="preserve">mtascsissfsubsystemnumber </t>
  </si>
  <si>
    <t xml:space="preserve">mtascsiadministrativestate </t>
  </si>
  <si>
    <t xml:space="preserve">mtascsiremotescfsubsystemnum </t>
  </si>
  <si>
    <t xml:space="preserve">mtassh </t>
  </si>
  <si>
    <t xml:space="preserve">mtaschargingxtimer </t>
  </si>
  <si>
    <t xml:space="preserve">mtascharging </t>
  </si>
  <si>
    <t xml:space="preserve">mtaschargingdeactivateddests </t>
  </si>
  <si>
    <t xml:space="preserve">mtaschargterminatingoffline </t>
  </si>
  <si>
    <t xml:space="preserve">mtaschargingacrbackupfiles </t>
  </si>
  <si>
    <t xml:space="preserve">mtaschargeventmeasurementimer </t>
  </si>
  <si>
    <t xml:space="preserve">mtaschargacrstoragemaxnbracr </t>
  </si>
  <si>
    <t xml:space="preserve">mtaschargreportredirectnum </t>
  </si>
  <si>
    <t xml:space="preserve">mtaschargoriginatingoffline </t>
  </si>
  <si>
    <t xml:space="preserve">mtaschargingdefaultcdfaddress </t>
  </si>
  <si>
    <t xml:space="preserve">mtaschargingacrstorage </t>
  </si>
  <si>
    <t xml:space="preserve">mtaschargingoriginatingonline </t>
  </si>
  <si>
    <t xml:space="preserve">mtaschargingrttiadminstate </t>
  </si>
  <si>
    <t xml:space="preserve">mtaschargscduleconfrnceofline </t>
  </si>
  <si>
    <t xml:space="preserve">mtaschargingacrstoragemaxtime </t>
  </si>
  <si>
    <t xml:space="preserve">mtaschargacrstoragemaxfilsize </t>
  </si>
  <si>
    <t xml:space="preserve">mtaschargingterminatingonline </t>
  </si>
  <si>
    <t xml:space="preserve">mtaschargsubscribecreditnotif </t>
  </si>
  <si>
    <t xml:space="preserve">mtasubdataregeventrsponsetimr </t>
  </si>
  <si>
    <t xml:space="preserve">mtassubsdatastlastsessiontimr </t>
  </si>
  <si>
    <t xml:space="preserve">mtassubsdatainitregfetchdelay </t>
  </si>
  <si>
    <t xml:space="preserve">mtassubsdatacachecontactdata </t>
  </si>
  <si>
    <t xml:space="preserve">mtassubsdataservicerecordlmit </t>
  </si>
  <si>
    <t xml:space="preserve">mtassubsdatadefaultregtimer </t>
  </si>
  <si>
    <t xml:space="preserve">mtassubsdataderegtimer </t>
  </si>
  <si>
    <t xml:space="preserve">mtassubsdatamobileclass </t>
  </si>
  <si>
    <t xml:space="preserve">mtassubsdataregistrationmode </t>
  </si>
  <si>
    <t xml:space="preserve">mtassubsdatapinformat </t>
  </si>
  <si>
    <t xml:space="preserve">mtassubsdatacachepani </t>
  </si>
  <si>
    <t xml:space="preserve">mtassubsdata </t>
  </si>
  <si>
    <t xml:space="preserve">mtassubsdatahssoverloadtimer </t>
  </si>
  <si>
    <t xml:space="preserve">mtassubsdatavoltecasename </t>
  </si>
  <si>
    <t xml:space="preserve">mtastrace </t>
  </si>
  <si>
    <t xml:space="preserve">mtastracedeftrceprintsubsckey </t>
  </si>
  <si>
    <t xml:space="preserve">mtastracedefcritconfgprminute </t>
  </si>
  <si>
    <t xml:space="preserve">mtastracedisableehser </t>
  </si>
  <si>
    <t xml:space="preserve">mtastracedefwarningprminute </t>
  </si>
  <si>
    <t xml:space="preserve">mtascommondata </t>
  </si>
  <si>
    <t xml:space="preserve">mtaswsnamedb </t>
  </si>
  <si>
    <t xml:space="preserve">mtassip </t>
  </si>
  <si>
    <t xml:space="preserve">mtassiptimert2 </t>
  </si>
  <si>
    <t xml:space="preserve">mtassipsteppingolinesesionvr </t>
  </si>
  <si>
    <t xml:space="preserve">mtassiptimerf </t>
  </si>
  <si>
    <t xml:space="preserve">mtassiptimert1 </t>
  </si>
  <si>
    <t xml:space="preserve">mtassiptcpconnectiontimeout </t>
  </si>
  <si>
    <t xml:space="preserve">mtassipscctermport </t>
  </si>
  <si>
    <t xml:space="preserve">mtassipicscfname </t>
  </si>
  <si>
    <t xml:space="preserve">mtassippresenceport </t>
  </si>
  <si>
    <t xml:space="preserve">mtassipsuperviseallsessions </t>
  </si>
  <si>
    <t xml:space="preserve">mtassipdisablelargemsgcheck </t>
  </si>
  <si>
    <t xml:space="preserve">mtassiprsport </t>
  </si>
  <si>
    <t xml:space="preserve">mtassiptrafficorigunregipport </t>
  </si>
  <si>
    <t>nonreguserallowforecnrmlberer</t>
  </si>
  <si>
    <t>nonregisteredusersallowedforc</t>
  </si>
  <si>
    <t>ext_select_tablesynchrniztion</t>
  </si>
  <si>
    <t>mtasxdmscai3ginterfacepriorty</t>
  </si>
  <si>
    <t>mtasxdmscai3ginactivitytimout</t>
  </si>
  <si>
    <t>mtascomdeetslclstormaxfilsize</t>
  </si>
  <si>
    <t>mtascomdetilslclstormaxnbracr</t>
  </si>
  <si>
    <t>mtascomdetailssecondcdsadress</t>
  </si>
  <si>
    <t>mtascomdetailsinterfacevrsion</t>
  </si>
  <si>
    <t>mtascomdetailslclstormxtime</t>
  </si>
  <si>
    <t>mtassiptraficoriginatingiport</t>
  </si>
  <si>
    <t>mtassiptraficterminatingiport</t>
  </si>
  <si>
    <t>mtassipcalloutofbluerouting</t>
  </si>
  <si>
    <t>Spl</t>
  </si>
  <si>
    <t>Pk</t>
  </si>
  <si>
    <t>FK</t>
  </si>
  <si>
    <t>subfunc_area_id</t>
  </si>
  <si>
    <t>sub_func_area_name</t>
  </si>
  <si>
    <t>dscp10</t>
  </si>
  <si>
    <t>a2ea</t>
  </si>
  <si>
    <t>aal2spid</t>
  </si>
  <si>
    <t>activegcptransportlayer</t>
  </si>
  <si>
    <t>admmain</t>
  </si>
  <si>
    <t>admoptions</t>
  </si>
  <si>
    <t>amrserviceid</t>
  </si>
  <si>
    <t>autoconfig</t>
  </si>
  <si>
    <t>autoconfigidentity</t>
  </si>
  <si>
    <t>autoconfigidentity2</t>
  </si>
  <si>
    <t>availabilitystatus</t>
  </si>
  <si>
    <t>baudrateul</t>
  </si>
  <si>
    <t>bgfapplicationid</t>
  </si>
  <si>
    <t>cabinetposition</t>
  </si>
  <si>
    <t>ccauagentuserlimit</t>
  </si>
  <si>
    <t>ccauid</t>
  </si>
  <si>
    <t>ccaureportingperiod</t>
  </si>
  <si>
    <t>ccauserveruserlimit</t>
  </si>
  <si>
    <t>ccauuoiaddress</t>
  </si>
  <si>
    <t>ccauuoiport</t>
  </si>
  <si>
    <t>ccauuoiretrytimeout</t>
  </si>
  <si>
    <t>ccauuoitlsport</t>
  </si>
  <si>
    <t>cdvt</t>
  </si>
  <si>
    <t>classnames</t>
  </si>
  <si>
    <t>cscfdomainroutingsyncconfig</t>
  </si>
  <si>
    <t>cscfispoperationalstate</t>
  </si>
  <si>
    <t>cscftimerdvalue</t>
  </si>
  <si>
    <t>cscfunallocatedroutingenabled</t>
  </si>
  <si>
    <t>csddigitalserviceid</t>
  </si>
  <si>
    <t>csdgsmfaxserviceid</t>
  </si>
  <si>
    <t>dasid</t>
  </si>
  <si>
    <t>datadirectories</t>
  </si>
  <si>
    <t>degcausemsp</t>
  </si>
  <si>
    <t>delayaftericmpdestunreach</t>
  </si>
  <si>
    <t>delayafterrtcpbye</t>
  </si>
  <si>
    <t>devicename</t>
  </si>
  <si>
    <t>dnsclient1ref</t>
  </si>
  <si>
    <t>dnsclient2ref</t>
  </si>
  <si>
    <t>dtmfsenderserviceid</t>
  </si>
  <si>
    <t>dtxsupport</t>
  </si>
  <si>
    <t>duration</t>
  </si>
  <si>
    <t>ecserviceid</t>
  </si>
  <si>
    <t>emergencycallpriority</t>
  </si>
  <si>
    <t>emergencycapacitymargin</t>
  </si>
  <si>
    <t>endpathdelay</t>
  </si>
  <si>
    <t>entitydataid</t>
  </si>
  <si>
    <t>featurestateipmultiplexing</t>
  </si>
  <si>
    <t>featurestateipmuxextsipi</t>
  </si>
  <si>
    <t>filename</t>
  </si>
  <si>
    <t>filepath</t>
  </si>
  <si>
    <t>firmwarerevision</t>
  </si>
  <si>
    <t>flexiblediameterid</t>
  </si>
  <si>
    <t>g711packetlossconcealmentext</t>
  </si>
  <si>
    <t>g711packetlossconcealmentmb</t>
  </si>
  <si>
    <t>g711packetlossconcealmentnb</t>
  </si>
  <si>
    <t>g711packetlossconcealmentunid</t>
  </si>
  <si>
    <t>g719serviceid</t>
  </si>
  <si>
    <t>g729serviceid</t>
  </si>
  <si>
    <t>gcpassociationmoref</t>
  </si>
  <si>
    <t>gcpprofile</t>
  </si>
  <si>
    <t>gsmfrserviceid</t>
  </si>
  <si>
    <t>gsmhrserviceid</t>
  </si>
  <si>
    <t>gttserviceid</t>
  </si>
  <si>
    <t>handoffmgcid</t>
  </si>
  <si>
    <t>hdfilename</t>
  </si>
  <si>
    <t>hdfilepath</t>
  </si>
  <si>
    <t>healthcheckmid</t>
  </si>
  <si>
    <t>highfreqlevel</t>
  </si>
  <si>
    <t>hss-administrativestate</t>
  </si>
  <si>
    <t>hss-commonfeaturenodeidentity</t>
  </si>
  <si>
    <t>hss-erewildcardsupport</t>
  </si>
  <si>
    <t>hss-esmnodeidentity</t>
  </si>
  <si>
    <t>hss-extdbconfiglogactive</t>
  </si>
  <si>
    <t>hss-extdbconfigrootdnlist</t>
  </si>
  <si>
    <t>hss-extdbmaxconcurrentclients</t>
  </si>
  <si>
    <t>hss-extdburlpasswordlist</t>
  </si>
  <si>
    <t>hss-isdatacacheused</t>
  </si>
  <si>
    <t>hss-nodeidentity</t>
  </si>
  <si>
    <t>hss-smnodeidentity</t>
  </si>
  <si>
    <t>ignoreicmpdestunreachable</t>
  </si>
  <si>
    <t>ignorertcpbye</t>
  </si>
  <si>
    <t>imbasicmessageid</t>
  </si>
  <si>
    <t>immessagecompositionid</t>
  </si>
  <si>
    <t>imserviceid</t>
  </si>
  <si>
    <t>internallinkgroupid</t>
  </si>
  <si>
    <t>ipaccesshostetid</t>
  </si>
  <si>
    <t>ipaccesshostgpbid</t>
  </si>
  <si>
    <t>ipaccesshostgpbmoref</t>
  </si>
  <si>
    <t>ipaddress1</t>
  </si>
  <si>
    <t>ipaddress2</t>
  </si>
  <si>
    <t>ipdefaultttl</t>
  </si>
  <si>
    <t>ipmuxcollectiontime</t>
  </si>
  <si>
    <t>ipmuxlocaludpport</t>
  </si>
  <si>
    <t>ipmuxrtpheadercompression</t>
  </si>
  <si>
    <t>ipnetworkid</t>
  </si>
  <si>
    <t>ipsubnet</t>
  </si>
  <si>
    <t>isdnv110resynctimer</t>
  </si>
  <si>
    <t>isdnv110synctimer</t>
  </si>
  <si>
    <t>iteration</t>
  </si>
  <si>
    <t>javacafappid</t>
  </si>
  <si>
    <t>jvmid</t>
  </si>
  <si>
    <t>languagecode</t>
  </si>
  <si>
    <t>lastupdatetime</t>
  </si>
  <si>
    <t>linespeechleveldl</t>
  </si>
  <si>
    <t>linespeechlevelul</t>
  </si>
  <si>
    <t>localserverid</t>
  </si>
  <si>
    <t>lockout</t>
  </si>
  <si>
    <t>logactive</t>
  </si>
  <si>
    <t>logmid</t>
  </si>
  <si>
    <t>lowfreqlevel</t>
  </si>
  <si>
    <t>m3uanoofattempsofdauds</t>
  </si>
  <si>
    <t>maxconsecutivesrejs</t>
  </si>
  <si>
    <t>maxduration</t>
  </si>
  <si>
    <t>maxnoofreportfiles</t>
  </si>
  <si>
    <t>maxsizechangebuf</t>
  </si>
  <si>
    <t>maxsizereroutbuf</t>
  </si>
  <si>
    <t>maxwaittimepertcpframe</t>
  </si>
  <si>
    <t>mccmode</t>
  </si>
  <si>
    <t>messageid</t>
  </si>
  <si>
    <t>mgclabel</t>
  </si>
  <si>
    <t>mindigitpause</t>
  </si>
  <si>
    <t>minduration</t>
  </si>
  <si>
    <t>mininterworkingduration</t>
  </si>
  <si>
    <t>mininterworkingpause</t>
  </si>
  <si>
    <t>mobileaccessconn</t>
  </si>
  <si>
    <t>mpv-logstatus</t>
  </si>
  <si>
    <t>mrfcapplicationid</t>
  </si>
  <si>
    <t>mspgid</t>
  </si>
  <si>
    <t>mtaschargingacrcachingmaxtime</t>
  </si>
  <si>
    <t>mtascharginganiwithouttrigger</t>
  </si>
  <si>
    <t>mtaschargingccrcachingmaxtime</t>
  </si>
  <si>
    <t>mtaschargingrttiadminstate</t>
  </si>
  <si>
    <t>mtaschargingtimezonesource</t>
  </si>
  <si>
    <t>mtaschargingtxtimer</t>
  </si>
  <si>
    <t>mtascomdetailsreportingtype</t>
  </si>
  <si>
    <t>mtasdns</t>
  </si>
  <si>
    <t>mtasdnsmonitoringenabled</t>
  </si>
  <si>
    <t>mtashttp</t>
  </si>
  <si>
    <t>mtashttprequesttimeout</t>
  </si>
  <si>
    <t>mtaslicenses</t>
  </si>
  <si>
    <t>mtasscaling</t>
  </si>
  <si>
    <t>mtasscalingscalein</t>
  </si>
  <si>
    <t>mtasscalingscaleout</t>
  </si>
  <si>
    <t>mtassipasgenericport</t>
  </si>
  <si>
    <t>mtassipipaddresslist</t>
  </si>
  <si>
    <t>mtassipipdscpprioritymarking</t>
  </si>
  <si>
    <t>mtassipipversionpreference</t>
  </si>
  <si>
    <t>mtassipretryaftersupport</t>
  </si>
  <si>
    <t>mtassipretryaftertime</t>
  </si>
  <si>
    <t>mtassipsdpstrictmatching</t>
  </si>
  <si>
    <t>mtassiptcpsessiondelayack</t>
  </si>
  <si>
    <t>mtassiptcpsessionnodelay</t>
  </si>
  <si>
    <t>mtassiptraffictermunregipport</t>
  </si>
  <si>
    <t>mtassiptransparentearlybye</t>
  </si>
  <si>
    <t>mtassiptransparenttelcontact</t>
  </si>
  <si>
    <t>mtassubsdataregeventnotifier</t>
  </si>
  <si>
    <t>mtassubsdatasccatcfinfoinhss</t>
  </si>
  <si>
    <t>mtassystemconstantsc10</t>
  </si>
  <si>
    <t>mtassystemconstantsc5</t>
  </si>
  <si>
    <t>mtasxdmscai3gipaddresslist</t>
  </si>
  <si>
    <t>mtasxdmsretryaftermaximum</t>
  </si>
  <si>
    <t>mtasxdmsutheader</t>
  </si>
  <si>
    <t>mtasxdmsutipaddresslist</t>
  </si>
  <si>
    <t>mtasxdmsutvalidation</t>
  </si>
  <si>
    <t>mtp2tpituid</t>
  </si>
  <si>
    <t>mtp3bspituid</t>
  </si>
  <si>
    <t>networkappearance</t>
  </si>
  <si>
    <t>networkidentity</t>
  </si>
  <si>
    <t>networkind</t>
  </si>
  <si>
    <t>networkprefix</t>
  </si>
  <si>
    <t>networkprefixlength</t>
  </si>
  <si>
    <t>networkprefixlength1</t>
  </si>
  <si>
    <t>networkprefixlength2</t>
  </si>
  <si>
    <t>nodebehaviour</t>
  </si>
  <si>
    <t>noisereductionconfiguration</t>
  </si>
  <si>
    <t>noisereductionmode</t>
  </si>
  <si>
    <t>nonlinearprocessormode</t>
  </si>
  <si>
    <t>noofcongestlevelforni</t>
  </si>
  <si>
    <t>notificationconfigid</t>
  </si>
  <si>
    <t>nraoipmode</t>
  </si>
  <si>
    <t>nriumode</t>
  </si>
  <si>
    <t>nrmode</t>
  </si>
  <si>
    <t>nrserviceid</t>
  </si>
  <si>
    <t>nrtdmmode</t>
  </si>
  <si>
    <t>ntpdscp</t>
  </si>
  <si>
    <t>ntpservermode</t>
  </si>
  <si>
    <t>numberofslots</t>
  </si>
  <si>
    <t>operationalstate</t>
  </si>
  <si>
    <t>otpdiaproduct</t>
  </si>
  <si>
    <t>partialfill</t>
  </si>
  <si>
    <t>payloadprocessorfailuretimer</t>
  </si>
  <si>
    <t>pcfconfigid</t>
  </si>
  <si>
    <t>pcmserviceid</t>
  </si>
  <si>
    <t>pcmsystemnr</t>
  </si>
  <si>
    <t>pcscfdomainnameentry</t>
  </si>
  <si>
    <t>pool</t>
  </si>
  <si>
    <t>poolid</t>
  </si>
  <si>
    <t>priority</t>
  </si>
  <si>
    <t>prioritycallssupport</t>
  </si>
  <si>
    <t>rad-logstatus</t>
  </si>
  <si>
    <t>rdisecondarysf</t>
  </si>
  <si>
    <t>readonlyclassnames</t>
  </si>
  <si>
    <t>reassemblytimeout</t>
  </si>
  <si>
    <t>remotesiteprefix</t>
  </si>
  <si>
    <t>replicationgroup</t>
  </si>
  <si>
    <t>reportperiod</t>
  </si>
  <si>
    <t>reportprogress</t>
  </si>
  <si>
    <t>resendtfcinterval</t>
  </si>
  <si>
    <t>resourceaccesscontainerid</t>
  </si>
  <si>
    <t>rlpmaxretransmission</t>
  </si>
  <si>
    <t>rlpmultilinkwindowsizeiwfms</t>
  </si>
  <si>
    <t>rlpmultilinkwindowsizemsiwf</t>
  </si>
  <si>
    <t>rlpreseqtimert4a</t>
  </si>
  <si>
    <t>rlpreseqtimert4b</t>
  </si>
  <si>
    <t>rlpretranstimert1</t>
  </si>
  <si>
    <t>rlptimert1a</t>
  </si>
  <si>
    <t>rlptimert1b</t>
  </si>
  <si>
    <t>rlpwindowsizeiwfms</t>
  </si>
  <si>
    <t>rlpwindowsizemsiwf</t>
  </si>
  <si>
    <t>routeparamgrpmoref</t>
  </si>
  <si>
    <t>routesetcongesttestflag</t>
  </si>
  <si>
    <t>rtprtcpserviceid</t>
  </si>
  <si>
    <t>signallingpointcode</t>
  </si>
  <si>
    <t>siospare</t>
  </si>
  <si>
    <t>smsnotificationfrom</t>
  </si>
  <si>
    <t>sppriority</t>
  </si>
  <si>
    <t>sptimer</t>
  </si>
  <si>
    <t>startupcontactpoints</t>
  </si>
  <si>
    <t>statusindinterval</t>
  </si>
  <si>
    <t>subrackid</t>
  </si>
  <si>
    <t>subracknumber</t>
  </si>
  <si>
    <t>subrackposition</t>
  </si>
  <si>
    <t>subracktype</t>
  </si>
  <si>
    <t>tdmtermgrpid</t>
  </si>
  <si>
    <t>testpatternsltm</t>
  </si>
  <si>
    <t>tfoserviceid</t>
  </si>
  <si>
    <t>tonedisablerhangovermode</t>
  </si>
  <si>
    <t>tonedisablermode</t>
  </si>
  <si>
    <t>transfrhandler</t>
  </si>
  <si>
    <t>udiasynctransgsmsupport</t>
  </si>
  <si>
    <t>uetraceid</t>
  </si>
  <si>
    <t>user</t>
  </si>
  <si>
    <t>usesgwmgmtmapping</t>
  </si>
  <si>
    <t>vendorid</t>
  </si>
  <si>
    <t>version</t>
  </si>
  <si>
    <t>vmgwid</t>
  </si>
  <si>
    <t>vmidinalarmadditionaltext</t>
  </si>
  <si>
    <t>vpp1moref</t>
  </si>
  <si>
    <t>vpp2moref</t>
  </si>
  <si>
    <t>sysmid</t>
  </si>
  <si>
    <t>swmid</t>
  </si>
  <si>
    <t>swinventoryid</t>
  </si>
  <si>
    <t>subnetmasklength</t>
  </si>
  <si>
    <t>signalingippoolid</t>
  </si>
  <si>
    <t>serversynchronizationinterval</t>
  </si>
  <si>
    <t>secmid</t>
  </si>
  <si>
    <t>sctpprofileid</t>
  </si>
  <si>
    <t>sctpendpointid</t>
  </si>
  <si>
    <t>scscfdomainnameentry</t>
  </si>
  <si>
    <t>sbglistid</t>
  </si>
  <si>
    <t>sacktimer</t>
  </si>
  <si>
    <t>primarypathmaxrtx</t>
  </si>
  <si>
    <t>portnumber</t>
  </si>
  <si>
    <t>pmid</t>
  </si>
  <si>
    <t>pathmaxrtx</t>
  </si>
  <si>
    <t>mtasxdmscai3gInactivitytimeout</t>
  </si>
  <si>
    <t>mtaswsnamedb</t>
  </si>
  <si>
    <t>mtastracedisableehser</t>
  </si>
  <si>
    <t>mtastrace</t>
  </si>
  <si>
    <t>mtassystemconstantsc9</t>
  </si>
  <si>
    <t>mtassystemconstantsc8</t>
  </si>
  <si>
    <t>mtassystemconstantsc7</t>
  </si>
  <si>
    <t>mtassystemconstantsc6</t>
  </si>
  <si>
    <t>mtasSystemConstantSC5</t>
  </si>
  <si>
    <t>mtassystemconstantsc4</t>
  </si>
  <si>
    <t>mtassystemconstantsc3</t>
  </si>
  <si>
    <t>mtassystemconstantsc2</t>
  </si>
  <si>
    <t>mtassystemconstantsc1</t>
  </si>
  <si>
    <t>mtassystemconstantsc</t>
  </si>
  <si>
    <t>mtassystemconstant</t>
  </si>
  <si>
    <t>mtassubsdatavoltecasename</t>
  </si>
  <si>
    <t>mtassubsdataregistrationmode</t>
  </si>
  <si>
    <t>mtassubsdatapinformat</t>
  </si>
  <si>
    <t>mtassubsdatahssoverloadtimer</t>
  </si>
  <si>
    <t>mtassubsdataderegtimer</t>
  </si>
  <si>
    <t>mtassubsdatadefaultregtimer</t>
  </si>
  <si>
    <t>mtassubsdatacachepani</t>
  </si>
  <si>
    <t>mtassubsdatacachecontactdata</t>
  </si>
  <si>
    <t>mtassubsdata</t>
  </si>
  <si>
    <t>mtassiptrafficorigunregipport</t>
  </si>
  <si>
    <t>mtassiptimert2</t>
  </si>
  <si>
    <t>mtassiptimert1</t>
  </si>
  <si>
    <t>mtassiptimerf</t>
  </si>
  <si>
    <t>mtassiptcpconnectiontimeout</t>
  </si>
  <si>
    <t>mtassipsuperviseallsessions</t>
  </si>
  <si>
    <t>mtassipscctermport</t>
  </si>
  <si>
    <t>mtassiprsport</t>
  </si>
  <si>
    <t>mtassippresenceport</t>
  </si>
  <si>
    <t>mtassipicscfname</t>
  </si>
  <si>
    <t>mtassipdisablelargemsgcheck</t>
  </si>
  <si>
    <t>mtassipcalloutOfbluerouting</t>
  </si>
  <si>
    <t>mtassip</t>
  </si>
  <si>
    <t>mtassh</t>
  </si>
  <si>
    <t>mtasservices</t>
  </si>
  <si>
    <t>mtaspx</t>
  </si>
  <si>
    <t>mtascsissfsubsystemnumber</t>
  </si>
  <si>
    <t>mtascsiscfsubsystemnumber</t>
  </si>
  <si>
    <t>mtascsiglobaltitle</t>
  </si>
  <si>
    <t>mtascsiadministrativestate</t>
  </si>
  <si>
    <t>mtascsi</t>
  </si>
  <si>
    <t>mtascommondata</t>
  </si>
  <si>
    <t>mtaschargingxtimer</t>
  </si>
  <si>
    <t>mtaschargingterminatingonline</t>
  </si>
  <si>
    <t>mtaschargingrttiadminState</t>
  </si>
  <si>
    <t>mtaschargingoriginatingonline</t>
  </si>
  <si>
    <t>mtaschargingdefaultcdfaddress</t>
  </si>
  <si>
    <t>mtaschargingdeactivateddests</t>
  </si>
  <si>
    <t>mtaschargingacrstoragemaxtime</t>
  </si>
  <si>
    <t>mtaschargingacrstorage</t>
  </si>
  <si>
    <t>mtaschargingacrbackupfiles</t>
  </si>
  <si>
    <t>mtascharging</t>
  </si>
  <si>
    <t>mrfsipcontrolid</t>
  </si>
  <si>
    <t>mrfresourceid</t>
  </si>
  <si>
    <t>mrfh248controlid</t>
  </si>
  <si>
    <t>mrfconfigurationid</t>
  </si>
  <si>
    <t>minrto</t>
  </si>
  <si>
    <t>mediavlanid</t>
  </si>
  <si>
    <t>maxsctppdusize</t>
  </si>
  <si>
    <t>maxrto</t>
  </si>
  <si>
    <t>maxrnitrt</t>
  </si>
  <si>
    <t>maxburst</t>
  </si>
  <si>
    <t>lockingcode</t>
  </si>
  <si>
    <t>localportnumber</t>
  </si>
  <si>
    <t>localipaddress</t>
  </si>
  <si>
    <t>localfilestorepath</t>
  </si>
  <si>
    <t>lmstate</t>
  </si>
  <si>
    <t>lmid</t>
  </si>
  <si>
    <t>licenseexpirationwarning</t>
  </si>
  <si>
    <t>lastlicenseinventoryrefresh</t>
  </si>
  <si>
    <t>lastinventorychange</t>
  </si>
  <si>
    <t>ippoolstate</t>
  </si>
  <si>
    <t>ippoolrangestart</t>
  </si>
  <si>
    <t>ippoolrangeend</t>
  </si>
  <si>
    <t>ipaddressesinuselist</t>
  </si>
  <si>
    <t>initrto</t>
  </si>
  <si>
    <t>icscftransitenabled</t>
  </si>
  <si>
    <t>icscfnoninvitefailovertimer</t>
  </si>
  <si>
    <t>icscfdomainnameentry</t>
  </si>
  <si>
    <t>icmpmessagedistribution</t>
  </si>
  <si>
    <t>icmpintermittenttolerance</t>
  </si>
  <si>
    <t>icmpintermittencyinterval</t>
  </si>
  <si>
    <t>icmpenabled</t>
  </si>
  <si>
    <t>icmpbarringtime</t>
  </si>
  <si>
    <t>hostid</t>
  </si>
  <si>
    <t>heartbeatinterval</t>
  </si>
  <si>
    <t>gatewayaddress</t>
  </si>
  <si>
    <t>fmid</t>
  </si>
  <si>
    <t>fingerprintupdateable</t>
  </si>
  <si>
    <t>filemid</t>
  </si>
  <si>
    <t>fallbacktimer</t>
  </si>
  <si>
    <t>exportpackagelabelprefix</t>
  </si>
  <si>
    <t>excessivetrafficthreshold</t>
  </si>
  <si>
    <t>enablepathmtudiscovery</t>
  </si>
  <si>
    <t>dscptopbitid</t>
  </si>
  <si>
    <t>dscpsignaling</t>
  </si>
  <si>
    <t>dscpdns</t>
  </si>
  <si>
    <t>dscp63</t>
  </si>
  <si>
    <t>dscp62</t>
  </si>
  <si>
    <t>dscp61</t>
  </si>
  <si>
    <t>dscp60</t>
  </si>
  <si>
    <t>dscp59</t>
  </si>
  <si>
    <t>dscp58</t>
  </si>
  <si>
    <t>dscp57</t>
  </si>
  <si>
    <t>dscp56</t>
  </si>
  <si>
    <t>dscp55</t>
  </si>
  <si>
    <t>dscp54</t>
  </si>
  <si>
    <t>dscp53</t>
  </si>
  <si>
    <t>dscp52</t>
  </si>
  <si>
    <t>dscp51</t>
  </si>
  <si>
    <t>dscp50</t>
  </si>
  <si>
    <t>dscp49</t>
  </si>
  <si>
    <t>dscp48</t>
  </si>
  <si>
    <t>dscp47</t>
  </si>
  <si>
    <t>dscp46</t>
  </si>
  <si>
    <t>dscp45</t>
  </si>
  <si>
    <t>dscp44</t>
  </si>
  <si>
    <t>dscp43</t>
  </si>
  <si>
    <t>dscp42</t>
  </si>
  <si>
    <t>dscp41</t>
  </si>
  <si>
    <t>dscp40</t>
  </si>
  <si>
    <t>dscp39</t>
  </si>
  <si>
    <t>dscp38</t>
  </si>
  <si>
    <t>dscp37</t>
  </si>
  <si>
    <t>dscp36</t>
  </si>
  <si>
    <t>dscp35</t>
  </si>
  <si>
    <t>dscp34</t>
  </si>
  <si>
    <t>dscp33</t>
  </si>
  <si>
    <t>dscp32</t>
  </si>
  <si>
    <t>dscp31</t>
  </si>
  <si>
    <t>dscp30</t>
  </si>
  <si>
    <t>dscp29</t>
  </si>
  <si>
    <t>dscp28</t>
  </si>
  <si>
    <t>dscp27</t>
  </si>
  <si>
    <t>dscp26</t>
  </si>
  <si>
    <t>dscp25</t>
  </si>
  <si>
    <t>dscp24</t>
  </si>
  <si>
    <t>dscp23</t>
  </si>
  <si>
    <t>dscp22</t>
  </si>
  <si>
    <t>dscp21</t>
  </si>
  <si>
    <t>dscp20</t>
  </si>
  <si>
    <t>dscp19</t>
  </si>
  <si>
    <t>dscp18</t>
  </si>
  <si>
    <t>dscp17</t>
  </si>
  <si>
    <t>dscp16</t>
  </si>
  <si>
    <t>dscp15</t>
  </si>
  <si>
    <t>dscp14</t>
  </si>
  <si>
    <t>dscp13</t>
  </si>
  <si>
    <t>dscp12</t>
  </si>
  <si>
    <t>dscp11</t>
  </si>
  <si>
    <t>dscp1</t>
  </si>
  <si>
    <t>dscp09</t>
  </si>
  <si>
    <t>dscp08</t>
  </si>
  <si>
    <t>dscp07</t>
  </si>
  <si>
    <t>dscp06</t>
  </si>
  <si>
    <t>dscp05</t>
  </si>
  <si>
    <t>dscp04</t>
  </si>
  <si>
    <t>dscp03</t>
  </si>
  <si>
    <t>dscp02</t>
  </si>
  <si>
    <t>dscp01</t>
  </si>
  <si>
    <t>dscp00</t>
  </si>
  <si>
    <t>dscp</t>
  </si>
  <si>
    <t>dnsid</t>
  </si>
  <si>
    <t>defaultlanguagecode</t>
  </si>
  <si>
    <t>cscfusagestate</t>
  </si>
  <si>
    <t>cscfunallocatetroutingenabled</t>
  </si>
  <si>
    <t>cscftrustednetwork</t>
  </si>
  <si>
    <t>cscftimert4value</t>
  </si>
  <si>
    <t>cscftimert2value</t>
  </si>
  <si>
    <t>cscftimert1value</t>
  </si>
  <si>
    <t>cscftimerfvalue</t>
  </si>
  <si>
    <t>cscftimerdalue</t>
  </si>
  <si>
    <t>cscftimercvalue</t>
  </si>
  <si>
    <t>cscftimerbvalue</t>
  </si>
  <si>
    <t>cscfsmpauthorization</t>
  </si>
  <si>
    <t>cscfsippmkey</t>
  </si>
  <si>
    <t>cscfsessionrefreshmin</t>
  </si>
  <si>
    <t>cscfsessionrefreshmax</t>
  </si>
  <si>
    <t>cscfsessionrefreshdefault</t>
  </si>
  <si>
    <t>cscfsendrequestudponly</t>
  </si>
  <si>
    <t>cscfscscffailovertimer</t>
  </si>
  <si>
    <t>cscfrequireuserequalphone</t>
  </si>
  <si>
    <t>cscfprovidedefaultcontext</t>
  </si>
  <si>
    <t>cscfphonecontext</t>
  </si>
  <si>
    <t>cscfoverridedefaultcontext</t>
  </si>
  <si>
    <t>cscfonwardroutingenabled</t>
  </si>
  <si>
    <t>cscfispbehavior</t>
  </si>
  <si>
    <t>cscfgaugeinterval</t>
  </si>
  <si>
    <t>cscfforkingtimer</t>
  </si>
  <si>
    <t>cscfextnetselonrnbeforeenum</t>
  </si>
  <si>
    <t>cscfextnetselonenumpstn</t>
  </si>
  <si>
    <t>cscfenumtopdomain</t>
  </si>
  <si>
    <t>cscfdomainroutingsyncstate</t>
  </si>
  <si>
    <t>cscfdomainroutingSyncconfig</t>
  </si>
  <si>
    <t>cscfdomainroutingenabled</t>
  </si>
  <si>
    <t>cscfdomainroutingactiveconfig</t>
  </si>
  <si>
    <t>cscfdomainalias</t>
  </si>
  <si>
    <t>cscfdatabasesweepertime</t>
  </si>
  <si>
    <t>cscfcxoriginrealm</t>
  </si>
  <si>
    <t>cscfcxoriginhost</t>
  </si>
  <si>
    <t>cscfcxdestinationrealm</t>
  </si>
  <si>
    <t>cscfcxdestinationhost</t>
  </si>
  <si>
    <t>cscfcicroutingenabled</t>
  </si>
  <si>
    <t>cscfakaalgorithmentry</t>
  </si>
  <si>
    <t>cscfadministrativestate</t>
  </si>
  <si>
    <t>cscfactiveusermethod</t>
  </si>
  <si>
    <t>cookielife</t>
  </si>
  <si>
    <t>capacityalarmthreshold</t>
  </si>
  <si>
    <t>capacityalarmhysteresis</t>
  </si>
  <si>
    <t>brmid</t>
  </si>
  <si>
    <t>bgftrafficsupervisionid</t>
  </si>
  <si>
    <t>bgfresourceid</t>
  </si>
  <si>
    <t>bgfnetworksid</t>
  </si>
  <si>
    <t>betaindex</t>
  </si>
  <si>
    <t>bcfoperationalstate</t>
  </si>
  <si>
    <t>bcfenabled</t>
  </si>
  <si>
    <t>bcfdomainnameentry</t>
  </si>
  <si>
    <t>assocmaxrtx</t>
  </si>
  <si>
    <t>announcementsid</t>
  </si>
  <si>
    <t>alphaindex</t>
  </si>
  <si>
    <t>administrativestate</t>
  </si>
  <si>
    <t>actioncapable</t>
  </si>
  <si>
    <t>etworkelement</t>
  </si>
  <si>
    <t>mtasfunctionmaxnumberOfsessions</t>
  </si>
  <si>
    <t>configuration</t>
  </si>
  <si>
    <t>column_value&gt;50</t>
  </si>
  <si>
    <t>db_column&gt;30</t>
  </si>
  <si>
    <t>sub_tag&gt;30</t>
  </si>
  <si>
    <t>Db_Size</t>
  </si>
  <si>
    <t>db_column_name</t>
  </si>
  <si>
    <t>db_table_name</t>
  </si>
  <si>
    <t>skip_tag</t>
  </si>
  <si>
    <t>sub_tag name</t>
  </si>
  <si>
    <t>tag_name</t>
  </si>
  <si>
    <t>S.No</t>
  </si>
  <si>
    <t>Config</t>
  </si>
  <si>
    <t>Skip</t>
  </si>
  <si>
    <t>hss_esmnodeidentity</t>
  </si>
  <si>
    <t>hss_extdbconfiglogactive</t>
  </si>
  <si>
    <t>hss_administrativestate</t>
  </si>
  <si>
    <t>hss_commonfeaturenodeidentity</t>
  </si>
  <si>
    <t>hss_erewildcardsupport</t>
  </si>
  <si>
    <t>hss_extdbconfigrootdnlist</t>
  </si>
  <si>
    <t>hss_extdbconfigurllist</t>
  </si>
  <si>
    <t>hss_extdbmaxconcurrentclients</t>
  </si>
  <si>
    <t>hss_extdburlpasswordlist</t>
  </si>
  <si>
    <t>hss_isdatacacheused</t>
  </si>
  <si>
    <t>hss_nodeidentity</t>
  </si>
  <si>
    <t>hss_smnodeidentity</t>
  </si>
  <si>
    <t>mtasscaltimebasedscalenabled</t>
  </si>
  <si>
    <t>mpv_logstatus</t>
  </si>
  <si>
    <t>rad_logstatus</t>
  </si>
  <si>
    <t>mtassipsuportpserveduserheader</t>
  </si>
  <si>
    <t>mtaschargccrstoragemaxnoofccr</t>
  </si>
  <si>
    <t>mtasxdmscai3girsdeftimpuusage</t>
  </si>
  <si>
    <t>mtaschargccrstoragemaxfilesize</t>
  </si>
  <si>
    <t>mtassipofferanswerexchangectrl</t>
  </si>
  <si>
    <t>mtassubsdtadisblenotifirsupdte</t>
  </si>
  <si>
    <t>mtastraceehprintreasonsubsid</t>
  </si>
  <si>
    <t>mtassipadditionalinfoinnegresp</t>
  </si>
  <si>
    <t>mtassipsdpinsesionrefreshresp</t>
  </si>
  <si>
    <t>mtaschargccrstormaxtimeperfile</t>
  </si>
  <si>
    <t>mtassubsdtammteldvicefilexclde</t>
  </si>
  <si>
    <t>mtassubsdtamteldvicefiltinclde</t>
  </si>
  <si>
    <t>mtastrcehprintresonsipresonhed</t>
  </si>
  <si>
    <t>noofattmpofassociationestablsh</t>
  </si>
  <si>
    <t>mtastrcehprintreasonsipwarnhed</t>
  </si>
  <si>
    <t>mtassubsdtasccinitselctawarnes</t>
  </si>
  <si>
    <t>mtasxdmscallidnumnormtranslat</t>
  </si>
  <si>
    <t>mtassipenblsesionreferlyupdte</t>
  </si>
  <si>
    <t>mtassipremsuportedhedineresp</t>
  </si>
  <si>
    <t>mtaschargmrfusrinputerhandlprf</t>
  </si>
  <si>
    <t>mtasipremreferparaminerlyupdte</t>
  </si>
  <si>
    <t>mtasiptermioncnclndanscrsovr</t>
  </si>
  <si>
    <t>mtasipchngreferoleininvndupdte</t>
  </si>
  <si>
    <t>mtassipsesrefnegoinerlyupdte</t>
  </si>
  <si>
    <t>mtastrcehprtresonsiprdndercode</t>
  </si>
  <si>
    <t>mtaschargsubscrednotifmrfoffer</t>
  </si>
  <si>
    <t>mtaschargsubsccrednotifvddir</t>
  </si>
  <si>
    <t>mtaschrgsubcrnotifoferestmdtrg</t>
  </si>
  <si>
    <t>imstreamerlabel</t>
  </si>
  <si>
    <t>piubackupidentity</t>
  </si>
  <si>
    <t>imstreamerid</t>
  </si>
  <si>
    <t>piuidentity</t>
  </si>
  <si>
    <t>lapdrpumoref</t>
  </si>
  <si>
    <t>lapdid</t>
  </si>
  <si>
    <t>vid</t>
  </si>
  <si>
    <t>vlantype</t>
  </si>
  <si>
    <t>vlanid</t>
  </si>
  <si>
    <t>otherloadername</t>
  </si>
  <si>
    <t>deviceloadername</t>
  </si>
  <si>
    <t>loadmoduleid</t>
  </si>
  <si>
    <t>issignedsw</t>
  </si>
  <si>
    <t>productdata</t>
  </si>
  <si>
    <t>loadmodulefilepath</t>
  </si>
  <si>
    <t>programmustbesingleton</t>
  </si>
  <si>
    <t>moppletentries</t>
  </si>
  <si>
    <t>deviceloaderinformation</t>
  </si>
  <si>
    <t>filestate</t>
  </si>
  <si>
    <t>oseprogramloadclass</t>
  </si>
  <si>
    <t>reliableprogramlabel</t>
  </si>
  <si>
    <t>oseprogramheapsize</t>
  </si>
  <si>
    <t>preload</t>
  </si>
  <si>
    <t>loadertype</t>
  </si>
  <si>
    <t>isdirectory</t>
  </si>
  <si>
    <t>fileformat</t>
  </si>
  <si>
    <t>oseprogrampoolsiz</t>
  </si>
  <si>
    <t>ucfchecksum</t>
  </si>
  <si>
    <t>origucfchecksum</t>
  </si>
  <si>
    <t>upfilepathonftpserver</t>
  </si>
  <si>
    <t>replication</t>
  </si>
  <si>
    <t>admactiveslot</t>
  </si>
  <si>
    <t>switchover</t>
  </si>
  <si>
    <t>normalisation</t>
  </si>
  <si>
    <t>admpassiveslot</t>
  </si>
  <si>
    <t>reliableprogramuniterid</t>
  </si>
  <si>
    <t>swallocationid</t>
  </si>
  <si>
    <t>role</t>
  </si>
  <si>
    <t>slotlist</t>
  </si>
  <si>
    <t>repertoirelist</t>
  </si>
  <si>
    <t>repertoireid</t>
  </si>
  <si>
    <t>boardwidth</t>
  </si>
  <si>
    <t>defallowedseqrestarts</t>
  </si>
  <si>
    <t>lmfilesinstallstate</t>
  </si>
  <si>
    <t>piutypeid</t>
  </si>
  <si>
    <t>qoshigherthreshold</t>
  </si>
  <si>
    <t>qoslowerthreshold</t>
  </si>
  <si>
    <t>msdevicepoolid</t>
  </si>
  <si>
    <t>idlelevelhigherthreshold</t>
  </si>
  <si>
    <t>capacitylevelreservedforprioritycalls</t>
  </si>
  <si>
    <t>idlelevellowerthreshold</t>
  </si>
  <si>
    <t>capcitylvlrsrvdforprioritycall</t>
  </si>
  <si>
    <t>opusserviceid</t>
  </si>
  <si>
    <t>mpcserviceid</t>
  </si>
  <si>
    <t>comfortnoiselevel</t>
  </si>
  <si>
    <t>dbrule</t>
  </si>
  <si>
    <t>transparentmode</t>
  </si>
  <si>
    <t>comfortnoise</t>
  </si>
  <si>
    <t>continuitycheckserviceid</t>
  </si>
  <si>
    <t>maxadmittedpause</t>
  </si>
  <si>
    <t>waitackentime</t>
  </si>
  <si>
    <t>mintonetime</t>
  </si>
  <si>
    <t>maintime</t>
  </si>
  <si>
    <t>initialdelay</t>
  </si>
  <si>
    <t>endmaintime</t>
  </si>
  <si>
    <t>g722serviceid</t>
  </si>
  <si>
    <t xml:space="preserve">initdejitterbuffersizeatmran </t>
  </si>
  <si>
    <t>tonesenderserviceid</t>
  </si>
  <si>
    <t>initialdejitterbuffersizeatmran</t>
  </si>
  <si>
    <t>csdmodemserviceid</t>
  </si>
  <si>
    <t>v25callingtoneenabled</t>
  </si>
  <si>
    <t>nocarriertimer</t>
  </si>
  <si>
    <t>modemtransmitlevel</t>
  </si>
  <si>
    <t>receivethresholdlevel</t>
  </si>
  <si>
    <t>t30errorcorrectionmode</t>
  </si>
  <si>
    <t>t38faxserviceid</t>
  </si>
  <si>
    <t>licensestatet38fax</t>
  </si>
  <si>
    <t>featurestateasc</t>
  </si>
  <si>
    <t>ascserviceid</t>
  </si>
  <si>
    <t>licensestateasc</t>
  </si>
  <si>
    <t>csdgsmfhserviceid</t>
  </si>
  <si>
    <t>gsmv110synchframes</t>
  </si>
  <si>
    <t>gsmv110synchtimer</t>
  </si>
  <si>
    <t>noofatrausynchframes</t>
  </si>
  <si>
    <t>gsmv110resynchtimer</t>
  </si>
  <si>
    <t>tinit</t>
  </si>
  <si>
    <t>ninit</t>
  </si>
  <si>
    <t>upfhserviceid</t>
  </si>
  <si>
    <t>trc</t>
  </si>
  <si>
    <t>nrc</t>
  </si>
  <si>
    <t>dsploadlowthreshold</t>
  </si>
  <si>
    <t>evsserviceid</t>
  </si>
  <si>
    <t>dsploadhighthreshold</t>
  </si>
  <si>
    <t>vbdserviceid</t>
  </si>
  <si>
    <t>detectionfilterlist</t>
  </si>
  <si>
    <t>expediteansdetection</t>
  </si>
  <si>
    <t>licensestatevbdgw</t>
  </si>
  <si>
    <t>amrwbserviceid</t>
  </si>
  <si>
    <t>ipetserviceid</t>
  </si>
  <si>
    <t>mobilecrosstalkcontrolmode</t>
  </si>
  <si>
    <t>mcctdmmode</t>
  </si>
  <si>
    <t>mccserviceid</t>
  </si>
  <si>
    <t>mccaoipmode</t>
  </si>
  <si>
    <t>mcciumode</t>
  </si>
  <si>
    <t>subrackprodtypeid</t>
  </si>
  <si>
    <t>fanconfiguration</t>
  </si>
  <si>
    <t>boardpositions</t>
  </si>
  <si>
    <t>maxpowerdissipation</t>
  </si>
  <si>
    <t>defnumberofslots</t>
  </si>
  <si>
    <t>transmissiontype</t>
  </si>
  <si>
    <t>bgfmediaqualitymonitoringid</t>
  </si>
  <si>
    <t>switchoveronethlinkqosdegr</t>
  </si>
  <si>
    <t>malicioustrafficthreshold</t>
  </si>
  <si>
    <t>excessivetrafficlogging</t>
  </si>
  <si>
    <t>crcerrorthreshold</t>
  </si>
  <si>
    <t>malicioustrafficlogging</t>
  </si>
  <si>
    <t>switchoveronnexthopfault</t>
  </si>
  <si>
    <t>addrcollsolvedthreshold</t>
  </si>
  <si>
    <t>nexthopslowsupervisiontimer</t>
  </si>
  <si>
    <t>addrcollsupervisiontimer</t>
  </si>
  <si>
    <t>bgfnetworksupervisionid</t>
  </si>
  <si>
    <t>nexthopreachablethreshold</t>
  </si>
  <si>
    <t>nexthopfastsupervisiontimer</t>
  </si>
  <si>
    <t>nexthopdownsupervisiontimer</t>
  </si>
  <si>
    <t>dscptopbit</t>
  </si>
  <si>
    <t>bgfdscptopbitid</t>
  </si>
  <si>
    <t>efrserviceid</t>
  </si>
  <si>
    <t>profiledata</t>
  </si>
  <si>
    <t>tsack</t>
  </si>
  <si>
    <t>maxincomingstream</t>
  </si>
  <si>
    <t>heartbeatmaxburst</t>
  </si>
  <si>
    <t>potentiallyfailedmaxrtx</t>
  </si>
  <si>
    <t>mbuffer</t>
  </si>
  <si>
    <t>npercentage</t>
  </si>
  <si>
    <t>bundlingtimer</t>
  </si>
  <si>
    <t>minimumrto</t>
  </si>
  <si>
    <t>allowedincrementcookielife</t>
  </si>
  <si>
    <t>maxshutdownrtratt</t>
  </si>
  <si>
    <t>validcookielife</t>
  </si>
  <si>
    <t>initialadrecwin</t>
  </si>
  <si>
    <t>maxoutgoingstream</t>
  </si>
  <si>
    <t>numberofassociations</t>
  </si>
  <si>
    <t>initialrto</t>
  </si>
  <si>
    <t>pathselection</t>
  </si>
  <si>
    <t>bundlingactivated</t>
  </si>
  <si>
    <t>switchbackminthreshold</t>
  </si>
  <si>
    <t>switchbackmaxthreshold</t>
  </si>
  <si>
    <t>sctpid</t>
  </si>
  <si>
    <t>keychangeperiod</t>
  </si>
  <si>
    <t>rtoalphaindex</t>
  </si>
  <si>
    <t>maxuserdatasize</t>
  </si>
  <si>
    <t>heartbeatstatus</t>
  </si>
  <si>
    <t>rtobetaindex</t>
  </si>
  <si>
    <t>maxinitialrtratt</t>
  </si>
  <si>
    <t>heartbeatpathprobinginterval</t>
  </si>
  <si>
    <t>sctpassocdeletetimeout</t>
  </si>
  <si>
    <t>prioritydatadscpservice</t>
  </si>
  <si>
    <t>intervaloobpkts</t>
  </si>
  <si>
    <t>associationmaxrtx</t>
  </si>
  <si>
    <t>switchbackmode</t>
  </si>
  <si>
    <t>maximumrto</t>
  </si>
  <si>
    <t>nthreshold</t>
  </si>
  <si>
    <t>pvaluelimit</t>
  </si>
  <si>
    <t>dmaxlimit</t>
  </si>
  <si>
    <t>consecutiveidenticalresults</t>
  </si>
  <si>
    <t>upsenabled</t>
  </si>
  <si>
    <t>userplanesupervisionid</t>
  </si>
  <si>
    <t>corbasecurityactive</t>
  </si>
  <si>
    <t>crlearlyupdateinterval</t>
  </si>
  <si>
    <t>targetmonitorportactive</t>
  </si>
  <si>
    <t>localaadatabaseinstallationfailure</t>
  </si>
  <si>
    <t>debugportsactive</t>
  </si>
  <si>
    <t>webserver</t>
  </si>
  <si>
    <t>targetmonitorport</t>
  </si>
  <si>
    <t>logindelay</t>
  </si>
  <si>
    <t>operationalsecuritylevel</t>
  </si>
  <si>
    <t>localauthenticationfileversion</t>
  </si>
  <si>
    <t>nooffailedloginattempts</t>
  </si>
  <si>
    <t>trustedcertificateinstallationfailure</t>
  </si>
  <si>
    <t>certexpirwarntime</t>
  </si>
  <si>
    <t>requestedsecuritylevel</t>
  </si>
  <si>
    <t>failedloginattemptperiod</t>
  </si>
  <si>
    <t>authorizationcachetimeout</t>
  </si>
  <si>
    <t>userlockoutperiod</t>
  </si>
  <si>
    <t>filetransferclientmode</t>
  </si>
  <si>
    <t>localauthorizationfileversion</t>
  </si>
  <si>
    <t>autoupdatecertenrollmentserver</t>
  </si>
  <si>
    <t>telnetandftpserversactive</t>
  </si>
  <si>
    <t>installedtrustedcertificates</t>
  </si>
  <si>
    <t>aaserveripaddresslist</t>
  </si>
  <si>
    <t>securityid</t>
  </si>
  <si>
    <t>certrevstatuscheck</t>
  </si>
  <si>
    <t>performancedatavolume</t>
  </si>
  <si>
    <t>maxnoofcounters</t>
  </si>
  <si>
    <t>warningalarmlimitpercent</t>
  </si>
  <si>
    <t>minoralarmceasingdelta</t>
  </si>
  <si>
    <t>transactiontimeout</t>
  </si>
  <si>
    <t>maxnoofpmfiles</t>
  </si>
  <si>
    <t>warningalarmceasingdelta</t>
  </si>
  <si>
    <t>pmserviceid</t>
  </si>
  <si>
    <t>maxnoofmonitors</t>
  </si>
  <si>
    <t>agentipaddress</t>
  </si>
  <si>
    <t>snmpid</t>
  </si>
  <si>
    <t>agentport</t>
  </si>
  <si>
    <t>minimumsnmpversion</t>
  </si>
  <si>
    <t>logserviceid</t>
  </si>
  <si>
    <t>filefetcherid</t>
  </si>
  <si>
    <t>httpgetsupervisiontimer</t>
  </si>
  <si>
    <t>performancesupervisionid</t>
  </si>
  <si>
    <t>status</t>
  </si>
  <si>
    <t>numberofcounterinstances</t>
  </si>
  <si>
    <t>performanceindicatorid</t>
  </si>
  <si>
    <t>scheduleinfo</t>
  </si>
  <si>
    <t>executiontype</t>
  </si>
  <si>
    <t>systemcheckid</t>
  </si>
  <si>
    <t>checkresult</t>
  </si>
  <si>
    <t>gpstoutcleapsecondschangedate</t>
  </si>
  <si>
    <t>gpstoutcleapseconds</t>
  </si>
  <si>
    <t>daylightsavingtimeendrule</t>
  </si>
  <si>
    <t>timesettingid</t>
  </si>
  <si>
    <t>daylightsavingtimeon</t>
  </si>
  <si>
    <t>timeoffset</t>
  </si>
  <si>
    <t>daylightsavingtimeoffset</t>
  </si>
  <si>
    <t>daylightsavingtimestartrule</t>
  </si>
  <si>
    <t>dcgstate</t>
  </si>
  <si>
    <t>datacollectiongenerationid</t>
  </si>
  <si>
    <t>pushpmfunctionid</t>
  </si>
  <si>
    <t>integrationunlockstateinfo</t>
  </si>
  <si>
    <t>lastlicensingpichange</t>
  </si>
  <si>
    <t>licensingid</t>
  </si>
  <si>
    <t>emergencystateinfo</t>
  </si>
  <si>
    <t>ds0bundlemorefa</t>
  </si>
  <si>
    <t>ds0bundlemorefb</t>
  </si>
  <si>
    <t>tdmcrossconnectionid</t>
  </si>
  <si>
    <t>chid</t>
  </si>
  <si>
    <t>chrpumoref</t>
  </si>
  <si>
    <t>bgfsmsrpsupportedtlsversions</t>
  </si>
  <si>
    <t>userplanesecurityid</t>
  </si>
  <si>
    <t>nodecertificates</t>
  </si>
  <si>
    <t>mescrpumoref</t>
  </si>
  <si>
    <t>mescid</t>
  </si>
  <si>
    <t>localconnsupthreshold</t>
  </si>
  <si>
    <t>ipconnectivitysupervisionid</t>
  </si>
  <si>
    <t>featurestateipconnsup</t>
  </si>
  <si>
    <t>remoteipconnconsfailures</t>
  </si>
  <si>
    <t>remoteipconnsupactive</t>
  </si>
  <si>
    <t>localipconnsupactive</t>
  </si>
  <si>
    <t>remotesitesuptrafficreduction</t>
  </si>
  <si>
    <t>remotesitetrafflevactive</t>
  </si>
  <si>
    <t>licensestateipconnsup</t>
  </si>
  <si>
    <t>webserverid</t>
  </si>
  <si>
    <t>ncliid</t>
  </si>
  <si>
    <t>Lenth</t>
  </si>
  <si>
    <t>localaadbinstallationfailure</t>
  </si>
  <si>
    <t>trustedcertificateinstallfail</t>
  </si>
  <si>
    <t>userauthenticationandauth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</si>
</sst>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49" fontId="0" fillId="0" borderId="0" xfId="0" applyNumberFormat="1"/>
    <xf numFmtId="0" fontId="0" fillId="4" borderId="0" xfId="0" applyFill="1"/>
    <xf numFmtId="0" fontId="0" fillId="2" borderId="2" xfId="0" applyFill="1" applyBorder="1"/>
    <xf numFmtId="0" fontId="2" fillId="0" borderId="0" xfId="0" applyFont="1"/>
    <xf numFmtId="0" fontId="0" fillId="0" borderId="0" xfId="0" quotePrefix="1"/>
    <xf numFmtId="0" fontId="3" fillId="0" borderId="0" xfId="0" applyFont="1" applyAlignment="1">
      <alignment vertical="center"/>
    </xf>
    <xf numFmtId="0" fontId="4" fillId="7" borderId="1" xfId="0" applyFont="1" applyFill="1" applyBorder="1"/>
    <xf numFmtId="0" fontId="4" fillId="7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262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89AE4-D86F-4916-86C2-B4130403FF05}">
  <dimension ref="A4:B9"/>
  <sheetViews>
    <sheetView workbookViewId="0">
      <selection activeCell="S27" sqref="S27"/>
    </sheetView>
  </sheetViews>
  <sheetFormatPr defaultRowHeight="14.4" x14ac:dyDescent="0.3"/>
  <cols>
    <col min="2" max="2" width="135.109375" bestFit="1" customWidth="1"/>
  </cols>
  <sheetData>
    <row r="4" spans="1:2" x14ac:dyDescent="0.3">
      <c r="A4">
        <v>1</v>
      </c>
      <c r="B4" t="s">
        <v>134</v>
      </c>
    </row>
    <row r="5" spans="1:2" x14ac:dyDescent="0.3">
      <c r="A5">
        <v>2</v>
      </c>
      <c r="B5" t="s">
        <v>139</v>
      </c>
    </row>
    <row r="6" spans="1:2" x14ac:dyDescent="0.3">
      <c r="A6">
        <v>3</v>
      </c>
      <c r="B6" t="s">
        <v>138</v>
      </c>
    </row>
    <row r="7" spans="1:2" x14ac:dyDescent="0.3">
      <c r="A7">
        <v>4</v>
      </c>
      <c r="B7" t="s">
        <v>135</v>
      </c>
    </row>
    <row r="8" spans="1:2" x14ac:dyDescent="0.3">
      <c r="A8">
        <v>5</v>
      </c>
      <c r="B8" t="s">
        <v>136</v>
      </c>
    </row>
    <row r="9" spans="1:2" x14ac:dyDescent="0.3">
      <c r="A9">
        <v>6</v>
      </c>
      <c r="B9" t="s">
        <v>137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1FE8-A4E7-48CB-9A75-AB93250B185E}">
  <dimension ref="A1:D9"/>
  <sheetViews>
    <sheetView workbookViewId="0">
      <selection activeCell="S27" sqref="S27"/>
    </sheetView>
  </sheetViews>
  <sheetFormatPr defaultRowHeight="14.4" x14ac:dyDescent="0.3"/>
  <cols>
    <col min="1" max="1" width="21.6640625" bestFit="1" customWidth="1"/>
    <col min="2" max="2" width="13.6640625" bestFit="1" customWidth="1"/>
    <col min="3" max="3" width="13.109375" bestFit="1" customWidth="1"/>
    <col min="4" max="4" width="25.33203125" bestFit="1" customWidth="1"/>
  </cols>
  <sheetData>
    <row r="1" spans="1:4" x14ac:dyDescent="0.3">
      <c r="A1" s="1" t="s">
        <v>122</v>
      </c>
      <c r="B1" s="1" t="s">
        <v>123</v>
      </c>
      <c r="C1" s="1" t="s">
        <v>132</v>
      </c>
      <c r="D1" s="1" t="s">
        <v>133</v>
      </c>
    </row>
    <row r="2" spans="1:4" x14ac:dyDescent="0.3">
      <c r="A2" s="2" t="s">
        <v>124</v>
      </c>
      <c r="B2" s="2" t="s">
        <v>0</v>
      </c>
      <c r="C2" s="2"/>
      <c r="D2" s="2"/>
    </row>
    <row r="3" spans="1:4" x14ac:dyDescent="0.3">
      <c r="A3" s="2" t="s">
        <v>125</v>
      </c>
      <c r="B3" s="2" t="s">
        <v>28</v>
      </c>
      <c r="C3" s="2" t="s">
        <v>0</v>
      </c>
      <c r="D3" s="2" t="s">
        <v>124</v>
      </c>
    </row>
    <row r="4" spans="1:4" x14ac:dyDescent="0.3">
      <c r="A4" s="2" t="s">
        <v>128</v>
      </c>
      <c r="B4" s="2" t="s">
        <v>31</v>
      </c>
      <c r="C4" s="2" t="s">
        <v>28</v>
      </c>
      <c r="D4" s="2" t="s">
        <v>127</v>
      </c>
    </row>
    <row r="5" spans="1:4" x14ac:dyDescent="0.3">
      <c r="A5" s="2" t="s">
        <v>126</v>
      </c>
      <c r="B5" s="2" t="s">
        <v>29</v>
      </c>
      <c r="C5" s="2" t="s">
        <v>0</v>
      </c>
      <c r="D5" s="2" t="s">
        <v>124</v>
      </c>
    </row>
    <row r="6" spans="1:4" x14ac:dyDescent="0.3">
      <c r="A6" s="2" t="s">
        <v>127</v>
      </c>
      <c r="B6" s="2" t="s">
        <v>30</v>
      </c>
      <c r="C6" s="2" t="s">
        <v>0</v>
      </c>
      <c r="D6" s="2" t="s">
        <v>124</v>
      </c>
    </row>
    <row r="7" spans="1:4" x14ac:dyDescent="0.3">
      <c r="A7" s="2" t="s">
        <v>129</v>
      </c>
      <c r="B7" s="2" t="s">
        <v>32</v>
      </c>
      <c r="C7" s="2" t="s">
        <v>30</v>
      </c>
      <c r="D7" s="2"/>
    </row>
    <row r="8" spans="1:4" x14ac:dyDescent="0.3">
      <c r="A8" s="2" t="s">
        <v>130</v>
      </c>
      <c r="B8" s="2" t="s">
        <v>33</v>
      </c>
      <c r="C8" s="2" t="s">
        <v>32</v>
      </c>
      <c r="D8" s="2" t="s">
        <v>129</v>
      </c>
    </row>
    <row r="9" spans="1:4" x14ac:dyDescent="0.3">
      <c r="A9" s="2" t="s">
        <v>131</v>
      </c>
      <c r="B9" s="2" t="s">
        <v>140</v>
      </c>
      <c r="C9" s="2" t="s">
        <v>0</v>
      </c>
      <c r="D9" s="2" t="s">
        <v>124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workbookViewId="0">
      <selection activeCell="S27" sqref="S27"/>
    </sheetView>
  </sheetViews>
  <sheetFormatPr defaultRowHeight="14.4" x14ac:dyDescent="0.3"/>
  <cols>
    <col min="1" max="1" width="28.5546875" customWidth="1"/>
    <col min="2" max="2" width="9.88671875" customWidth="1"/>
    <col min="3" max="3" width="12.554687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0</v>
      </c>
      <c r="B2" s="3" t="s">
        <v>116</v>
      </c>
      <c r="C2" s="3">
        <v>20</v>
      </c>
      <c r="D2" t="s">
        <v>120</v>
      </c>
    </row>
    <row r="3" spans="1:4" x14ac:dyDescent="0.3">
      <c r="A3" s="2" t="s">
        <v>6</v>
      </c>
      <c r="B3" s="2" t="s">
        <v>2</v>
      </c>
      <c r="C3" s="2">
        <v>50</v>
      </c>
    </row>
    <row r="4" spans="1:4" x14ac:dyDescent="0.3">
      <c r="A4" s="2" t="s">
        <v>5</v>
      </c>
      <c r="B4" s="2" t="s">
        <v>2</v>
      </c>
      <c r="C4" s="2">
        <v>50</v>
      </c>
    </row>
    <row r="5" spans="1:4" x14ac:dyDescent="0.3">
      <c r="A5" s="2" t="s">
        <v>3</v>
      </c>
      <c r="B5" s="2" t="s">
        <v>2</v>
      </c>
      <c r="C5" s="2">
        <v>50</v>
      </c>
    </row>
    <row r="6" spans="1:4" x14ac:dyDescent="0.3">
      <c r="A6" s="2" t="s">
        <v>1</v>
      </c>
      <c r="B6" s="2" t="s">
        <v>2</v>
      </c>
      <c r="C6" s="2">
        <v>50</v>
      </c>
    </row>
    <row r="7" spans="1:4" x14ac:dyDescent="0.3">
      <c r="A7" s="2" t="s">
        <v>4</v>
      </c>
      <c r="B7" s="2" t="s">
        <v>2</v>
      </c>
      <c r="C7" s="2">
        <v>50</v>
      </c>
    </row>
    <row r="8" spans="1:4" x14ac:dyDescent="0.3">
      <c r="A8" s="2" t="s">
        <v>7</v>
      </c>
      <c r="B8" s="2" t="s">
        <v>2</v>
      </c>
      <c r="C8" s="2">
        <v>50</v>
      </c>
    </row>
    <row r="9" spans="1:4" x14ac:dyDescent="0.3">
      <c r="A9" s="2" t="s">
        <v>8</v>
      </c>
      <c r="B9" s="2" t="s">
        <v>2</v>
      </c>
      <c r="C9" s="2">
        <v>50</v>
      </c>
    </row>
    <row r="10" spans="1:4" x14ac:dyDescent="0.3">
      <c r="A10" s="2" t="s">
        <v>9</v>
      </c>
      <c r="B10" s="2" t="s">
        <v>2</v>
      </c>
      <c r="C10" s="2">
        <v>50</v>
      </c>
    </row>
    <row r="11" spans="1:4" x14ac:dyDescent="0.3">
      <c r="A11" s="2" t="s">
        <v>10</v>
      </c>
      <c r="B11" s="2" t="s">
        <v>2</v>
      </c>
      <c r="C11" s="2">
        <v>50</v>
      </c>
    </row>
    <row r="12" spans="1:4" x14ac:dyDescent="0.3">
      <c r="A12" s="2" t="s">
        <v>11</v>
      </c>
      <c r="B12" s="2" t="s">
        <v>2</v>
      </c>
      <c r="C12" s="2">
        <v>50</v>
      </c>
    </row>
    <row r="13" spans="1:4" x14ac:dyDescent="0.3">
      <c r="A13" s="2" t="s">
        <v>12</v>
      </c>
      <c r="B13" s="2" t="s">
        <v>2</v>
      </c>
      <c r="C13" s="2">
        <v>50</v>
      </c>
    </row>
    <row r="14" spans="1:4" x14ac:dyDescent="0.3">
      <c r="A14" s="2" t="s">
        <v>13</v>
      </c>
      <c r="B14" s="2" t="s">
        <v>2</v>
      </c>
      <c r="C14" s="2">
        <v>50</v>
      </c>
    </row>
    <row r="15" spans="1:4" x14ac:dyDescent="0.3">
      <c r="A15" s="2" t="s">
        <v>14</v>
      </c>
      <c r="B15" s="2" t="s">
        <v>2</v>
      </c>
      <c r="C15" s="2">
        <v>50</v>
      </c>
    </row>
    <row r="16" spans="1:4" x14ac:dyDescent="0.3">
      <c r="A16" s="2" t="s">
        <v>15</v>
      </c>
      <c r="B16" s="2" t="s">
        <v>2</v>
      </c>
      <c r="C16" s="2">
        <v>50</v>
      </c>
    </row>
    <row r="17" spans="1:4" x14ac:dyDescent="0.3">
      <c r="A17" s="2" t="s">
        <v>16</v>
      </c>
      <c r="B17" s="2" t="s">
        <v>2</v>
      </c>
      <c r="C17" s="2">
        <v>50</v>
      </c>
    </row>
    <row r="18" spans="1:4" x14ac:dyDescent="0.3">
      <c r="A18" s="2" t="s">
        <v>17</v>
      </c>
      <c r="B18" s="2" t="s">
        <v>2</v>
      </c>
      <c r="C18" s="2">
        <v>50</v>
      </c>
    </row>
    <row r="19" spans="1:4" x14ac:dyDescent="0.3">
      <c r="A19" s="2" t="s">
        <v>18</v>
      </c>
      <c r="B19" s="2" t="s">
        <v>2</v>
      </c>
      <c r="C19" s="2">
        <v>50</v>
      </c>
    </row>
    <row r="20" spans="1:4" x14ac:dyDescent="0.3">
      <c r="A20" s="2" t="s">
        <v>19</v>
      </c>
      <c r="B20" s="2" t="s">
        <v>2</v>
      </c>
      <c r="C20" s="2">
        <v>50</v>
      </c>
    </row>
    <row r="21" spans="1:4" x14ac:dyDescent="0.3">
      <c r="A21" s="2" t="s">
        <v>20</v>
      </c>
      <c r="B21" s="2" t="s">
        <v>2</v>
      </c>
      <c r="C21" s="2">
        <v>50</v>
      </c>
    </row>
    <row r="22" spans="1:4" x14ac:dyDescent="0.3">
      <c r="A22" s="2" t="s">
        <v>21</v>
      </c>
      <c r="B22" s="2" t="s">
        <v>2</v>
      </c>
      <c r="C22" s="2">
        <v>50</v>
      </c>
    </row>
    <row r="23" spans="1:4" x14ac:dyDescent="0.3">
      <c r="A23" s="2" t="s">
        <v>22</v>
      </c>
      <c r="B23" s="2" t="s">
        <v>2</v>
      </c>
      <c r="C23" s="2">
        <v>50</v>
      </c>
    </row>
    <row r="24" spans="1:4" x14ac:dyDescent="0.3">
      <c r="A24" s="4" t="s">
        <v>142</v>
      </c>
      <c r="B24" s="4" t="s">
        <v>25</v>
      </c>
      <c r="C24" s="4"/>
      <c r="D24" t="s">
        <v>424</v>
      </c>
    </row>
    <row r="25" spans="1:4" x14ac:dyDescent="0.3">
      <c r="A25" s="4" t="s">
        <v>23</v>
      </c>
      <c r="B25" s="4" t="s">
        <v>2</v>
      </c>
      <c r="C25" s="4">
        <v>50</v>
      </c>
    </row>
    <row r="26" spans="1:4" x14ac:dyDescent="0.3">
      <c r="A26" s="4" t="s">
        <v>24</v>
      </c>
      <c r="B26" s="4" t="s">
        <v>25</v>
      </c>
      <c r="C26" s="4"/>
    </row>
    <row r="27" spans="1:4" x14ac:dyDescent="0.3">
      <c r="A27" s="4" t="s">
        <v>26</v>
      </c>
      <c r="B27" s="4" t="s">
        <v>2</v>
      </c>
      <c r="C27" s="4">
        <v>50</v>
      </c>
    </row>
    <row r="28" spans="1:4" x14ac:dyDescent="0.3">
      <c r="A28" s="4" t="s">
        <v>27</v>
      </c>
      <c r="B28" s="4" t="s">
        <v>25</v>
      </c>
      <c r="C28" s="4"/>
    </row>
  </sheetData>
  <sortState xmlns:xlrd2="http://schemas.microsoft.com/office/spreadsheetml/2017/richdata2" ref="A6:C23">
    <sortCondition ref="A6:A23"/>
  </sortState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1EDDF-447C-460C-A2A9-4DCA761CA6E1}">
  <dimension ref="A1:D11"/>
  <sheetViews>
    <sheetView workbookViewId="0">
      <selection activeCell="S27" sqref="S27"/>
    </sheetView>
  </sheetViews>
  <sheetFormatPr defaultRowHeight="14.4" x14ac:dyDescent="0.3"/>
  <cols>
    <col min="1" max="1" width="18.554687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28</v>
      </c>
      <c r="B2" s="3" t="s">
        <v>116</v>
      </c>
      <c r="C2" s="3">
        <v>20</v>
      </c>
      <c r="D2" t="s">
        <v>120</v>
      </c>
    </row>
    <row r="3" spans="1:4" x14ac:dyDescent="0.3">
      <c r="A3" s="5" t="s">
        <v>0</v>
      </c>
      <c r="B3" s="5" t="s">
        <v>116</v>
      </c>
      <c r="C3" s="5">
        <v>20</v>
      </c>
      <c r="D3" t="s">
        <v>121</v>
      </c>
    </row>
    <row r="4" spans="1:4" x14ac:dyDescent="0.3">
      <c r="A4" s="2" t="s">
        <v>6</v>
      </c>
      <c r="B4" s="2" t="s">
        <v>2</v>
      </c>
      <c r="C4" s="2">
        <v>50</v>
      </c>
    </row>
    <row r="5" spans="1:4" x14ac:dyDescent="0.3">
      <c r="A5" s="2" t="s">
        <v>5</v>
      </c>
      <c r="B5" s="2" t="s">
        <v>2</v>
      </c>
      <c r="C5" s="2">
        <v>50</v>
      </c>
    </row>
    <row r="6" spans="1:4" x14ac:dyDescent="0.3">
      <c r="A6" s="2" t="s">
        <v>3</v>
      </c>
      <c r="B6" s="2" t="s">
        <v>2</v>
      </c>
      <c r="C6" s="2">
        <v>50</v>
      </c>
    </row>
    <row r="7" spans="1:4" x14ac:dyDescent="0.3">
      <c r="A7" s="2" t="s">
        <v>34</v>
      </c>
      <c r="B7" s="2" t="s">
        <v>2</v>
      </c>
      <c r="C7" s="2">
        <v>50</v>
      </c>
    </row>
    <row r="8" spans="1:4" x14ac:dyDescent="0.3">
      <c r="A8" s="4" t="s">
        <v>23</v>
      </c>
      <c r="B8" s="4" t="s">
        <v>2</v>
      </c>
      <c r="C8" s="4">
        <v>60</v>
      </c>
    </row>
    <row r="9" spans="1:4" x14ac:dyDescent="0.3">
      <c r="A9" s="4" t="s">
        <v>24</v>
      </c>
      <c r="B9" s="4" t="s">
        <v>25</v>
      </c>
      <c r="C9" s="4"/>
    </row>
    <row r="10" spans="1:4" x14ac:dyDescent="0.3">
      <c r="A10" s="4" t="s">
        <v>26</v>
      </c>
      <c r="B10" s="4" t="s">
        <v>2</v>
      </c>
      <c r="C10" s="4">
        <v>60</v>
      </c>
    </row>
    <row r="11" spans="1:4" x14ac:dyDescent="0.3">
      <c r="A11" s="4" t="s">
        <v>27</v>
      </c>
      <c r="B11" s="4" t="s">
        <v>25</v>
      </c>
      <c r="C11" s="4"/>
    </row>
  </sheetData>
  <sortState xmlns:xlrd2="http://schemas.microsoft.com/office/spreadsheetml/2017/richdata2" ref="A6:C7">
    <sortCondition ref="A6:A7"/>
  </sortState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538BF-F262-4008-899F-51FCA1D09EAC}">
  <dimension ref="A1:D11"/>
  <sheetViews>
    <sheetView workbookViewId="0">
      <selection activeCell="S27" sqref="S27"/>
    </sheetView>
  </sheetViews>
  <sheetFormatPr defaultRowHeight="14.4" x14ac:dyDescent="0.3"/>
  <cols>
    <col min="1" max="1" width="17.10937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31</v>
      </c>
      <c r="B2" s="3" t="s">
        <v>116</v>
      </c>
      <c r="C2" s="3">
        <v>20</v>
      </c>
      <c r="D2" t="s">
        <v>120</v>
      </c>
    </row>
    <row r="3" spans="1:4" x14ac:dyDescent="0.3">
      <c r="A3" s="5" t="s">
        <v>28</v>
      </c>
      <c r="B3" s="5" t="s">
        <v>116</v>
      </c>
      <c r="C3" s="5">
        <v>20</v>
      </c>
      <c r="D3" t="s">
        <v>121</v>
      </c>
    </row>
    <row r="4" spans="1:4" x14ac:dyDescent="0.3">
      <c r="A4" s="6" t="s">
        <v>141</v>
      </c>
      <c r="B4" s="6" t="s">
        <v>2</v>
      </c>
      <c r="C4" s="2">
        <v>100</v>
      </c>
    </row>
    <row r="5" spans="1:4" x14ac:dyDescent="0.3">
      <c r="A5" s="2" t="s">
        <v>38</v>
      </c>
      <c r="B5" s="2" t="s">
        <v>2</v>
      </c>
      <c r="C5" s="2">
        <v>50</v>
      </c>
    </row>
    <row r="6" spans="1:4" x14ac:dyDescent="0.3">
      <c r="A6" s="2" t="s">
        <v>39</v>
      </c>
      <c r="B6" s="2" t="s">
        <v>2</v>
      </c>
      <c r="C6" s="2">
        <v>200</v>
      </c>
    </row>
    <row r="7" spans="1:4" x14ac:dyDescent="0.3">
      <c r="A7" s="2" t="s">
        <v>40</v>
      </c>
      <c r="B7" s="2" t="s">
        <v>2</v>
      </c>
      <c r="C7" s="2">
        <v>100</v>
      </c>
    </row>
    <row r="8" spans="1:4" x14ac:dyDescent="0.3">
      <c r="A8" s="4" t="s">
        <v>23</v>
      </c>
      <c r="B8" s="4" t="s">
        <v>2</v>
      </c>
      <c r="C8" s="4">
        <v>50</v>
      </c>
    </row>
    <row r="9" spans="1:4" x14ac:dyDescent="0.3">
      <c r="A9" s="4" t="s">
        <v>24</v>
      </c>
      <c r="B9" s="4" t="s">
        <v>25</v>
      </c>
      <c r="C9" s="4"/>
    </row>
    <row r="10" spans="1:4" x14ac:dyDescent="0.3">
      <c r="A10" s="4" t="s">
        <v>26</v>
      </c>
      <c r="B10" s="4" t="s">
        <v>2</v>
      </c>
      <c r="C10" s="4">
        <v>50</v>
      </c>
    </row>
    <row r="11" spans="1:4" x14ac:dyDescent="0.3">
      <c r="A11" s="4" t="s">
        <v>27</v>
      </c>
      <c r="B11" s="4" t="s">
        <v>25</v>
      </c>
      <c r="C11" s="4"/>
    </row>
  </sheetData>
  <sortState xmlns:xlrd2="http://schemas.microsoft.com/office/spreadsheetml/2017/richdata2" ref="A5:C7">
    <sortCondition ref="A5:A7"/>
  </sortState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95A63-E473-49E3-B19E-5B0479ECC658}">
  <dimension ref="A1:D12"/>
  <sheetViews>
    <sheetView workbookViewId="0">
      <selection activeCell="S27" sqref="S27"/>
    </sheetView>
  </sheetViews>
  <sheetFormatPr defaultRowHeight="14.4" x14ac:dyDescent="0.3"/>
  <cols>
    <col min="1" max="1" width="18.4414062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29</v>
      </c>
      <c r="B2" s="3" t="s">
        <v>116</v>
      </c>
      <c r="C2" s="3">
        <v>20</v>
      </c>
      <c r="D2" t="s">
        <v>120</v>
      </c>
    </row>
    <row r="3" spans="1:4" x14ac:dyDescent="0.3">
      <c r="A3" s="5" t="s">
        <v>0</v>
      </c>
      <c r="B3" s="5" t="s">
        <v>116</v>
      </c>
      <c r="C3" s="5">
        <v>20</v>
      </c>
      <c r="D3" t="s">
        <v>121</v>
      </c>
    </row>
    <row r="4" spans="1:4" x14ac:dyDescent="0.3">
      <c r="A4" s="2" t="s">
        <v>6</v>
      </c>
      <c r="B4" s="2" t="s">
        <v>2</v>
      </c>
      <c r="C4" s="2">
        <v>50</v>
      </c>
    </row>
    <row r="5" spans="1:4" x14ac:dyDescent="0.3">
      <c r="A5" s="2" t="s">
        <v>3</v>
      </c>
      <c r="B5" s="2" t="s">
        <v>2</v>
      </c>
      <c r="C5" s="2">
        <v>50</v>
      </c>
    </row>
    <row r="6" spans="1:4" x14ac:dyDescent="0.3">
      <c r="A6" s="2" t="s">
        <v>37</v>
      </c>
      <c r="B6" s="2" t="s">
        <v>2</v>
      </c>
      <c r="C6" s="2">
        <v>50</v>
      </c>
    </row>
    <row r="7" spans="1:4" x14ac:dyDescent="0.3">
      <c r="A7" s="2" t="s">
        <v>35</v>
      </c>
      <c r="B7" s="2" t="s">
        <v>2</v>
      </c>
      <c r="C7" s="2">
        <v>50</v>
      </c>
    </row>
    <row r="8" spans="1:4" x14ac:dyDescent="0.3">
      <c r="A8" s="2" t="s">
        <v>36</v>
      </c>
      <c r="B8" s="2" t="s">
        <v>2</v>
      </c>
      <c r="C8" s="2">
        <v>50</v>
      </c>
    </row>
    <row r="9" spans="1:4" x14ac:dyDescent="0.3">
      <c r="A9" s="4" t="s">
        <v>23</v>
      </c>
      <c r="B9" s="4" t="s">
        <v>2</v>
      </c>
      <c r="C9" s="4">
        <v>50</v>
      </c>
    </row>
    <row r="10" spans="1:4" x14ac:dyDescent="0.3">
      <c r="A10" s="4" t="s">
        <v>24</v>
      </c>
      <c r="B10" s="4" t="s">
        <v>25</v>
      </c>
      <c r="C10" s="4"/>
    </row>
    <row r="11" spans="1:4" x14ac:dyDescent="0.3">
      <c r="A11" s="4" t="s">
        <v>26</v>
      </c>
      <c r="B11" s="4" t="s">
        <v>2</v>
      </c>
      <c r="C11" s="4">
        <v>50</v>
      </c>
    </row>
    <row r="12" spans="1:4" x14ac:dyDescent="0.3">
      <c r="A12" s="4" t="s">
        <v>27</v>
      </c>
      <c r="B12" s="4" t="s">
        <v>25</v>
      </c>
      <c r="C12" s="4"/>
    </row>
  </sheetData>
  <sortState xmlns:xlrd2="http://schemas.microsoft.com/office/spreadsheetml/2017/richdata2" ref="A7:C8">
    <sortCondition ref="A7:A8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73BA8-1DA9-4440-8FD8-1B7549F9380C}">
  <dimension ref="A1:D9"/>
  <sheetViews>
    <sheetView workbookViewId="0">
      <selection activeCell="S27" sqref="S27"/>
    </sheetView>
  </sheetViews>
  <sheetFormatPr defaultRowHeight="14.4" x14ac:dyDescent="0.3"/>
  <cols>
    <col min="1" max="1" width="14.664062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30</v>
      </c>
      <c r="B2" s="3" t="s">
        <v>116</v>
      </c>
      <c r="C2" s="3">
        <v>20</v>
      </c>
      <c r="D2" t="s">
        <v>120</v>
      </c>
    </row>
    <row r="3" spans="1:4" x14ac:dyDescent="0.3">
      <c r="A3" s="5" t="s">
        <v>0</v>
      </c>
      <c r="B3" s="5" t="s">
        <v>116</v>
      </c>
      <c r="C3" s="5">
        <v>20</v>
      </c>
      <c r="D3" t="s">
        <v>121</v>
      </c>
    </row>
    <row r="4" spans="1:4" x14ac:dyDescent="0.3">
      <c r="A4" s="2" t="s">
        <v>6</v>
      </c>
      <c r="B4" s="2" t="s">
        <v>2</v>
      </c>
      <c r="C4" s="2">
        <v>50</v>
      </c>
    </row>
    <row r="5" spans="1:4" x14ac:dyDescent="0.3">
      <c r="A5" s="2" t="s">
        <v>3</v>
      </c>
      <c r="B5" s="2" t="s">
        <v>2</v>
      </c>
      <c r="C5" s="2">
        <v>50</v>
      </c>
    </row>
    <row r="6" spans="1:4" x14ac:dyDescent="0.3">
      <c r="A6" s="4" t="s">
        <v>23</v>
      </c>
      <c r="B6" s="4" t="s">
        <v>2</v>
      </c>
      <c r="C6" s="4">
        <v>50</v>
      </c>
    </row>
    <row r="7" spans="1:4" x14ac:dyDescent="0.3">
      <c r="A7" s="4" t="s">
        <v>24</v>
      </c>
      <c r="B7" s="4" t="s">
        <v>25</v>
      </c>
      <c r="C7" s="4"/>
    </row>
    <row r="8" spans="1:4" x14ac:dyDescent="0.3">
      <c r="A8" s="4" t="s">
        <v>26</v>
      </c>
      <c r="B8" s="4" t="s">
        <v>2</v>
      </c>
      <c r="C8" s="4">
        <v>50</v>
      </c>
    </row>
    <row r="9" spans="1:4" x14ac:dyDescent="0.3">
      <c r="A9" s="4" t="s">
        <v>27</v>
      </c>
      <c r="B9" s="4" t="s">
        <v>25</v>
      </c>
      <c r="C9" s="4"/>
    </row>
  </sheetData>
  <sortState xmlns:xlrd2="http://schemas.microsoft.com/office/spreadsheetml/2017/richdata2" ref="A5:C5">
    <sortCondition ref="A5"/>
  </sortState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5720D-4AA9-45B9-9120-59EFF2388EF0}">
  <dimension ref="A1:D7"/>
  <sheetViews>
    <sheetView workbookViewId="0">
      <selection activeCell="S27" sqref="S27"/>
    </sheetView>
  </sheetViews>
  <sheetFormatPr defaultRowHeight="14.4" x14ac:dyDescent="0.3"/>
  <cols>
    <col min="1" max="1" width="18" customWidth="1"/>
  </cols>
  <sheetData>
    <row r="1" spans="1:4" x14ac:dyDescent="0.3">
      <c r="A1" s="3" t="s">
        <v>254</v>
      </c>
      <c r="B1" s="3" t="s">
        <v>116</v>
      </c>
      <c r="C1" s="3">
        <v>20</v>
      </c>
      <c r="D1" t="s">
        <v>120</v>
      </c>
    </row>
    <row r="2" spans="1:4" x14ac:dyDescent="0.3">
      <c r="A2" s="5" t="s">
        <v>30</v>
      </c>
      <c r="B2" s="5" t="s">
        <v>116</v>
      </c>
      <c r="C2" s="5">
        <v>20</v>
      </c>
      <c r="D2" t="s">
        <v>121</v>
      </c>
    </row>
    <row r="3" spans="1:4" x14ac:dyDescent="0.3">
      <c r="A3" s="2" t="s">
        <v>141</v>
      </c>
      <c r="B3" s="2" t="s">
        <v>2</v>
      </c>
      <c r="C3" s="2">
        <v>50</v>
      </c>
    </row>
    <row r="4" spans="1:4" x14ac:dyDescent="0.3">
      <c r="A4" s="4" t="s">
        <v>23</v>
      </c>
      <c r="B4" s="4" t="s">
        <v>2</v>
      </c>
      <c r="C4" s="4">
        <v>50</v>
      </c>
    </row>
    <row r="5" spans="1:4" x14ac:dyDescent="0.3">
      <c r="A5" s="4" t="s">
        <v>24</v>
      </c>
      <c r="B5" s="4" t="s">
        <v>25</v>
      </c>
      <c r="C5" s="4"/>
    </row>
    <row r="6" spans="1:4" x14ac:dyDescent="0.3">
      <c r="A6" s="4" t="s">
        <v>26</v>
      </c>
      <c r="B6" s="4" t="s">
        <v>2</v>
      </c>
      <c r="C6" s="4">
        <v>50</v>
      </c>
    </row>
    <row r="7" spans="1:4" x14ac:dyDescent="0.3">
      <c r="A7" s="4" t="s">
        <v>27</v>
      </c>
      <c r="B7" s="4" t="s">
        <v>25</v>
      </c>
      <c r="C7" s="4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A984A-FDED-4A21-BE1B-2CDA4C5A7B28}">
  <dimension ref="A1:K181"/>
  <sheetViews>
    <sheetView topLeftCell="A155" workbookViewId="0">
      <selection activeCell="S27" sqref="S27"/>
    </sheetView>
  </sheetViews>
  <sheetFormatPr defaultRowHeight="14.4" x14ac:dyDescent="0.3"/>
  <cols>
    <col min="1" max="1" width="41.88671875" customWidth="1"/>
    <col min="4" max="4" width="39.109375" bestFit="1" customWidth="1"/>
    <col min="11" max="11" width="44.33203125" bestFit="1" customWidth="1"/>
  </cols>
  <sheetData>
    <row r="1" spans="1:11" x14ac:dyDescent="0.3">
      <c r="A1" s="1" t="s">
        <v>119</v>
      </c>
      <c r="B1" s="1" t="s">
        <v>118</v>
      </c>
      <c r="C1" s="1" t="s">
        <v>117</v>
      </c>
      <c r="D1" s="9" t="s">
        <v>775</v>
      </c>
      <c r="E1" s="9" t="s">
        <v>117</v>
      </c>
    </row>
    <row r="2" spans="1:11" x14ac:dyDescent="0.3">
      <c r="A2" s="3" t="s">
        <v>257</v>
      </c>
      <c r="B2" s="3" t="s">
        <v>116</v>
      </c>
      <c r="C2" s="3">
        <v>20</v>
      </c>
      <c r="D2" t="s">
        <v>120</v>
      </c>
      <c r="E2">
        <f>LEN(A2)</f>
        <v>12</v>
      </c>
    </row>
    <row r="3" spans="1:11" x14ac:dyDescent="0.3">
      <c r="A3" s="5" t="s">
        <v>254</v>
      </c>
      <c r="B3" s="5" t="s">
        <v>116</v>
      </c>
      <c r="C3" s="5">
        <v>20</v>
      </c>
      <c r="D3" t="s">
        <v>121</v>
      </c>
      <c r="E3">
        <f t="shared" ref="E3:E66" si="0">LEN(A3)</f>
        <v>7</v>
      </c>
      <c r="K3" t="str">
        <f>CONCATENATE(A3, " ", B3, "(",C3,"), ")</f>
        <v xml:space="preserve">func_id number(20), </v>
      </c>
    </row>
    <row r="4" spans="1:11" x14ac:dyDescent="0.3">
      <c r="A4" s="2" t="s">
        <v>51</v>
      </c>
      <c r="B4" s="2" t="s">
        <v>2</v>
      </c>
      <c r="C4" s="2">
        <v>50</v>
      </c>
      <c r="E4">
        <f t="shared" si="0"/>
        <v>2</v>
      </c>
      <c r="K4" t="str">
        <f t="shared" ref="K4:K67" si="1">CONCATENATE(A4, " ", B4, "(",C4,"), ")</f>
        <v xml:space="preserve">id nvarchar(50), </v>
      </c>
    </row>
    <row r="5" spans="1:11" x14ac:dyDescent="0.3">
      <c r="A5" s="2" t="s">
        <v>255</v>
      </c>
      <c r="B5" s="2" t="s">
        <v>2</v>
      </c>
      <c r="C5" s="2">
        <v>50</v>
      </c>
      <c r="E5">
        <f t="shared" si="0"/>
        <v>9</v>
      </c>
      <c r="K5" t="str">
        <f t="shared" si="1"/>
        <v xml:space="preserve">area_name nvarchar(50), </v>
      </c>
    </row>
    <row r="6" spans="1:11" x14ac:dyDescent="0.3">
      <c r="A6" s="2" t="s">
        <v>41</v>
      </c>
      <c r="B6" s="2" t="s">
        <v>2</v>
      </c>
      <c r="C6" s="2">
        <v>50</v>
      </c>
      <c r="E6">
        <f t="shared" si="0"/>
        <v>15</v>
      </c>
      <c r="K6" t="str">
        <f t="shared" si="1"/>
        <v xml:space="preserve">applicationname nvarchar(50), </v>
      </c>
    </row>
    <row r="7" spans="1:11" x14ac:dyDescent="0.3">
      <c r="A7" s="2" t="s">
        <v>143</v>
      </c>
      <c r="B7" s="2" t="s">
        <v>2</v>
      </c>
      <c r="C7" s="2">
        <v>50</v>
      </c>
      <c r="E7">
        <f t="shared" si="0"/>
        <v>18</v>
      </c>
      <c r="K7" t="str">
        <f t="shared" si="1"/>
        <v xml:space="preserve">accesssignallingid nvarchar(50), </v>
      </c>
    </row>
    <row r="8" spans="1:11" x14ac:dyDescent="0.3">
      <c r="A8" s="2" t="s">
        <v>144</v>
      </c>
      <c r="B8" s="2" t="s">
        <v>2</v>
      </c>
      <c r="C8" s="2">
        <v>50</v>
      </c>
      <c r="E8">
        <f t="shared" si="0"/>
        <v>25</v>
      </c>
      <c r="K8" t="str">
        <f t="shared" si="1"/>
        <v xml:space="preserve">amrwbhigherthresholdalarm nvarchar(50), </v>
      </c>
    </row>
    <row r="9" spans="1:11" x14ac:dyDescent="0.3">
      <c r="A9" s="2" t="s">
        <v>145</v>
      </c>
      <c r="B9" s="2" t="s">
        <v>2</v>
      </c>
      <c r="C9" s="2">
        <v>50</v>
      </c>
      <c r="E9">
        <f t="shared" si="0"/>
        <v>24</v>
      </c>
      <c r="K9" t="str">
        <f t="shared" si="1"/>
        <v xml:space="preserve">amrwblowerthresholdalarm nvarchar(50), </v>
      </c>
    </row>
    <row r="10" spans="1:11" x14ac:dyDescent="0.3">
      <c r="A10" s="2" t="s">
        <v>231</v>
      </c>
      <c r="B10" s="2" t="s">
        <v>2</v>
      </c>
      <c r="C10" s="2">
        <v>50</v>
      </c>
      <c r="E10">
        <f t="shared" si="0"/>
        <v>24</v>
      </c>
      <c r="K10" t="str">
        <f t="shared" si="1"/>
        <v xml:space="preserve">applicationconfiguration nvarchar(50), </v>
      </c>
    </row>
    <row r="11" spans="1:11" x14ac:dyDescent="0.3">
      <c r="A11" s="2" t="s">
        <v>146</v>
      </c>
      <c r="B11" s="2" t="s">
        <v>2</v>
      </c>
      <c r="C11" s="2">
        <v>50</v>
      </c>
      <c r="E11">
        <f t="shared" si="0"/>
        <v>24</v>
      </c>
      <c r="K11" t="str">
        <f t="shared" si="1"/>
        <v xml:space="preserve">autoconfigurationallowed nvarchar(50), </v>
      </c>
    </row>
    <row r="12" spans="1:11" x14ac:dyDescent="0.3">
      <c r="A12" s="2" t="s">
        <v>42</v>
      </c>
      <c r="B12" s="2" t="s">
        <v>2</v>
      </c>
      <c r="C12" s="2">
        <v>50</v>
      </c>
      <c r="E12">
        <f t="shared" si="0"/>
        <v>23</v>
      </c>
      <c r="K12" t="str">
        <f t="shared" si="1"/>
        <v xml:space="preserve">bordergatewayfunctionid nvarchar(50), </v>
      </c>
    </row>
    <row r="13" spans="1:11" x14ac:dyDescent="0.3">
      <c r="A13" s="2" t="s">
        <v>43</v>
      </c>
      <c r="B13" s="2" t="s">
        <v>2</v>
      </c>
      <c r="C13" s="2">
        <v>50</v>
      </c>
      <c r="E13">
        <f t="shared" si="0"/>
        <v>18</v>
      </c>
      <c r="K13" t="str">
        <f t="shared" si="1"/>
        <v xml:space="preserve">callretentiontimer nvarchar(50), </v>
      </c>
    </row>
    <row r="14" spans="1:11" x14ac:dyDescent="0.3">
      <c r="A14" s="2" t="s">
        <v>44</v>
      </c>
      <c r="B14" s="2" t="s">
        <v>2</v>
      </c>
      <c r="C14" s="2">
        <v>50</v>
      </c>
      <c r="E14">
        <f t="shared" si="0"/>
        <v>24</v>
      </c>
      <c r="K14" t="str">
        <f t="shared" si="1"/>
        <v xml:space="preserve">capacityforprioritycalls nvarchar(50), </v>
      </c>
    </row>
    <row r="15" spans="1:11" x14ac:dyDescent="0.3">
      <c r="A15" s="2" t="s">
        <v>147</v>
      </c>
      <c r="B15" s="2" t="s">
        <v>2</v>
      </c>
      <c r="C15" s="2">
        <v>50</v>
      </c>
      <c r="E15">
        <f t="shared" si="0"/>
        <v>29</v>
      </c>
      <c r="K15" t="str">
        <f t="shared" si="1"/>
        <v xml:space="preserve">cappercentreservedforwpscalls nvarchar(50), </v>
      </c>
    </row>
    <row r="16" spans="1:11" x14ac:dyDescent="0.3">
      <c r="A16" s="2" t="s">
        <v>108</v>
      </c>
      <c r="B16" s="2" t="s">
        <v>2</v>
      </c>
      <c r="C16" s="2">
        <v>50</v>
      </c>
      <c r="E16">
        <f t="shared" si="0"/>
        <v>9</v>
      </c>
      <c r="K16" t="str">
        <f t="shared" si="1"/>
        <v xml:space="preserve">codinglaw nvarchar(50), </v>
      </c>
    </row>
    <row r="17" spans="1:11" x14ac:dyDescent="0.3">
      <c r="A17" s="2" t="s">
        <v>45</v>
      </c>
      <c r="B17" s="2" t="s">
        <v>2</v>
      </c>
      <c r="C17" s="2">
        <v>50</v>
      </c>
      <c r="E17">
        <f t="shared" si="0"/>
        <v>14</v>
      </c>
      <c r="K17" t="str">
        <f t="shared" si="1"/>
        <v xml:space="preserve">datetimeoffset nvarchar(50), </v>
      </c>
    </row>
    <row r="18" spans="1:11" x14ac:dyDescent="0.3">
      <c r="A18" s="2" t="s">
        <v>232</v>
      </c>
      <c r="B18" s="2" t="s">
        <v>2</v>
      </c>
      <c r="C18" s="2">
        <v>50</v>
      </c>
      <c r="E18">
        <f t="shared" si="0"/>
        <v>13</v>
      </c>
      <c r="K18" t="str">
        <f t="shared" si="1"/>
        <v xml:space="preserve">ddbfunctionid nvarchar(50), </v>
      </c>
    </row>
    <row r="19" spans="1:11" x14ac:dyDescent="0.3">
      <c r="A19" s="2" t="s">
        <v>46</v>
      </c>
      <c r="B19" s="2" t="s">
        <v>2</v>
      </c>
      <c r="C19" s="2">
        <v>50</v>
      </c>
      <c r="E19">
        <f t="shared" si="0"/>
        <v>18</v>
      </c>
      <c r="K19" t="str">
        <f t="shared" si="1"/>
        <v xml:space="preserve">directmediarouting nvarchar(50), </v>
      </c>
    </row>
    <row r="20" spans="1:11" x14ac:dyDescent="0.3">
      <c r="A20" s="2" t="s">
        <v>47</v>
      </c>
      <c r="B20" s="2" t="s">
        <v>2</v>
      </c>
      <c r="C20" s="2">
        <v>60</v>
      </c>
      <c r="E20">
        <f t="shared" si="0"/>
        <v>8</v>
      </c>
      <c r="K20" t="str">
        <f t="shared" si="1"/>
        <v xml:space="preserve">dnprefix nvarchar(60), </v>
      </c>
    </row>
    <row r="21" spans="1:11" x14ac:dyDescent="0.3">
      <c r="A21" s="2" t="s">
        <v>148</v>
      </c>
      <c r="B21" s="2" t="s">
        <v>2</v>
      </c>
      <c r="C21" s="2">
        <v>50</v>
      </c>
      <c r="E21">
        <f t="shared" si="0"/>
        <v>17</v>
      </c>
      <c r="K21" t="str">
        <f t="shared" si="1"/>
        <v xml:space="preserve">doclibuserdefined nvarchar(50), </v>
      </c>
    </row>
    <row r="22" spans="1:11" x14ac:dyDescent="0.3">
      <c r="A22" s="2" t="s">
        <v>149</v>
      </c>
      <c r="B22" s="2" t="s">
        <v>2</v>
      </c>
      <c r="C22" s="2">
        <v>50</v>
      </c>
      <c r="E22">
        <f t="shared" si="0"/>
        <v>21</v>
      </c>
      <c r="K22" t="str">
        <f t="shared" si="1"/>
        <v xml:space="preserve">documentserveraddress nvarchar(50), </v>
      </c>
    </row>
    <row r="23" spans="1:11" x14ac:dyDescent="0.3">
      <c r="A23" s="2" t="s">
        <v>233</v>
      </c>
      <c r="B23" s="2" t="s">
        <v>2</v>
      </c>
      <c r="C23" s="2">
        <v>50</v>
      </c>
      <c r="E23">
        <f t="shared" si="0"/>
        <v>13</v>
      </c>
      <c r="K23" t="str">
        <f t="shared" si="1"/>
        <v xml:space="preserve">dscfunctionid nvarchar(50), </v>
      </c>
    </row>
    <row r="24" spans="1:11" x14ac:dyDescent="0.3">
      <c r="A24" s="2" t="s">
        <v>150</v>
      </c>
      <c r="B24" s="2" t="s">
        <v>2</v>
      </c>
      <c r="C24" s="2">
        <v>50</v>
      </c>
      <c r="E24">
        <f t="shared" si="0"/>
        <v>9</v>
      </c>
      <c r="K24" t="str">
        <f t="shared" si="1"/>
        <v xml:space="preserve">dscpaudio nvarchar(50), </v>
      </c>
    </row>
    <row r="25" spans="1:11" x14ac:dyDescent="0.3">
      <c r="A25" s="2" t="s">
        <v>151</v>
      </c>
      <c r="B25" s="2" t="s">
        <v>2</v>
      </c>
      <c r="C25" s="2">
        <v>50</v>
      </c>
      <c r="E25">
        <f t="shared" si="0"/>
        <v>11</v>
      </c>
      <c r="K25" t="str">
        <f t="shared" si="1"/>
        <v xml:space="preserve">dscpmarking nvarchar(50), </v>
      </c>
    </row>
    <row r="26" spans="1:11" x14ac:dyDescent="0.3">
      <c r="A26" s="2" t="s">
        <v>152</v>
      </c>
      <c r="B26" s="2" t="s">
        <v>2</v>
      </c>
      <c r="C26" s="2">
        <v>50</v>
      </c>
      <c r="E26">
        <f t="shared" si="0"/>
        <v>14</v>
      </c>
      <c r="K26" t="str">
        <f t="shared" si="1"/>
        <v xml:space="preserve">dscpmultimedia nvarchar(50), </v>
      </c>
    </row>
    <row r="27" spans="1:11" x14ac:dyDescent="0.3">
      <c r="A27" s="2" t="s">
        <v>48</v>
      </c>
      <c r="B27" s="2" t="s">
        <v>2</v>
      </c>
      <c r="C27" s="2">
        <v>50</v>
      </c>
      <c r="E27">
        <f t="shared" si="0"/>
        <v>21</v>
      </c>
      <c r="K27" t="str">
        <f t="shared" si="1"/>
        <v xml:space="preserve">enableondemandscaling nvarchar(50), </v>
      </c>
    </row>
    <row r="28" spans="1:11" x14ac:dyDescent="0.3">
      <c r="A28" s="2" t="s">
        <v>153</v>
      </c>
      <c r="B28" s="2" t="s">
        <v>2</v>
      </c>
      <c r="C28" s="2">
        <v>50</v>
      </c>
      <c r="E28">
        <f t="shared" si="0"/>
        <v>11</v>
      </c>
      <c r="K28" t="str">
        <f t="shared" si="1"/>
        <v xml:space="preserve">equipmentid nvarchar(50), </v>
      </c>
    </row>
    <row r="29" spans="1:11" x14ac:dyDescent="0.3">
      <c r="A29" s="2" t="s">
        <v>154</v>
      </c>
      <c r="B29" s="2" t="s">
        <v>2</v>
      </c>
      <c r="C29" s="2">
        <v>50</v>
      </c>
      <c r="E29">
        <f t="shared" si="0"/>
        <v>22</v>
      </c>
      <c r="K29" t="str">
        <f t="shared" si="1"/>
        <v xml:space="preserve">ethernetswitchfabricid nvarchar(50), </v>
      </c>
    </row>
    <row r="30" spans="1:11" x14ac:dyDescent="0.3">
      <c r="A30" s="2" t="s">
        <v>49</v>
      </c>
      <c r="B30" s="2" t="s">
        <v>2</v>
      </c>
      <c r="C30" s="2">
        <v>50</v>
      </c>
      <c r="E30">
        <f t="shared" si="0"/>
        <v>17</v>
      </c>
      <c r="K30" t="str">
        <f t="shared" si="1"/>
        <v xml:space="preserve">evssupportedinmrf nvarchar(50), </v>
      </c>
    </row>
    <row r="31" spans="1:11" x14ac:dyDescent="0.3">
      <c r="A31" s="2" t="s">
        <v>155</v>
      </c>
      <c r="B31" s="2" t="s">
        <v>2</v>
      </c>
      <c r="C31" s="2">
        <v>50</v>
      </c>
      <c r="E31">
        <f t="shared" si="0"/>
        <v>30</v>
      </c>
      <c r="K31" t="str">
        <f t="shared" si="1"/>
        <v xml:space="preserve">explicitcongestionnotification nvarchar(50), </v>
      </c>
    </row>
    <row r="32" spans="1:11" x14ac:dyDescent="0.3">
      <c r="A32" s="2" t="s">
        <v>50</v>
      </c>
      <c r="B32" s="2" t="s">
        <v>2</v>
      </c>
      <c r="C32" s="2">
        <v>50</v>
      </c>
      <c r="E32">
        <f t="shared" si="0"/>
        <v>22</v>
      </c>
      <c r="K32" t="str">
        <f t="shared" si="1"/>
        <v xml:space="preserve">failoverdetectiontimer nvarchar(50), </v>
      </c>
    </row>
    <row r="33" spans="1:11" x14ac:dyDescent="0.3">
      <c r="A33" s="2" t="s">
        <v>156</v>
      </c>
      <c r="B33" s="2" t="s">
        <v>2</v>
      </c>
      <c r="C33" s="2">
        <v>50</v>
      </c>
      <c r="E33">
        <f t="shared" si="0"/>
        <v>20</v>
      </c>
      <c r="K33" t="str">
        <f t="shared" si="1"/>
        <v xml:space="preserve">featurestatebgfsmsrp nvarchar(50), </v>
      </c>
    </row>
    <row r="34" spans="1:11" x14ac:dyDescent="0.3">
      <c r="A34" s="2" t="s">
        <v>157</v>
      </c>
      <c r="B34" s="2" t="s">
        <v>2</v>
      </c>
      <c r="C34" s="2">
        <v>50</v>
      </c>
      <c r="E34">
        <f t="shared" si="0"/>
        <v>21</v>
      </c>
      <c r="K34" t="str">
        <f t="shared" si="1"/>
        <v xml:space="preserve">featurestatebgfwebrtc nvarchar(50), </v>
      </c>
    </row>
    <row r="35" spans="1:11" x14ac:dyDescent="0.3">
      <c r="A35" s="2" t="s">
        <v>158</v>
      </c>
      <c r="B35" s="2" t="s">
        <v>2</v>
      </c>
      <c r="C35" s="2">
        <v>50</v>
      </c>
      <c r="E35">
        <f t="shared" si="0"/>
        <v>26</v>
      </c>
      <c r="K35" t="str">
        <f t="shared" si="1"/>
        <v xml:space="preserve">featurestatecontentsharing nvarchar(50), </v>
      </c>
    </row>
    <row r="36" spans="1:11" x14ac:dyDescent="0.3">
      <c r="A36" s="2" t="s">
        <v>159</v>
      </c>
      <c r="B36" s="2" t="s">
        <v>2</v>
      </c>
      <c r="C36" s="2">
        <v>50</v>
      </c>
      <c r="E36">
        <f t="shared" si="0"/>
        <v>27</v>
      </c>
      <c r="K36" t="str">
        <f t="shared" si="1"/>
        <v xml:space="preserve">featurestatedtmfsuppression nvarchar(50), </v>
      </c>
    </row>
    <row r="37" spans="1:11" x14ac:dyDescent="0.3">
      <c r="A37" s="2" t="s">
        <v>160</v>
      </c>
      <c r="B37" s="2" t="s">
        <v>2</v>
      </c>
      <c r="C37" s="2">
        <v>50</v>
      </c>
      <c r="E37">
        <f t="shared" si="0"/>
        <v>16</v>
      </c>
      <c r="K37" t="str">
        <f t="shared" si="1"/>
        <v xml:space="preserve">featurestateg722 nvarchar(50), </v>
      </c>
    </row>
    <row r="38" spans="1:11" x14ac:dyDescent="0.3">
      <c r="A38" s="2" t="s">
        <v>161</v>
      </c>
      <c r="B38" s="2" t="s">
        <v>2</v>
      </c>
      <c r="C38" s="2">
        <v>50</v>
      </c>
      <c r="E38">
        <f t="shared" si="0"/>
        <v>27</v>
      </c>
      <c r="K38" t="str">
        <f t="shared" si="1"/>
        <v xml:space="preserve">featurestatemscpoolproxygsm nvarchar(50), </v>
      </c>
    </row>
    <row r="39" spans="1:11" x14ac:dyDescent="0.3">
      <c r="A39" s="2" t="s">
        <v>162</v>
      </c>
      <c r="B39" s="2" t="s">
        <v>2</v>
      </c>
      <c r="C39" s="2">
        <v>50</v>
      </c>
      <c r="E39">
        <f t="shared" si="0"/>
        <v>29</v>
      </c>
      <c r="K39" t="str">
        <f t="shared" si="1"/>
        <v xml:space="preserve">featurestatemscpoolproxywcdma nvarchar(50), </v>
      </c>
    </row>
    <row r="40" spans="1:11" x14ac:dyDescent="0.3">
      <c r="A40" s="2" t="s">
        <v>163</v>
      </c>
      <c r="B40" s="2" t="s">
        <v>2</v>
      </c>
      <c r="C40" s="2">
        <v>50</v>
      </c>
      <c r="E40">
        <f t="shared" si="0"/>
        <v>28</v>
      </c>
      <c r="K40" t="str">
        <f t="shared" si="1"/>
        <v xml:space="preserve">featurestatevoicetranscoding nvarchar(50), </v>
      </c>
    </row>
    <row r="41" spans="1:11" x14ac:dyDescent="0.3">
      <c r="A41" s="2" t="s">
        <v>164</v>
      </c>
      <c r="B41" s="2" t="s">
        <v>2</v>
      </c>
      <c r="C41" s="2">
        <v>50</v>
      </c>
      <c r="E41">
        <f t="shared" si="0"/>
        <v>23</v>
      </c>
      <c r="K41" t="str">
        <f t="shared" si="1"/>
        <v xml:space="preserve">g711packetizationtimenb nvarchar(50), </v>
      </c>
    </row>
    <row r="42" spans="1:11" x14ac:dyDescent="0.3">
      <c r="A42" s="2" t="s">
        <v>165</v>
      </c>
      <c r="B42" s="2" t="s">
        <v>2</v>
      </c>
      <c r="C42" s="2">
        <v>50</v>
      </c>
      <c r="E42">
        <f t="shared" si="0"/>
        <v>24</v>
      </c>
      <c r="K42" t="str">
        <f t="shared" si="1"/>
        <v xml:space="preserve">g729higherthresholdalarm nvarchar(50), </v>
      </c>
    </row>
    <row r="43" spans="1:11" x14ac:dyDescent="0.3">
      <c r="A43" s="2" t="s">
        <v>166</v>
      </c>
      <c r="B43" s="2" t="s">
        <v>2</v>
      </c>
      <c r="C43" s="2">
        <v>50</v>
      </c>
      <c r="E43">
        <f t="shared" si="0"/>
        <v>23</v>
      </c>
      <c r="K43" t="str">
        <f t="shared" si="1"/>
        <v xml:space="preserve">g729lowerthresholdalarm nvarchar(50), </v>
      </c>
    </row>
    <row r="44" spans="1:11" x14ac:dyDescent="0.3">
      <c r="A44" s="2" t="s">
        <v>234</v>
      </c>
      <c r="B44" s="2" t="s">
        <v>2</v>
      </c>
      <c r="C44" s="2">
        <v>50</v>
      </c>
      <c r="E44">
        <f t="shared" si="0"/>
        <v>17</v>
      </c>
      <c r="K44" t="str">
        <f t="shared" si="1"/>
        <v xml:space="preserve">healthcheckresult nvarchar(50), </v>
      </c>
    </row>
    <row r="45" spans="1:11" x14ac:dyDescent="0.3">
      <c r="A45" s="2" t="s">
        <v>235</v>
      </c>
      <c r="B45" s="2" t="s">
        <v>2</v>
      </c>
      <c r="C45" s="2">
        <v>50</v>
      </c>
      <c r="E45">
        <f t="shared" si="0"/>
        <v>19</v>
      </c>
      <c r="K45" t="str">
        <f t="shared" si="1"/>
        <v xml:space="preserve">healthcheckschedule nvarchar(50), </v>
      </c>
    </row>
    <row r="46" spans="1:11" x14ac:dyDescent="0.3">
      <c r="A46" s="2" t="s">
        <v>167</v>
      </c>
      <c r="B46" s="2" t="s">
        <v>2</v>
      </c>
      <c r="C46" s="2">
        <v>50</v>
      </c>
      <c r="E46">
        <f t="shared" si="0"/>
        <v>22</v>
      </c>
      <c r="K46" t="str">
        <f t="shared" si="1"/>
        <v xml:space="preserve">interactivemessagingid nvarchar(50), </v>
      </c>
    </row>
    <row r="47" spans="1:11" x14ac:dyDescent="0.3">
      <c r="A47" s="2" t="s">
        <v>168</v>
      </c>
      <c r="B47" s="2" t="s">
        <v>2</v>
      </c>
      <c r="C47" s="2">
        <v>50</v>
      </c>
      <c r="E47">
        <f t="shared" si="0"/>
        <v>26</v>
      </c>
      <c r="K47" t="str">
        <f t="shared" si="1"/>
        <v xml:space="preserve">intermittentfaultthreshold nvarchar(50), </v>
      </c>
    </row>
    <row r="48" spans="1:11" x14ac:dyDescent="0.3">
      <c r="A48" s="2" t="s">
        <v>169</v>
      </c>
      <c r="B48" s="2" t="s">
        <v>2</v>
      </c>
      <c r="C48" s="2">
        <v>50</v>
      </c>
      <c r="E48">
        <f t="shared" si="0"/>
        <v>12</v>
      </c>
      <c r="K48" t="str">
        <f t="shared" si="1"/>
        <v xml:space="preserve">ipbcpt1timer nvarchar(50), </v>
      </c>
    </row>
    <row r="49" spans="1:11" x14ac:dyDescent="0.3">
      <c r="A49" s="2" t="s">
        <v>170</v>
      </c>
      <c r="B49" s="2" t="s">
        <v>2</v>
      </c>
      <c r="C49" s="2">
        <v>50</v>
      </c>
      <c r="E49">
        <f t="shared" si="0"/>
        <v>7</v>
      </c>
      <c r="K49" t="str">
        <f t="shared" si="1"/>
        <v xml:space="preserve">ipoamid nvarchar(50), </v>
      </c>
    </row>
    <row r="50" spans="1:11" x14ac:dyDescent="0.3">
      <c r="A50" s="2" t="s">
        <v>171</v>
      </c>
      <c r="B50" s="2" t="s">
        <v>2</v>
      </c>
      <c r="C50" s="2">
        <v>50</v>
      </c>
      <c r="E50">
        <f t="shared" si="0"/>
        <v>10</v>
      </c>
      <c r="K50" t="str">
        <f t="shared" si="1"/>
        <v xml:space="preserve">ipsystemid nvarchar(50), </v>
      </c>
    </row>
    <row r="51" spans="1:11" x14ac:dyDescent="0.3">
      <c r="A51" s="2" t="s">
        <v>236</v>
      </c>
      <c r="B51" s="2" t="s">
        <v>2</v>
      </c>
      <c r="C51" s="2">
        <v>50</v>
      </c>
      <c r="E51">
        <f t="shared" si="0"/>
        <v>13</v>
      </c>
      <c r="K51" t="str">
        <f t="shared" si="1"/>
        <v xml:space="preserve">ipworksrootid nvarchar(50), </v>
      </c>
    </row>
    <row r="52" spans="1:11" x14ac:dyDescent="0.3">
      <c r="A52" s="2" t="s">
        <v>172</v>
      </c>
      <c r="B52" s="2" t="s">
        <v>2</v>
      </c>
      <c r="C52" s="2">
        <v>50</v>
      </c>
      <c r="E52">
        <f t="shared" si="0"/>
        <v>16</v>
      </c>
      <c r="K52" t="str">
        <f t="shared" si="1"/>
        <v xml:space="preserve">islsupervisionid nvarchar(50), </v>
      </c>
    </row>
    <row r="53" spans="1:11" x14ac:dyDescent="0.3">
      <c r="A53" s="2" t="s">
        <v>237</v>
      </c>
      <c r="B53" s="2" t="s">
        <v>2</v>
      </c>
      <c r="C53" s="2">
        <v>50</v>
      </c>
      <c r="E53">
        <f t="shared" si="0"/>
        <v>9</v>
      </c>
      <c r="K53" t="str">
        <f t="shared" si="1"/>
        <v xml:space="preserve">javacafid nvarchar(50), </v>
      </c>
    </row>
    <row r="54" spans="1:11" x14ac:dyDescent="0.3">
      <c r="A54" s="2" t="s">
        <v>173</v>
      </c>
      <c r="B54" s="2" t="s">
        <v>2</v>
      </c>
      <c r="C54" s="2">
        <v>50</v>
      </c>
      <c r="E54">
        <f t="shared" si="0"/>
        <v>14</v>
      </c>
      <c r="K54" t="str">
        <f t="shared" si="1"/>
        <v xml:space="preserve">lasthwpichange nvarchar(50), </v>
      </c>
    </row>
    <row r="55" spans="1:11" x14ac:dyDescent="0.3">
      <c r="A55" s="2" t="s">
        <v>174</v>
      </c>
      <c r="B55" s="2" t="s">
        <v>2</v>
      </c>
      <c r="C55" s="2">
        <v>50</v>
      </c>
      <c r="E55">
        <f t="shared" si="0"/>
        <v>14</v>
      </c>
      <c r="K55" t="str">
        <f t="shared" si="1"/>
        <v xml:space="preserve">lastuppichange nvarchar(50), </v>
      </c>
    </row>
    <row r="56" spans="1:11" x14ac:dyDescent="0.3">
      <c r="A56" s="2" t="s">
        <v>250</v>
      </c>
      <c r="B56" s="2" t="s">
        <v>2</v>
      </c>
      <c r="C56" s="2">
        <v>50</v>
      </c>
      <c r="D56" t="s">
        <v>279</v>
      </c>
      <c r="E56">
        <f t="shared" si="0"/>
        <v>30</v>
      </c>
      <c r="K56" t="str">
        <f t="shared" si="1"/>
        <v xml:space="preserve">licensecapacityaudioconference nvarchar(50), </v>
      </c>
    </row>
    <row r="57" spans="1:11" x14ac:dyDescent="0.3">
      <c r="A57" s="2" t="s">
        <v>175</v>
      </c>
      <c r="B57" s="2" t="s">
        <v>2</v>
      </c>
      <c r="C57" s="2">
        <v>50</v>
      </c>
      <c r="E57">
        <f t="shared" si="0"/>
        <v>18</v>
      </c>
      <c r="K57" t="str">
        <f t="shared" si="1"/>
        <v xml:space="preserve">licensecapacitybgf nvarchar(50), </v>
      </c>
    </row>
    <row r="58" spans="1:11" x14ac:dyDescent="0.3">
      <c r="A58" s="2" t="s">
        <v>252</v>
      </c>
      <c r="B58" s="2" t="s">
        <v>2</v>
      </c>
      <c r="C58" s="2">
        <v>50</v>
      </c>
      <c r="D58" t="s">
        <v>280</v>
      </c>
      <c r="E58">
        <f t="shared" si="0"/>
        <v>30</v>
      </c>
      <c r="K58" t="str">
        <f t="shared" si="1"/>
        <v xml:space="preserve">licensecapacityhdvidoconfernce nvarchar(50), </v>
      </c>
    </row>
    <row r="59" spans="1:11" x14ac:dyDescent="0.3">
      <c r="A59" s="2" t="s">
        <v>176</v>
      </c>
      <c r="B59" s="2" t="s">
        <v>2</v>
      </c>
      <c r="C59" s="2">
        <v>50</v>
      </c>
      <c r="E59">
        <f t="shared" si="0"/>
        <v>27</v>
      </c>
      <c r="K59" t="str">
        <f t="shared" si="1"/>
        <v xml:space="preserve">licensecapacityhdvoicetrans nvarchar(50), </v>
      </c>
    </row>
    <row r="60" spans="1:11" x14ac:dyDescent="0.3">
      <c r="A60" s="2" t="s">
        <v>177</v>
      </c>
      <c r="B60" s="2" t="s">
        <v>2</v>
      </c>
      <c r="C60" s="2">
        <v>50</v>
      </c>
      <c r="E60">
        <f t="shared" si="0"/>
        <v>19</v>
      </c>
      <c r="K60" t="str">
        <f t="shared" si="1"/>
        <v xml:space="preserve">licensecapacitymrfp nvarchar(50), </v>
      </c>
    </row>
    <row r="61" spans="1:11" x14ac:dyDescent="0.3">
      <c r="A61" s="2" t="s">
        <v>178</v>
      </c>
      <c r="B61" s="2" t="s">
        <v>2</v>
      </c>
      <c r="C61" s="2">
        <v>50</v>
      </c>
      <c r="E61">
        <f t="shared" si="0"/>
        <v>20</v>
      </c>
      <c r="K61" t="str">
        <f t="shared" si="1"/>
        <v xml:space="preserve">licensecapacityvideo nvarchar(50), </v>
      </c>
    </row>
    <row r="62" spans="1:11" x14ac:dyDescent="0.3">
      <c r="A62" s="2" t="s">
        <v>251</v>
      </c>
      <c r="B62" s="2" t="s">
        <v>2</v>
      </c>
      <c r="C62" s="2">
        <v>50</v>
      </c>
      <c r="D62" t="s">
        <v>278</v>
      </c>
      <c r="E62">
        <f t="shared" si="0"/>
        <v>30</v>
      </c>
      <c r="K62" t="str">
        <f t="shared" si="1"/>
        <v xml:space="preserve">licensecapacityvideoconference nvarchar(50), </v>
      </c>
    </row>
    <row r="63" spans="1:11" x14ac:dyDescent="0.3">
      <c r="A63" s="2" t="s">
        <v>179</v>
      </c>
      <c r="B63" s="2" t="s">
        <v>2</v>
      </c>
      <c r="C63" s="2">
        <v>50</v>
      </c>
      <c r="E63">
        <f t="shared" si="0"/>
        <v>25</v>
      </c>
      <c r="K63" t="str">
        <f t="shared" si="1"/>
        <v xml:space="preserve">licensecapacityvoicetrans nvarchar(50), </v>
      </c>
    </row>
    <row r="64" spans="1:11" x14ac:dyDescent="0.3">
      <c r="A64" s="2" t="s">
        <v>180</v>
      </c>
      <c r="B64" s="2" t="s">
        <v>2</v>
      </c>
      <c r="C64" s="2">
        <v>50</v>
      </c>
      <c r="E64">
        <f t="shared" si="0"/>
        <v>19</v>
      </c>
      <c r="K64" t="str">
        <f t="shared" si="1"/>
        <v xml:space="preserve">licensestatebgfatgw nvarchar(50), </v>
      </c>
    </row>
    <row r="65" spans="1:11" x14ac:dyDescent="0.3">
      <c r="A65" s="2" t="s">
        <v>181</v>
      </c>
      <c r="B65" s="2" t="s">
        <v>2</v>
      </c>
      <c r="C65" s="2">
        <v>50</v>
      </c>
      <c r="E65">
        <f t="shared" si="0"/>
        <v>18</v>
      </c>
      <c r="K65" t="str">
        <f t="shared" si="1"/>
        <v xml:space="preserve">licensestatebgfevs nvarchar(50), </v>
      </c>
    </row>
    <row r="66" spans="1:11" x14ac:dyDescent="0.3">
      <c r="A66" s="2" t="s">
        <v>182</v>
      </c>
      <c r="B66" s="2" t="s">
        <v>2</v>
      </c>
      <c r="C66" s="2">
        <v>50</v>
      </c>
      <c r="E66">
        <f t="shared" si="0"/>
        <v>19</v>
      </c>
      <c r="K66" t="str">
        <f t="shared" si="1"/>
        <v xml:space="preserve">licensestatebgfipv6 nvarchar(50), </v>
      </c>
    </row>
    <row r="67" spans="1:11" x14ac:dyDescent="0.3">
      <c r="A67" s="2" t="s">
        <v>183</v>
      </c>
      <c r="B67" s="2" t="s">
        <v>2</v>
      </c>
      <c r="C67" s="2">
        <v>50</v>
      </c>
      <c r="E67">
        <f t="shared" ref="E67:E130" si="2">LEN(A67)</f>
        <v>27</v>
      </c>
      <c r="K67" t="str">
        <f t="shared" si="1"/>
        <v xml:space="preserve">licensestatebgfprioritycall nvarchar(50), </v>
      </c>
    </row>
    <row r="68" spans="1:11" x14ac:dyDescent="0.3">
      <c r="A68" s="2" t="s">
        <v>184</v>
      </c>
      <c r="B68" s="2" t="s">
        <v>2</v>
      </c>
      <c r="C68" s="2">
        <v>50</v>
      </c>
      <c r="E68">
        <f t="shared" si="2"/>
        <v>20</v>
      </c>
      <c r="K68" t="str">
        <f t="shared" ref="K68:K131" si="3">CONCATENATE(A68, " ", B68, "(",C68,"), ")</f>
        <v xml:space="preserve">licensestatebgfsmsrp nvarchar(50), </v>
      </c>
    </row>
    <row r="69" spans="1:11" x14ac:dyDescent="0.3">
      <c r="A69" s="2" t="s">
        <v>185</v>
      </c>
      <c r="B69" s="2" t="s">
        <v>2</v>
      </c>
      <c r="C69" s="2">
        <v>50</v>
      </c>
      <c r="E69">
        <f t="shared" si="2"/>
        <v>19</v>
      </c>
      <c r="K69" t="str">
        <f t="shared" si="3"/>
        <v xml:space="preserve">licensestatebgfsrtp nvarchar(50), </v>
      </c>
    </row>
    <row r="70" spans="1:11" x14ac:dyDescent="0.3">
      <c r="A70" s="2" t="s">
        <v>186</v>
      </c>
      <c r="B70" s="2" t="s">
        <v>2</v>
      </c>
      <c r="C70" s="2">
        <v>50</v>
      </c>
      <c r="E70">
        <f t="shared" si="2"/>
        <v>21</v>
      </c>
      <c r="K70" t="str">
        <f t="shared" si="3"/>
        <v xml:space="preserve">licensestatebgfwebrtc nvarchar(50), </v>
      </c>
    </row>
    <row r="71" spans="1:11" x14ac:dyDescent="0.3">
      <c r="A71" s="2" t="s">
        <v>187</v>
      </c>
      <c r="B71" s="2" t="s">
        <v>2</v>
      </c>
      <c r="C71" s="2">
        <v>50</v>
      </c>
      <c r="E71">
        <f t="shared" si="2"/>
        <v>26</v>
      </c>
      <c r="K71" t="str">
        <f t="shared" si="3"/>
        <v xml:space="preserve">licensestatecontentsharing nvarchar(50), </v>
      </c>
    </row>
    <row r="72" spans="1:11" x14ac:dyDescent="0.3">
      <c r="A72" s="2" t="s">
        <v>188</v>
      </c>
      <c r="B72" s="2" t="s">
        <v>2</v>
      </c>
      <c r="C72" s="2">
        <v>50</v>
      </c>
      <c r="E72">
        <f t="shared" si="2"/>
        <v>16</v>
      </c>
      <c r="K72" t="str">
        <f t="shared" si="3"/>
        <v xml:space="preserve">licensestateg722 nvarchar(50), </v>
      </c>
    </row>
    <row r="73" spans="1:11" x14ac:dyDescent="0.3">
      <c r="A73" s="2" t="s">
        <v>189</v>
      </c>
      <c r="B73" s="2" t="s">
        <v>2</v>
      </c>
      <c r="C73" s="2">
        <v>50</v>
      </c>
      <c r="E73">
        <f t="shared" si="2"/>
        <v>19</v>
      </c>
      <c r="K73" t="str">
        <f t="shared" si="3"/>
        <v xml:space="preserve">licensestatehdaudio nvarchar(50), </v>
      </c>
    </row>
    <row r="74" spans="1:11" x14ac:dyDescent="0.3">
      <c r="A74" s="2" t="s">
        <v>190</v>
      </c>
      <c r="B74" s="2" t="s">
        <v>2</v>
      </c>
      <c r="C74" s="2">
        <v>50</v>
      </c>
      <c r="E74">
        <f t="shared" si="2"/>
        <v>16</v>
      </c>
      <c r="K74" t="str">
        <f t="shared" si="3"/>
        <v xml:space="preserve">licensestateipv6 nvarchar(50), </v>
      </c>
    </row>
    <row r="75" spans="1:11" x14ac:dyDescent="0.3">
      <c r="A75" s="2" t="s">
        <v>191</v>
      </c>
      <c r="B75" s="2" t="s">
        <v>2</v>
      </c>
      <c r="C75" s="2">
        <v>50</v>
      </c>
      <c r="E75">
        <f t="shared" si="2"/>
        <v>16</v>
      </c>
      <c r="K75" t="str">
        <f t="shared" si="3"/>
        <v xml:space="preserve">licensestatemrfc nvarchar(50), </v>
      </c>
    </row>
    <row r="76" spans="1:11" x14ac:dyDescent="0.3">
      <c r="A76" s="2" t="s">
        <v>192</v>
      </c>
      <c r="B76" s="2" t="s">
        <v>2</v>
      </c>
      <c r="C76" s="2">
        <v>50</v>
      </c>
      <c r="E76">
        <f t="shared" si="2"/>
        <v>18</v>
      </c>
      <c r="K76" t="str">
        <f t="shared" si="3"/>
        <v xml:space="preserve">licensestatemrfevs nvarchar(50), </v>
      </c>
    </row>
    <row r="77" spans="1:11" x14ac:dyDescent="0.3">
      <c r="A77" s="2" t="s">
        <v>193</v>
      </c>
      <c r="B77" s="2" t="s">
        <v>2</v>
      </c>
      <c r="C77" s="2">
        <v>50</v>
      </c>
      <c r="E77">
        <f t="shared" si="2"/>
        <v>19</v>
      </c>
      <c r="K77" t="str">
        <f t="shared" si="3"/>
        <v xml:space="preserve">licensestatemrfipv6 nvarchar(50), </v>
      </c>
    </row>
    <row r="78" spans="1:11" x14ac:dyDescent="0.3">
      <c r="A78" s="2" t="s">
        <v>194</v>
      </c>
      <c r="B78" s="2" t="s">
        <v>2</v>
      </c>
      <c r="C78" s="2">
        <v>50</v>
      </c>
      <c r="E78">
        <f t="shared" si="2"/>
        <v>27</v>
      </c>
      <c r="K78" t="str">
        <f t="shared" si="3"/>
        <v xml:space="preserve">licensestatemrfprioritycall nvarchar(50), </v>
      </c>
    </row>
    <row r="79" spans="1:11" x14ac:dyDescent="0.3">
      <c r="A79" s="2" t="s">
        <v>52</v>
      </c>
      <c r="B79" s="2" t="s">
        <v>2</v>
      </c>
      <c r="C79" s="2">
        <v>50</v>
      </c>
      <c r="E79">
        <f t="shared" si="2"/>
        <v>13</v>
      </c>
      <c r="K79" t="str">
        <f t="shared" si="3"/>
        <v xml:space="preserve">localdatetime nvarchar(50), </v>
      </c>
    </row>
    <row r="80" spans="1:11" x14ac:dyDescent="0.3">
      <c r="A80" s="2" t="s">
        <v>53</v>
      </c>
      <c r="B80" s="2" t="s">
        <v>2</v>
      </c>
      <c r="C80" s="2">
        <v>50</v>
      </c>
      <c r="E80">
        <f t="shared" si="2"/>
        <v>12</v>
      </c>
      <c r="K80" t="str">
        <f t="shared" si="3"/>
        <v xml:space="preserve">locationname nvarchar(50), </v>
      </c>
    </row>
    <row r="81" spans="1:11" x14ac:dyDescent="0.3">
      <c r="A81" s="2" t="s">
        <v>54</v>
      </c>
      <c r="B81" s="2" t="s">
        <v>2</v>
      </c>
      <c r="C81" s="2">
        <v>50</v>
      </c>
      <c r="E81">
        <f t="shared" si="2"/>
        <v>11</v>
      </c>
      <c r="K81" t="str">
        <f t="shared" si="3"/>
        <v xml:space="preserve">logicalname nvarchar(50), </v>
      </c>
    </row>
    <row r="82" spans="1:11" x14ac:dyDescent="0.3">
      <c r="A82" s="2" t="s">
        <v>195</v>
      </c>
      <c r="B82" s="2" t="s">
        <v>2</v>
      </c>
      <c r="C82" s="2">
        <v>50</v>
      </c>
      <c r="E82">
        <f t="shared" si="2"/>
        <v>18</v>
      </c>
      <c r="K82" t="str">
        <f t="shared" si="3"/>
        <v xml:space="preserve">logonserveraddress nvarchar(50), </v>
      </c>
    </row>
    <row r="83" spans="1:11" x14ac:dyDescent="0.3">
      <c r="A83" s="2" t="s">
        <v>196</v>
      </c>
      <c r="B83" s="2" t="s">
        <v>2</v>
      </c>
      <c r="C83" s="2">
        <v>50</v>
      </c>
      <c r="E83">
        <f t="shared" si="2"/>
        <v>20</v>
      </c>
      <c r="K83" t="str">
        <f t="shared" si="3"/>
        <v xml:space="preserve">managedelementdataid nvarchar(50), </v>
      </c>
    </row>
    <row r="84" spans="1:11" x14ac:dyDescent="0.3">
      <c r="A84" s="2" t="s">
        <v>55</v>
      </c>
      <c r="B84" s="2" t="s">
        <v>2</v>
      </c>
      <c r="C84" s="2">
        <v>50</v>
      </c>
      <c r="E84">
        <f t="shared" si="2"/>
        <v>16</v>
      </c>
      <c r="K84" t="str">
        <f t="shared" si="3"/>
        <v xml:space="preserve">managedelementid nvarchar(50), </v>
      </c>
    </row>
    <row r="85" spans="1:11" x14ac:dyDescent="0.3">
      <c r="A85" s="2" t="s">
        <v>56</v>
      </c>
      <c r="B85" s="2" t="s">
        <v>2</v>
      </c>
      <c r="C85" s="2">
        <v>50</v>
      </c>
      <c r="E85">
        <f t="shared" si="2"/>
        <v>18</v>
      </c>
      <c r="K85" t="str">
        <f t="shared" si="3"/>
        <v xml:space="preserve">managedelementtype nvarchar(50), </v>
      </c>
    </row>
    <row r="86" spans="1:11" x14ac:dyDescent="0.3">
      <c r="A86" s="2" t="s">
        <v>57</v>
      </c>
      <c r="B86" s="2" t="s">
        <v>2</v>
      </c>
      <c r="C86" s="2">
        <v>50</v>
      </c>
      <c r="E86">
        <f t="shared" si="2"/>
        <v>22</v>
      </c>
      <c r="K86" t="str">
        <f t="shared" si="3"/>
        <v xml:space="preserve">managedelementtypelist nvarchar(50), </v>
      </c>
    </row>
    <row r="87" spans="1:11" x14ac:dyDescent="0.3">
      <c r="A87" s="2" t="s">
        <v>197</v>
      </c>
      <c r="B87" s="2" t="s">
        <v>2</v>
      </c>
      <c r="C87" s="2">
        <v>50</v>
      </c>
      <c r="E87">
        <f t="shared" si="2"/>
        <v>26</v>
      </c>
      <c r="K87" t="str">
        <f t="shared" si="3"/>
        <v xml:space="preserve">maxbandwidthforiptransport nvarchar(50), </v>
      </c>
    </row>
    <row r="88" spans="1:11" x14ac:dyDescent="0.3">
      <c r="A88" s="2" t="s">
        <v>198</v>
      </c>
      <c r="B88" s="2" t="s">
        <v>2</v>
      </c>
      <c r="C88" s="2">
        <v>50</v>
      </c>
      <c r="E88">
        <f t="shared" si="2"/>
        <v>22</v>
      </c>
      <c r="K88" t="str">
        <f t="shared" si="3"/>
        <v xml:space="preserve">mbaccongestiondscpmode nvarchar(50), </v>
      </c>
    </row>
    <row r="89" spans="1:11" x14ac:dyDescent="0.3">
      <c r="A89" s="2" t="s">
        <v>199</v>
      </c>
      <c r="B89" s="2" t="s">
        <v>2</v>
      </c>
      <c r="C89" s="2">
        <v>50</v>
      </c>
      <c r="E89">
        <f t="shared" si="2"/>
        <v>23</v>
      </c>
      <c r="K89" t="str">
        <f t="shared" si="3"/>
        <v xml:space="preserve">mbaccongestiondscpvalue nvarchar(50), </v>
      </c>
    </row>
    <row r="90" spans="1:11" x14ac:dyDescent="0.3">
      <c r="A90" s="2" t="s">
        <v>200</v>
      </c>
      <c r="B90" s="2" t="s">
        <v>2</v>
      </c>
      <c r="C90" s="2">
        <v>50</v>
      </c>
      <c r="E90">
        <f t="shared" si="2"/>
        <v>19</v>
      </c>
      <c r="K90" t="str">
        <f t="shared" si="3"/>
        <v xml:space="preserve">mbaclicensingstatus nvarchar(50), </v>
      </c>
    </row>
    <row r="91" spans="1:11" x14ac:dyDescent="0.3">
      <c r="A91" s="2" t="s">
        <v>201</v>
      </c>
      <c r="B91" s="2" t="s">
        <v>2</v>
      </c>
      <c r="C91" s="2">
        <v>50</v>
      </c>
      <c r="E91">
        <f t="shared" si="2"/>
        <v>30</v>
      </c>
      <c r="K91" t="str">
        <f t="shared" si="3"/>
        <v xml:space="preserve">mbaclostpacketscalculationmode nvarchar(50), </v>
      </c>
    </row>
    <row r="92" spans="1:11" x14ac:dyDescent="0.3">
      <c r="A92" s="2" t="s">
        <v>202</v>
      </c>
      <c r="B92" s="2" t="s">
        <v>2</v>
      </c>
      <c r="C92" s="2">
        <v>50</v>
      </c>
      <c r="E92">
        <f t="shared" si="2"/>
        <v>23</v>
      </c>
      <c r="K92" t="str">
        <f t="shared" si="3"/>
        <v xml:space="preserve">mbacmeasurementinterval nvarchar(50), </v>
      </c>
    </row>
    <row r="93" spans="1:11" x14ac:dyDescent="0.3">
      <c r="A93" s="2" t="s">
        <v>203</v>
      </c>
      <c r="B93" s="2" t="s">
        <v>2</v>
      </c>
      <c r="C93" s="2">
        <v>50</v>
      </c>
      <c r="E93">
        <f t="shared" si="2"/>
        <v>8</v>
      </c>
      <c r="K93" t="str">
        <f t="shared" si="3"/>
        <v xml:space="preserve">mbacmode nvarchar(50), </v>
      </c>
    </row>
    <row r="94" spans="1:11" x14ac:dyDescent="0.3">
      <c r="A94" s="2" t="s">
        <v>204</v>
      </c>
      <c r="B94" s="2" t="s">
        <v>2</v>
      </c>
      <c r="C94" s="2">
        <v>50</v>
      </c>
      <c r="E94">
        <f t="shared" si="2"/>
        <v>13</v>
      </c>
      <c r="K94" t="str">
        <f t="shared" si="3"/>
        <v xml:space="preserve">mbacthreshold nvarchar(50), </v>
      </c>
    </row>
    <row r="95" spans="1:11" x14ac:dyDescent="0.3">
      <c r="A95" s="2" t="s">
        <v>205</v>
      </c>
      <c r="B95" s="2" t="s">
        <v>2</v>
      </c>
      <c r="C95" s="2">
        <v>50</v>
      </c>
      <c r="E95">
        <f t="shared" si="2"/>
        <v>19</v>
      </c>
      <c r="K95" t="str">
        <f t="shared" si="3"/>
        <v xml:space="preserve">mbacweightingfactor nvarchar(50), </v>
      </c>
    </row>
    <row r="96" spans="1:11" x14ac:dyDescent="0.3">
      <c r="A96" s="2" t="s">
        <v>58</v>
      </c>
      <c r="B96" s="2" t="s">
        <v>2</v>
      </c>
      <c r="C96" s="2">
        <v>50</v>
      </c>
      <c r="E96">
        <f t="shared" si="2"/>
        <v>14</v>
      </c>
      <c r="K96" t="str">
        <f t="shared" si="3"/>
        <v xml:space="preserve">mediaipversion nvarchar(50), </v>
      </c>
    </row>
    <row r="97" spans="1:11" x14ac:dyDescent="0.3">
      <c r="A97" s="2" t="s">
        <v>59</v>
      </c>
      <c r="B97" s="2" t="s">
        <v>2</v>
      </c>
      <c r="C97" s="2">
        <v>50</v>
      </c>
      <c r="E97">
        <f t="shared" si="2"/>
        <v>23</v>
      </c>
      <c r="K97" t="str">
        <f t="shared" si="3"/>
        <v xml:space="preserve">mediaresourcefunctionid nvarchar(50), </v>
      </c>
    </row>
    <row r="98" spans="1:11" x14ac:dyDescent="0.3">
      <c r="A98" s="2" t="s">
        <v>206</v>
      </c>
      <c r="B98" s="2" t="s">
        <v>2</v>
      </c>
      <c r="C98" s="2">
        <v>50</v>
      </c>
      <c r="E98">
        <f t="shared" si="2"/>
        <v>16</v>
      </c>
      <c r="K98" t="str">
        <f t="shared" si="3"/>
        <v xml:space="preserve">mgwapplicationid nvarchar(50), </v>
      </c>
    </row>
    <row r="99" spans="1:11" x14ac:dyDescent="0.3">
      <c r="A99" s="2" t="s">
        <v>238</v>
      </c>
      <c r="B99" s="2" t="s">
        <v>2</v>
      </c>
      <c r="C99" s="2">
        <v>50</v>
      </c>
      <c r="E99">
        <f t="shared" si="2"/>
        <v>7</v>
      </c>
      <c r="K99" t="str">
        <f t="shared" si="3"/>
        <v xml:space="preserve">miminfo nvarchar(50), </v>
      </c>
    </row>
    <row r="100" spans="1:11" x14ac:dyDescent="0.3">
      <c r="A100" s="2" t="s">
        <v>207</v>
      </c>
      <c r="B100" s="2" t="s">
        <v>2</v>
      </c>
      <c r="C100" s="2">
        <v>50</v>
      </c>
      <c r="E100">
        <f t="shared" si="2"/>
        <v>25</v>
      </c>
      <c r="K100" t="str">
        <f t="shared" si="3"/>
        <v xml:space="preserve">minimumhdvolumecfreespace nvarchar(50), </v>
      </c>
    </row>
    <row r="101" spans="1:11" x14ac:dyDescent="0.3">
      <c r="A101" s="2" t="s">
        <v>60</v>
      </c>
      <c r="B101" s="2" t="s">
        <v>2</v>
      </c>
      <c r="C101" s="2">
        <v>50</v>
      </c>
      <c r="E101">
        <f t="shared" si="2"/>
        <v>6</v>
      </c>
      <c r="K101" t="str">
        <f t="shared" si="3"/>
        <v xml:space="preserve">mmasid nvarchar(50), </v>
      </c>
    </row>
    <row r="102" spans="1:11" x14ac:dyDescent="0.3">
      <c r="A102" s="2" t="s">
        <v>208</v>
      </c>
      <c r="B102" s="2" t="s">
        <v>2</v>
      </c>
      <c r="C102" s="2">
        <v>50</v>
      </c>
      <c r="E102">
        <f t="shared" si="2"/>
        <v>14</v>
      </c>
      <c r="K102" t="str">
        <f t="shared" si="3"/>
        <v xml:space="preserve">mrfcfunctionid nvarchar(50), </v>
      </c>
    </row>
    <row r="103" spans="1:11" x14ac:dyDescent="0.3">
      <c r="A103" s="2" t="s">
        <v>209</v>
      </c>
      <c r="B103" s="2" t="s">
        <v>2</v>
      </c>
      <c r="C103" s="2">
        <v>50</v>
      </c>
      <c r="E103">
        <f t="shared" si="2"/>
        <v>14</v>
      </c>
      <c r="K103" t="str">
        <f t="shared" si="3"/>
        <v xml:space="preserve">mrfpfunctionid nvarchar(50), </v>
      </c>
    </row>
    <row r="104" spans="1:11" x14ac:dyDescent="0.3">
      <c r="A104" s="2" t="s">
        <v>107</v>
      </c>
      <c r="B104" s="2" t="s">
        <v>2</v>
      </c>
      <c r="C104" s="2">
        <v>50</v>
      </c>
      <c r="E104">
        <f t="shared" si="2"/>
        <v>14</v>
      </c>
      <c r="K104" t="str">
        <f t="shared" si="3"/>
        <v xml:space="preserve">msprocessingid nvarchar(50), </v>
      </c>
    </row>
    <row r="105" spans="1:11" x14ac:dyDescent="0.3">
      <c r="A105" s="2" t="s">
        <v>434</v>
      </c>
      <c r="B105" s="2" t="s">
        <v>2</v>
      </c>
      <c r="C105" s="2">
        <v>50</v>
      </c>
      <c r="D105" t="s">
        <v>259</v>
      </c>
      <c r="E105">
        <f t="shared" si="2"/>
        <v>27</v>
      </c>
      <c r="K105" t="str">
        <f t="shared" si="3"/>
        <v xml:space="preserve">mtas_admin_stateafterrestrt nvarchar(50), </v>
      </c>
    </row>
    <row r="106" spans="1:11" x14ac:dyDescent="0.3">
      <c r="A106" s="2" t="s">
        <v>427</v>
      </c>
      <c r="B106" s="2" t="s">
        <v>2</v>
      </c>
      <c r="C106" s="2">
        <v>50</v>
      </c>
      <c r="D106" t="s">
        <v>282</v>
      </c>
      <c r="E106">
        <f t="shared" si="2"/>
        <v>24</v>
      </c>
      <c r="K106" t="str">
        <f t="shared" si="3"/>
        <v xml:space="preserve">mtas_administrativestate nvarchar(50), </v>
      </c>
    </row>
    <row r="107" spans="1:11" x14ac:dyDescent="0.3">
      <c r="A107" s="2" t="s">
        <v>426</v>
      </c>
      <c r="B107" s="2" t="s">
        <v>2</v>
      </c>
      <c r="C107" s="2">
        <v>50</v>
      </c>
      <c r="D107" t="s">
        <v>62</v>
      </c>
      <c r="E107">
        <f t="shared" si="2"/>
        <v>23</v>
      </c>
      <c r="K107" t="str">
        <f t="shared" si="3"/>
        <v xml:space="preserve">mtas_fulldiskpercentage nvarchar(50), </v>
      </c>
    </row>
    <row r="108" spans="1:11" x14ac:dyDescent="0.3">
      <c r="A108" s="2" t="s">
        <v>430</v>
      </c>
      <c r="B108" s="2" t="s">
        <v>2</v>
      </c>
      <c r="C108" s="2">
        <v>50</v>
      </c>
      <c r="D108" t="s">
        <v>253</v>
      </c>
      <c r="E108">
        <f t="shared" si="2"/>
        <v>26</v>
      </c>
      <c r="K108" t="str">
        <f t="shared" si="3"/>
        <v xml:space="preserve">mtas_maxnumofsesionsaction nvarchar(50), </v>
      </c>
    </row>
    <row r="109" spans="1:11" x14ac:dyDescent="0.3">
      <c r="A109" s="2" t="s">
        <v>431</v>
      </c>
      <c r="B109" s="2" t="s">
        <v>2</v>
      </c>
      <c r="C109" s="2">
        <v>50</v>
      </c>
      <c r="D109" t="s">
        <v>284</v>
      </c>
      <c r="E109">
        <f t="shared" si="2"/>
        <v>21</v>
      </c>
      <c r="K109" t="str">
        <f t="shared" si="3"/>
        <v xml:space="preserve">mtas_maxnumofsessions nvarchar(50), </v>
      </c>
    </row>
    <row r="110" spans="1:11" x14ac:dyDescent="0.3">
      <c r="A110" s="2" t="s">
        <v>432</v>
      </c>
      <c r="B110" s="2" t="s">
        <v>2</v>
      </c>
      <c r="C110" s="2">
        <v>50</v>
      </c>
      <c r="D110" t="s">
        <v>285</v>
      </c>
      <c r="E110">
        <f t="shared" si="2"/>
        <v>26</v>
      </c>
      <c r="K110" t="str">
        <f t="shared" si="3"/>
        <v xml:space="preserve">mtas_maxnumsubscriptsesion nvarchar(50), </v>
      </c>
    </row>
    <row r="111" spans="1:11" x14ac:dyDescent="0.3">
      <c r="A111" s="2" t="s">
        <v>428</v>
      </c>
      <c r="B111" s="2" t="s">
        <v>2</v>
      </c>
      <c r="C111" s="2">
        <v>50</v>
      </c>
      <c r="D111" t="s">
        <v>64</v>
      </c>
      <c r="E111">
        <f t="shared" si="2"/>
        <v>23</v>
      </c>
      <c r="K111" t="str">
        <f t="shared" si="3"/>
        <v xml:space="preserve">mtas_maxsessionduration nvarchar(50), </v>
      </c>
    </row>
    <row r="112" spans="1:11" x14ac:dyDescent="0.3">
      <c r="A112" s="2" t="s">
        <v>429</v>
      </c>
      <c r="B112" s="2" t="s">
        <v>2</v>
      </c>
      <c r="C112" s="2">
        <v>50</v>
      </c>
      <c r="D112" t="s">
        <v>283</v>
      </c>
      <c r="E112">
        <f t="shared" si="2"/>
        <v>26</v>
      </c>
      <c r="K112" t="str">
        <f t="shared" si="3"/>
        <v xml:space="preserve">mtas_notfulldiskpercentage nvarchar(50), </v>
      </c>
    </row>
    <row r="113" spans="1:11" x14ac:dyDescent="0.3">
      <c r="A113" s="2" t="s">
        <v>433</v>
      </c>
      <c r="B113" s="2" t="s">
        <v>2</v>
      </c>
      <c r="C113" s="2">
        <v>50</v>
      </c>
      <c r="D113" t="s">
        <v>346</v>
      </c>
      <c r="E113">
        <f t="shared" si="2"/>
        <v>27</v>
      </c>
      <c r="K113" t="str">
        <f t="shared" si="3"/>
        <v xml:space="preserve">mtas_scalingterminatwaitime nvarchar(50), </v>
      </c>
    </row>
    <row r="114" spans="1:11" x14ac:dyDescent="0.3">
      <c r="A114" s="2" t="s">
        <v>425</v>
      </c>
      <c r="B114" s="2" t="s">
        <v>2</v>
      </c>
      <c r="C114" s="2">
        <v>50</v>
      </c>
      <c r="D114" t="s">
        <v>281</v>
      </c>
      <c r="E114">
        <f t="shared" si="2"/>
        <v>19</v>
      </c>
      <c r="K114" t="str">
        <f t="shared" si="3"/>
        <v xml:space="preserve">mtas_vtpadmin_state nvarchar(50), </v>
      </c>
    </row>
    <row r="115" spans="1:11" x14ac:dyDescent="0.3">
      <c r="A115" s="2" t="s">
        <v>61</v>
      </c>
      <c r="B115" s="2" t="s">
        <v>2</v>
      </c>
      <c r="C115" s="2">
        <v>50</v>
      </c>
      <c r="E115">
        <f t="shared" si="2"/>
        <v>25</v>
      </c>
      <c r="K115" t="str">
        <f t="shared" si="3"/>
        <v xml:space="preserve">mtasfunctionblacklisttime nvarchar(50), </v>
      </c>
    </row>
    <row r="116" spans="1:11" x14ac:dyDescent="0.3">
      <c r="A116" s="2" t="s">
        <v>239</v>
      </c>
      <c r="B116" s="2" t="s">
        <v>2</v>
      </c>
      <c r="C116" s="2">
        <v>50</v>
      </c>
      <c r="E116">
        <f t="shared" si="2"/>
        <v>16</v>
      </c>
      <c r="K116" t="str">
        <f t="shared" si="3"/>
        <v xml:space="preserve">mtasfunctionfqdn nvarchar(50), </v>
      </c>
    </row>
    <row r="117" spans="1:11" x14ac:dyDescent="0.3">
      <c r="A117" s="2" t="s">
        <v>62</v>
      </c>
      <c r="B117" s="2" t="s">
        <v>2</v>
      </c>
      <c r="C117" s="2">
        <v>50</v>
      </c>
      <c r="E117">
        <f t="shared" si="2"/>
        <v>30</v>
      </c>
      <c r="K117" t="str">
        <f t="shared" si="3"/>
        <v xml:space="preserve">mtasfunctionfulldiskpercentage nvarchar(50), </v>
      </c>
    </row>
    <row r="118" spans="1:11" x14ac:dyDescent="0.3">
      <c r="A118" s="2" t="s">
        <v>63</v>
      </c>
      <c r="B118" s="2" t="s">
        <v>2</v>
      </c>
      <c r="C118" s="2">
        <v>50</v>
      </c>
      <c r="E118">
        <f t="shared" si="2"/>
        <v>26</v>
      </c>
      <c r="K118" t="str">
        <f t="shared" si="3"/>
        <v xml:space="preserve">mtasfunctioninvalidaddress nvarchar(50), </v>
      </c>
    </row>
    <row r="119" spans="1:11" x14ac:dyDescent="0.3">
      <c r="A119" s="2" t="s">
        <v>64</v>
      </c>
      <c r="B119" s="2" t="s">
        <v>2</v>
      </c>
      <c r="C119" s="2">
        <v>50</v>
      </c>
      <c r="E119">
        <f t="shared" si="2"/>
        <v>30</v>
      </c>
      <c r="K119" t="str">
        <f t="shared" si="3"/>
        <v xml:space="preserve">mtasfunctionmaxsessionduration nvarchar(50), </v>
      </c>
    </row>
    <row r="120" spans="1:11" x14ac:dyDescent="0.3">
      <c r="A120" s="2" t="s">
        <v>65</v>
      </c>
      <c r="B120" s="2" t="s">
        <v>2</v>
      </c>
      <c r="C120" s="2">
        <v>50</v>
      </c>
      <c r="E120">
        <f t="shared" si="2"/>
        <v>18</v>
      </c>
      <c r="K120" t="str">
        <f t="shared" si="3"/>
        <v xml:space="preserve">mtasfunctionmccmnc nvarchar(50), </v>
      </c>
    </row>
    <row r="121" spans="1:11" x14ac:dyDescent="0.3">
      <c r="A121" s="2" t="s">
        <v>240</v>
      </c>
      <c r="B121" s="2" t="s">
        <v>2</v>
      </c>
      <c r="C121" s="2">
        <v>50</v>
      </c>
      <c r="E121">
        <f t="shared" si="2"/>
        <v>21</v>
      </c>
      <c r="K121" t="str">
        <f t="shared" si="3"/>
        <v xml:space="preserve">mtasfunctionmmtasname nvarchar(50), </v>
      </c>
    </row>
    <row r="122" spans="1:11" x14ac:dyDescent="0.3">
      <c r="A122" s="2" t="s">
        <v>66</v>
      </c>
      <c r="B122" s="2" t="s">
        <v>2</v>
      </c>
      <c r="C122" s="2">
        <v>50</v>
      </c>
      <c r="E122">
        <f t="shared" si="2"/>
        <v>27</v>
      </c>
      <c r="K122" t="str">
        <f t="shared" si="3"/>
        <v xml:space="preserve">mtasfunctionnettraceversion nvarchar(50), </v>
      </c>
    </row>
    <row r="123" spans="1:11" x14ac:dyDescent="0.3">
      <c r="A123" s="2" t="s">
        <v>241</v>
      </c>
      <c r="B123" s="2" t="s">
        <v>2</v>
      </c>
      <c r="C123" s="2">
        <v>50</v>
      </c>
      <c r="E123">
        <f t="shared" si="2"/>
        <v>24</v>
      </c>
      <c r="K123" t="str">
        <f t="shared" si="3"/>
        <v xml:space="preserve">mtasfunctionnwfoiwasname nvarchar(50), </v>
      </c>
    </row>
    <row r="124" spans="1:11" x14ac:dyDescent="0.3">
      <c r="A124" s="2" t="s">
        <v>242</v>
      </c>
      <c r="B124" s="2" t="s">
        <v>2</v>
      </c>
      <c r="C124" s="2">
        <v>50</v>
      </c>
      <c r="E124">
        <f t="shared" si="2"/>
        <v>24</v>
      </c>
      <c r="K124" t="str">
        <f t="shared" si="3"/>
        <v xml:space="preserve">mtasfunctionnwpriwasname nvarchar(50), </v>
      </c>
    </row>
    <row r="125" spans="1:11" x14ac:dyDescent="0.3">
      <c r="A125" s="2" t="s">
        <v>67</v>
      </c>
      <c r="B125" s="2" t="s">
        <v>2</v>
      </c>
      <c r="C125" s="2">
        <v>50</v>
      </c>
      <c r="E125">
        <f t="shared" si="2"/>
        <v>19</v>
      </c>
      <c r="K125" t="str">
        <f t="shared" si="3"/>
        <v xml:space="preserve">mtasfunctionrestart nvarchar(50), </v>
      </c>
    </row>
    <row r="126" spans="1:11" x14ac:dyDescent="0.3">
      <c r="A126" s="2" t="s">
        <v>243</v>
      </c>
      <c r="B126" s="2" t="s">
        <v>2</v>
      </c>
      <c r="C126" s="2">
        <v>50</v>
      </c>
      <c r="E126">
        <f t="shared" si="2"/>
        <v>21</v>
      </c>
      <c r="K126" t="str">
        <f t="shared" si="3"/>
        <v xml:space="preserve">mtasfunctionsccasname nvarchar(50), </v>
      </c>
    </row>
    <row r="127" spans="1:11" x14ac:dyDescent="0.3">
      <c r="A127" s="2" t="s">
        <v>68</v>
      </c>
      <c r="B127" s="2" t="s">
        <v>2</v>
      </c>
      <c r="C127" s="2">
        <v>50</v>
      </c>
      <c r="E127">
        <f t="shared" si="2"/>
        <v>19</v>
      </c>
      <c r="K127" t="str">
        <f t="shared" si="3"/>
        <v xml:space="preserve">mtasfunctionversion nvarchar(50), </v>
      </c>
    </row>
    <row r="128" spans="1:11" x14ac:dyDescent="0.3">
      <c r="A128" s="2" t="s">
        <v>69</v>
      </c>
      <c r="B128" s="2" t="s">
        <v>2</v>
      </c>
      <c r="C128" s="2">
        <v>50</v>
      </c>
      <c r="E128">
        <f t="shared" si="2"/>
        <v>23</v>
      </c>
      <c r="K128" t="str">
        <f t="shared" si="3"/>
        <v xml:space="preserve">networkmanagedelementid nvarchar(50), </v>
      </c>
    </row>
    <row r="129" spans="1:11" x14ac:dyDescent="0.3">
      <c r="A129" s="2" t="s">
        <v>70</v>
      </c>
      <c r="B129" s="2" t="s">
        <v>2</v>
      </c>
      <c r="C129" s="2">
        <v>50</v>
      </c>
      <c r="E129">
        <f t="shared" si="2"/>
        <v>6</v>
      </c>
      <c r="K129" t="str">
        <f t="shared" si="3"/>
        <v xml:space="preserve">netype nvarchar(50), </v>
      </c>
    </row>
    <row r="130" spans="1:11" x14ac:dyDescent="0.3">
      <c r="A130" s="2" t="s">
        <v>210</v>
      </c>
      <c r="B130" s="2" t="s">
        <v>2</v>
      </c>
      <c r="C130" s="2">
        <v>50</v>
      </c>
      <c r="E130">
        <f t="shared" si="2"/>
        <v>22</v>
      </c>
      <c r="K130" t="str">
        <f t="shared" si="3"/>
        <v xml:space="preserve">piugroupescalationtype nvarchar(50), </v>
      </c>
    </row>
    <row r="131" spans="1:11" x14ac:dyDescent="0.3">
      <c r="A131" s="2" t="s">
        <v>7</v>
      </c>
      <c r="B131" s="2" t="s">
        <v>2</v>
      </c>
      <c r="C131" s="2">
        <v>50</v>
      </c>
      <c r="E131">
        <f t="shared" ref="E131:E181" si="4">LEN(A131)</f>
        <v>12</v>
      </c>
      <c r="K131" t="str">
        <f t="shared" si="3"/>
        <v xml:space="preserve">platformtype nvarchar(50), </v>
      </c>
    </row>
    <row r="132" spans="1:11" x14ac:dyDescent="0.3">
      <c r="A132" s="2" t="s">
        <v>244</v>
      </c>
      <c r="B132" s="2" t="s">
        <v>2</v>
      </c>
      <c r="C132" s="2">
        <v>50</v>
      </c>
      <c r="E132">
        <f t="shared" si="4"/>
        <v>23</v>
      </c>
      <c r="K132" t="str">
        <f t="shared" ref="K132:K181" si="5">CONCATENATE(A132, " ", B132, "(",C132,"), ")</f>
        <v xml:space="preserve">policycontrolfunctionid nvarchar(50), </v>
      </c>
    </row>
    <row r="133" spans="1:11" x14ac:dyDescent="0.3">
      <c r="A133" s="2" t="s">
        <v>211</v>
      </c>
      <c r="B133" s="2" t="s">
        <v>2</v>
      </c>
      <c r="C133" s="2">
        <v>50</v>
      </c>
      <c r="E133">
        <f t="shared" si="4"/>
        <v>20</v>
      </c>
      <c r="K133" t="str">
        <f t="shared" si="5"/>
        <v xml:space="preserve">powersavemodeenabled nvarchar(50), </v>
      </c>
    </row>
    <row r="134" spans="1:11" x14ac:dyDescent="0.3">
      <c r="A134" s="2" t="s">
        <v>110</v>
      </c>
      <c r="B134" s="2" t="s">
        <v>2</v>
      </c>
      <c r="C134" s="2">
        <v>50</v>
      </c>
      <c r="E134">
        <f t="shared" si="4"/>
        <v>11</v>
      </c>
      <c r="K134" t="str">
        <f t="shared" si="5"/>
        <v xml:space="preserve">productname nvarchar(50), </v>
      </c>
    </row>
    <row r="135" spans="1:11" x14ac:dyDescent="0.3">
      <c r="A135" s="2" t="s">
        <v>245</v>
      </c>
      <c r="B135" s="2" t="s">
        <v>2</v>
      </c>
      <c r="C135" s="2">
        <v>50</v>
      </c>
      <c r="E135">
        <f t="shared" si="4"/>
        <v>13</v>
      </c>
      <c r="K135" t="str">
        <f t="shared" si="5"/>
        <v xml:space="preserve">productnumber nvarchar(50), </v>
      </c>
    </row>
    <row r="136" spans="1:11" x14ac:dyDescent="0.3">
      <c r="A136" s="2" t="s">
        <v>112</v>
      </c>
      <c r="B136" s="2" t="s">
        <v>2</v>
      </c>
      <c r="C136" s="2">
        <v>50</v>
      </c>
      <c r="E136">
        <f t="shared" si="4"/>
        <v>15</v>
      </c>
      <c r="K136" t="str">
        <f t="shared" si="5"/>
        <v xml:space="preserve">productrevision nvarchar(50), </v>
      </c>
    </row>
    <row r="137" spans="1:11" x14ac:dyDescent="0.3">
      <c r="A137" s="2" t="s">
        <v>246</v>
      </c>
      <c r="B137" s="2" t="s">
        <v>2</v>
      </c>
      <c r="C137" s="2">
        <v>50</v>
      </c>
      <c r="E137">
        <f t="shared" si="4"/>
        <v>11</v>
      </c>
      <c r="K137" t="str">
        <f t="shared" si="5"/>
        <v xml:space="preserve">producttype nvarchar(50), </v>
      </c>
    </row>
    <row r="138" spans="1:11" x14ac:dyDescent="0.3">
      <c r="A138" s="2" t="s">
        <v>71</v>
      </c>
      <c r="B138" s="2" t="s">
        <v>2</v>
      </c>
      <c r="C138" s="2">
        <v>50</v>
      </c>
      <c r="E138">
        <f t="shared" si="4"/>
        <v>7</v>
      </c>
      <c r="K138" t="str">
        <f t="shared" si="5"/>
        <v xml:space="preserve">release nvarchar(50), </v>
      </c>
    </row>
    <row r="139" spans="1:11" x14ac:dyDescent="0.3">
      <c r="A139" s="2" t="s">
        <v>212</v>
      </c>
      <c r="B139" s="2" t="s">
        <v>2</v>
      </c>
      <c r="C139" s="2">
        <v>50</v>
      </c>
      <c r="E139">
        <f t="shared" si="4"/>
        <v>30</v>
      </c>
      <c r="K139" t="str">
        <f t="shared" si="5"/>
        <v xml:space="preserve">rtcpbearersupervisiontimeraoip nvarchar(50), </v>
      </c>
    </row>
    <row r="140" spans="1:11" x14ac:dyDescent="0.3">
      <c r="A140" s="2" t="s">
        <v>213</v>
      </c>
      <c r="B140" s="2" t="s">
        <v>2</v>
      </c>
      <c r="C140" s="2">
        <v>50</v>
      </c>
      <c r="E140">
        <f t="shared" si="4"/>
        <v>28</v>
      </c>
      <c r="K140" t="str">
        <f t="shared" si="5"/>
        <v xml:space="preserve">rtcpbearersupervisiontimermb nvarchar(50), </v>
      </c>
    </row>
    <row r="141" spans="1:11" x14ac:dyDescent="0.3">
      <c r="A141" s="2" t="s">
        <v>214</v>
      </c>
      <c r="B141" s="2" t="s">
        <v>2</v>
      </c>
      <c r="C141" s="2">
        <v>50</v>
      </c>
      <c r="E141">
        <f t="shared" si="4"/>
        <v>28</v>
      </c>
      <c r="K141" t="str">
        <f t="shared" si="5"/>
        <v xml:space="preserve">rtcpbearersupervisiontimernb nvarchar(50), </v>
      </c>
    </row>
    <row r="142" spans="1:11" x14ac:dyDescent="0.3">
      <c r="A142" s="2" t="s">
        <v>215</v>
      </c>
      <c r="B142" s="2" t="s">
        <v>2</v>
      </c>
      <c r="C142" s="2">
        <v>50</v>
      </c>
      <c r="E142">
        <f t="shared" si="4"/>
        <v>30</v>
      </c>
      <c r="K142" t="str">
        <f t="shared" si="5"/>
        <v xml:space="preserve">rtcpbearersupervisiontimervoip nvarchar(50), </v>
      </c>
    </row>
    <row r="143" spans="1:11" x14ac:dyDescent="0.3">
      <c r="A143" s="2" t="s">
        <v>216</v>
      </c>
      <c r="B143" s="2" t="s">
        <v>2</v>
      </c>
      <c r="C143" s="2">
        <v>50</v>
      </c>
      <c r="E143">
        <f t="shared" si="4"/>
        <v>14</v>
      </c>
      <c r="K143" t="str">
        <f t="shared" si="5"/>
        <v xml:space="preserve">rtcponnbactive nvarchar(50), </v>
      </c>
    </row>
    <row r="144" spans="1:11" x14ac:dyDescent="0.3">
      <c r="A144" s="2" t="s">
        <v>217</v>
      </c>
      <c r="B144" s="2" t="s">
        <v>2</v>
      </c>
      <c r="C144" s="2">
        <v>50</v>
      </c>
      <c r="E144">
        <f t="shared" si="4"/>
        <v>23</v>
      </c>
      <c r="K144" t="str">
        <f t="shared" si="5"/>
        <v xml:space="preserve">sachigherthresholdalarm nvarchar(50), </v>
      </c>
    </row>
    <row r="145" spans="1:11" x14ac:dyDescent="0.3">
      <c r="A145" s="2" t="s">
        <v>218</v>
      </c>
      <c r="B145" s="2" t="s">
        <v>2</v>
      </c>
      <c r="C145" s="2">
        <v>50</v>
      </c>
      <c r="E145">
        <f t="shared" si="4"/>
        <v>22</v>
      </c>
      <c r="K145" t="str">
        <f t="shared" si="5"/>
        <v xml:space="preserve">saclowerthresholdalarm nvarchar(50), </v>
      </c>
    </row>
    <row r="146" spans="1:11" x14ac:dyDescent="0.3">
      <c r="A146" s="2" t="s">
        <v>219</v>
      </c>
      <c r="B146" s="2" t="s">
        <v>2</v>
      </c>
      <c r="C146" s="2">
        <v>50</v>
      </c>
      <c r="E146">
        <f t="shared" si="4"/>
        <v>7</v>
      </c>
      <c r="K146" t="str">
        <f t="shared" si="5"/>
        <v xml:space="preserve">sacmode nvarchar(50), </v>
      </c>
    </row>
    <row r="147" spans="1:11" x14ac:dyDescent="0.3">
      <c r="A147" s="2" t="s">
        <v>72</v>
      </c>
      <c r="B147" s="2" t="s">
        <v>2</v>
      </c>
      <c r="C147" s="2">
        <v>50</v>
      </c>
      <c r="E147">
        <f t="shared" si="4"/>
        <v>16</v>
      </c>
      <c r="K147" t="str">
        <f t="shared" si="5"/>
        <v xml:space="preserve">scaleinthreshold nvarchar(50), </v>
      </c>
    </row>
    <row r="148" spans="1:11" x14ac:dyDescent="0.3">
      <c r="A148" s="2" t="s">
        <v>73</v>
      </c>
      <c r="B148" s="2" t="s">
        <v>2</v>
      </c>
      <c r="C148" s="2">
        <v>50</v>
      </c>
      <c r="E148">
        <f t="shared" si="4"/>
        <v>17</v>
      </c>
      <c r="K148" t="str">
        <f t="shared" si="5"/>
        <v xml:space="preserve">scaleoutthreshold nvarchar(50), </v>
      </c>
    </row>
    <row r="149" spans="1:11" x14ac:dyDescent="0.3">
      <c r="A149" s="2" t="s">
        <v>74</v>
      </c>
      <c r="B149" s="2" t="s">
        <v>2</v>
      </c>
      <c r="C149" s="2">
        <v>50</v>
      </c>
      <c r="E149">
        <f t="shared" si="4"/>
        <v>22</v>
      </c>
      <c r="K149" t="str">
        <f t="shared" si="5"/>
        <v xml:space="preserve">scalingmonitorinterval nvarchar(50), </v>
      </c>
    </row>
    <row r="150" spans="1:11" x14ac:dyDescent="0.3">
      <c r="A150" s="2" t="s">
        <v>220</v>
      </c>
      <c r="B150" s="2" t="s">
        <v>2</v>
      </c>
      <c r="C150" s="2">
        <v>50</v>
      </c>
      <c r="E150">
        <f t="shared" si="4"/>
        <v>23</v>
      </c>
      <c r="K150" t="str">
        <f t="shared" si="5"/>
        <v xml:space="preserve">scchigherthresholdalarm nvarchar(50), </v>
      </c>
    </row>
    <row r="151" spans="1:11" x14ac:dyDescent="0.3">
      <c r="A151" s="2" t="s">
        <v>221</v>
      </c>
      <c r="B151" s="2" t="s">
        <v>2</v>
      </c>
      <c r="C151" s="2">
        <v>50</v>
      </c>
      <c r="E151">
        <f t="shared" si="4"/>
        <v>22</v>
      </c>
      <c r="K151" t="str">
        <f t="shared" si="5"/>
        <v xml:space="preserve">scclowerthresholdalarm nvarchar(50), </v>
      </c>
    </row>
    <row r="152" spans="1:11" x14ac:dyDescent="0.3">
      <c r="A152" s="2" t="s">
        <v>222</v>
      </c>
      <c r="B152" s="2" t="s">
        <v>2</v>
      </c>
      <c r="C152" s="2">
        <v>50</v>
      </c>
      <c r="E152">
        <f t="shared" si="4"/>
        <v>19</v>
      </c>
      <c r="K152" t="str">
        <f t="shared" si="5"/>
        <v xml:space="preserve">sersupervisiontimer nvarchar(50), </v>
      </c>
    </row>
    <row r="153" spans="1:11" x14ac:dyDescent="0.3">
      <c r="A153" s="2" t="s">
        <v>75</v>
      </c>
      <c r="B153" s="2" t="s">
        <v>2</v>
      </c>
      <c r="C153" s="2">
        <v>50</v>
      </c>
      <c r="E153">
        <f t="shared" si="4"/>
        <v>17</v>
      </c>
      <c r="K153" t="str">
        <f t="shared" si="5"/>
        <v xml:space="preserve">shuttingdowntimer nvarchar(50), </v>
      </c>
    </row>
    <row r="154" spans="1:11" x14ac:dyDescent="0.3">
      <c r="A154" s="2" t="s">
        <v>76</v>
      </c>
      <c r="B154" s="2" t="s">
        <v>2</v>
      </c>
      <c r="C154" s="2">
        <v>50</v>
      </c>
      <c r="E154">
        <f t="shared" si="4"/>
        <v>18</v>
      </c>
      <c r="K154" t="str">
        <f t="shared" si="5"/>
        <v xml:space="preserve">signalinglocalport nvarchar(50), </v>
      </c>
    </row>
    <row r="155" spans="1:11" x14ac:dyDescent="0.3">
      <c r="A155" s="2" t="s">
        <v>77</v>
      </c>
      <c r="B155" s="2" t="s">
        <v>2</v>
      </c>
      <c r="C155" s="2">
        <v>50</v>
      </c>
      <c r="E155">
        <f t="shared" si="4"/>
        <v>15</v>
      </c>
      <c r="K155" t="str">
        <f t="shared" si="5"/>
        <v xml:space="preserve">signalingvlanid nvarchar(50), </v>
      </c>
    </row>
    <row r="156" spans="1:11" x14ac:dyDescent="0.3">
      <c r="A156" s="2" t="s">
        <v>223</v>
      </c>
      <c r="B156" s="2" t="s">
        <v>2</v>
      </c>
      <c r="C156" s="2">
        <v>50</v>
      </c>
      <c r="E156">
        <f t="shared" si="4"/>
        <v>17</v>
      </c>
      <c r="K156" t="str">
        <f t="shared" si="5"/>
        <v xml:space="preserve">signallingproxyid nvarchar(50), </v>
      </c>
    </row>
    <row r="157" spans="1:11" x14ac:dyDescent="0.3">
      <c r="A157" s="2" t="s">
        <v>247</v>
      </c>
      <c r="B157" s="2" t="s">
        <v>2</v>
      </c>
      <c r="C157" s="2">
        <v>50</v>
      </c>
      <c r="E157">
        <f t="shared" si="4"/>
        <v>4</v>
      </c>
      <c r="K157" t="str">
        <f t="shared" si="5"/>
        <v xml:space="preserve">site nvarchar(50), </v>
      </c>
    </row>
    <row r="158" spans="1:11" x14ac:dyDescent="0.3">
      <c r="A158" s="2" t="s">
        <v>78</v>
      </c>
      <c r="B158" s="2" t="s">
        <v>2</v>
      </c>
      <c r="C158" s="2">
        <v>50</v>
      </c>
      <c r="E158">
        <f t="shared" si="4"/>
        <v>6</v>
      </c>
      <c r="K158" t="str">
        <f t="shared" si="5"/>
        <v xml:space="preserve">siteid nvarchar(50), </v>
      </c>
    </row>
    <row r="159" spans="1:11" x14ac:dyDescent="0.3">
      <c r="A159" s="2" t="s">
        <v>8</v>
      </c>
      <c r="B159" s="2" t="s">
        <v>2</v>
      </c>
      <c r="C159" s="2">
        <v>50</v>
      </c>
      <c r="E159">
        <f t="shared" si="4"/>
        <v>12</v>
      </c>
      <c r="K159" t="str">
        <f t="shared" si="5"/>
        <v xml:space="preserve">sitelocation nvarchar(50), </v>
      </c>
    </row>
    <row r="160" spans="1:11" x14ac:dyDescent="0.3">
      <c r="A160" s="2" t="s">
        <v>79</v>
      </c>
      <c r="B160" s="2" t="s">
        <v>2</v>
      </c>
      <c r="C160" s="2">
        <v>50</v>
      </c>
      <c r="E160">
        <f t="shared" si="4"/>
        <v>10</v>
      </c>
      <c r="K160" t="str">
        <f t="shared" si="5"/>
        <v xml:space="preserve">slaacinuse nvarchar(50), </v>
      </c>
    </row>
    <row r="161" spans="1:11" x14ac:dyDescent="0.3">
      <c r="A161" s="2" t="s">
        <v>248</v>
      </c>
      <c r="B161" s="2" t="s">
        <v>2</v>
      </c>
      <c r="C161" s="2">
        <v>50</v>
      </c>
      <c r="E161">
        <f t="shared" si="4"/>
        <v>4</v>
      </c>
      <c r="K161" t="str">
        <f t="shared" si="5"/>
        <v xml:space="preserve">spdh nvarchar(50), </v>
      </c>
    </row>
    <row r="162" spans="1:11" x14ac:dyDescent="0.3">
      <c r="A162" s="2" t="s">
        <v>224</v>
      </c>
      <c r="B162" s="2" t="s">
        <v>2</v>
      </c>
      <c r="C162" s="2">
        <v>50</v>
      </c>
      <c r="E162">
        <f t="shared" si="4"/>
        <v>20</v>
      </c>
      <c r="K162" t="str">
        <f t="shared" si="5"/>
        <v xml:space="preserve">speechactivityfactor nvarchar(50), </v>
      </c>
    </row>
    <row r="163" spans="1:11" x14ac:dyDescent="0.3">
      <c r="A163" s="2" t="s">
        <v>225</v>
      </c>
      <c r="B163" s="2" t="s">
        <v>2</v>
      </c>
      <c r="C163" s="2">
        <v>50</v>
      </c>
      <c r="E163">
        <f t="shared" si="4"/>
        <v>14</v>
      </c>
      <c r="K163" t="str">
        <f t="shared" si="5"/>
        <v xml:space="preserve">switchfabricid nvarchar(50), </v>
      </c>
    </row>
    <row r="164" spans="1:11" x14ac:dyDescent="0.3">
      <c r="A164" s="2" t="s">
        <v>226</v>
      </c>
      <c r="B164" s="2" t="s">
        <v>2</v>
      </c>
      <c r="C164" s="2">
        <v>50</v>
      </c>
      <c r="E164">
        <f t="shared" si="4"/>
        <v>14</v>
      </c>
      <c r="K164" t="str">
        <f t="shared" si="5"/>
        <v xml:space="preserve">swmanagementid nvarchar(50), </v>
      </c>
    </row>
    <row r="165" spans="1:11" x14ac:dyDescent="0.3">
      <c r="A165" s="2" t="s">
        <v>227</v>
      </c>
      <c r="B165" s="2" t="s">
        <v>2</v>
      </c>
      <c r="C165" s="2">
        <v>50</v>
      </c>
      <c r="E165">
        <f t="shared" si="4"/>
        <v>15</v>
      </c>
      <c r="K165" t="str">
        <f t="shared" si="5"/>
        <v xml:space="preserve">swserverurllist nvarchar(50), </v>
      </c>
    </row>
    <row r="166" spans="1:11" x14ac:dyDescent="0.3">
      <c r="A166" s="2" t="s">
        <v>80</v>
      </c>
      <c r="B166" s="2" t="s">
        <v>2</v>
      </c>
      <c r="C166" s="2">
        <v>50</v>
      </c>
      <c r="E166">
        <f t="shared" si="4"/>
        <v>9</v>
      </c>
      <c r="K166" t="str">
        <f t="shared" si="5"/>
        <v xml:space="preserve">swversion nvarchar(50), </v>
      </c>
    </row>
    <row r="167" spans="1:11" x14ac:dyDescent="0.3">
      <c r="A167" s="2" t="s">
        <v>81</v>
      </c>
      <c r="B167" s="2" t="s">
        <v>2</v>
      </c>
      <c r="C167" s="2">
        <v>50</v>
      </c>
      <c r="E167">
        <f t="shared" si="4"/>
        <v>17</v>
      </c>
      <c r="K167" t="str">
        <f t="shared" si="5"/>
        <v xml:space="preserve">systemfunctionsid nvarchar(50), </v>
      </c>
    </row>
    <row r="168" spans="1:11" x14ac:dyDescent="0.3">
      <c r="A168" s="2" t="s">
        <v>228</v>
      </c>
      <c r="B168" s="2" t="s">
        <v>2</v>
      </c>
      <c r="C168" s="2">
        <v>50</v>
      </c>
      <c r="E168">
        <f t="shared" si="4"/>
        <v>10</v>
      </c>
      <c r="K168" t="str">
        <f t="shared" si="5"/>
        <v xml:space="preserve">tfoipemode nvarchar(50), </v>
      </c>
    </row>
    <row r="169" spans="1:11" x14ac:dyDescent="0.3">
      <c r="A169" t="s">
        <v>82</v>
      </c>
      <c r="B169" s="2" t="s">
        <v>2</v>
      </c>
      <c r="C169" s="2">
        <v>50</v>
      </c>
      <c r="E169">
        <f t="shared" si="4"/>
        <v>8</v>
      </c>
      <c r="K169" t="str">
        <f t="shared" si="5"/>
        <v xml:space="preserve">timezone nvarchar(50), </v>
      </c>
    </row>
    <row r="170" spans="1:11" x14ac:dyDescent="0.3">
      <c r="A170" t="s">
        <v>83</v>
      </c>
      <c r="B170" s="2" t="s">
        <v>2</v>
      </c>
      <c r="C170" s="2">
        <v>50</v>
      </c>
      <c r="E170">
        <f t="shared" si="4"/>
        <v>20</v>
      </c>
      <c r="K170" t="str">
        <f t="shared" si="5"/>
        <v xml:space="preserve">transcodingretention nvarchar(50), </v>
      </c>
    </row>
    <row r="171" spans="1:11" x14ac:dyDescent="0.3">
      <c r="A171" t="s">
        <v>84</v>
      </c>
      <c r="B171" s="2" t="s">
        <v>2</v>
      </c>
      <c r="C171" s="2">
        <v>50</v>
      </c>
      <c r="E171">
        <f t="shared" si="4"/>
        <v>11</v>
      </c>
      <c r="K171" t="str">
        <f t="shared" si="5"/>
        <v xml:space="preserve">transportid nvarchar(50), </v>
      </c>
    </row>
    <row r="172" spans="1:11" x14ac:dyDescent="0.3">
      <c r="A172" t="s">
        <v>249</v>
      </c>
      <c r="B172" s="2" t="s">
        <v>2</v>
      </c>
      <c r="C172" s="2">
        <v>50</v>
      </c>
      <c r="E172">
        <f t="shared" si="4"/>
        <v>18</v>
      </c>
      <c r="K172" t="str">
        <f t="shared" si="5"/>
        <v xml:space="preserve">transportnetworkid nvarchar(50), </v>
      </c>
    </row>
    <row r="173" spans="1:11" x14ac:dyDescent="0.3">
      <c r="A173" t="s">
        <v>85</v>
      </c>
      <c r="B173" s="2" t="s">
        <v>2</v>
      </c>
      <c r="C173" s="2">
        <v>50</v>
      </c>
      <c r="E173">
        <f t="shared" si="4"/>
        <v>16</v>
      </c>
      <c r="K173" t="str">
        <f t="shared" si="5"/>
        <v xml:space="preserve">userdefinedstate nvarchar(50), </v>
      </c>
    </row>
    <row r="174" spans="1:11" x14ac:dyDescent="0.3">
      <c r="A174" t="s">
        <v>86</v>
      </c>
      <c r="B174" s="2" t="s">
        <v>2</v>
      </c>
      <c r="C174" s="2">
        <v>400</v>
      </c>
      <c r="E174">
        <f t="shared" si="4"/>
        <v>9</v>
      </c>
      <c r="K174" t="str">
        <f t="shared" si="5"/>
        <v xml:space="preserve">userlabel nvarchar(400), </v>
      </c>
    </row>
    <row r="175" spans="1:11" x14ac:dyDescent="0.3">
      <c r="A175" t="s">
        <v>87</v>
      </c>
      <c r="B175" s="2" t="s">
        <v>2</v>
      </c>
      <c r="C175" s="2">
        <v>50</v>
      </c>
      <c r="E175">
        <f t="shared" si="4"/>
        <v>10</v>
      </c>
      <c r="K175" t="str">
        <f t="shared" si="5"/>
        <v xml:space="preserve">vendorname nvarchar(50), </v>
      </c>
    </row>
    <row r="176" spans="1:11" x14ac:dyDescent="0.3">
      <c r="A176" t="s">
        <v>229</v>
      </c>
      <c r="B176" s="2" t="s">
        <v>2</v>
      </c>
      <c r="C176" s="2">
        <v>50</v>
      </c>
      <c r="E176">
        <f t="shared" si="4"/>
        <v>24</v>
      </c>
      <c r="K176" t="str">
        <f t="shared" si="5"/>
        <v xml:space="preserve">voiphigherthresholdalarm nvarchar(50), </v>
      </c>
    </row>
    <row r="177" spans="1:11" x14ac:dyDescent="0.3">
      <c r="A177" t="s">
        <v>230</v>
      </c>
      <c r="B177" s="2" t="s">
        <v>2</v>
      </c>
      <c r="C177" s="2">
        <v>50</v>
      </c>
      <c r="E177">
        <f t="shared" si="4"/>
        <v>23</v>
      </c>
      <c r="K177" t="str">
        <f t="shared" si="5"/>
        <v xml:space="preserve">voiplowerthresholdalarm nvarchar(50), </v>
      </c>
    </row>
    <row r="178" spans="1:11" x14ac:dyDescent="0.3">
      <c r="A178" s="4" t="s">
        <v>23</v>
      </c>
      <c r="B178" s="4" t="s">
        <v>2</v>
      </c>
      <c r="C178" s="4">
        <v>50</v>
      </c>
      <c r="E178">
        <f t="shared" si="4"/>
        <v>10</v>
      </c>
      <c r="K178" t="str">
        <f t="shared" si="5"/>
        <v xml:space="preserve">created_by nvarchar(50), </v>
      </c>
    </row>
    <row r="179" spans="1:11" x14ac:dyDescent="0.3">
      <c r="A179" s="4" t="s">
        <v>24</v>
      </c>
      <c r="B179" s="4" t="s">
        <v>25</v>
      </c>
      <c r="C179" s="4"/>
      <c r="E179">
        <f t="shared" si="4"/>
        <v>10</v>
      </c>
      <c r="K179" t="str">
        <f t="shared" si="5"/>
        <v xml:space="preserve">created_on datetime(), </v>
      </c>
    </row>
    <row r="180" spans="1:11" x14ac:dyDescent="0.3">
      <c r="A180" s="4" t="s">
        <v>26</v>
      </c>
      <c r="B180" s="4" t="s">
        <v>2</v>
      </c>
      <c r="C180" s="4">
        <v>50</v>
      </c>
      <c r="E180">
        <f t="shared" si="4"/>
        <v>11</v>
      </c>
      <c r="K180" t="str">
        <f t="shared" si="5"/>
        <v xml:space="preserve">modified_by nvarchar(50), </v>
      </c>
    </row>
    <row r="181" spans="1:11" x14ac:dyDescent="0.3">
      <c r="A181" s="4" t="s">
        <v>27</v>
      </c>
      <c r="B181" s="4" t="s">
        <v>25</v>
      </c>
      <c r="C181" s="4"/>
      <c r="E181">
        <f t="shared" si="4"/>
        <v>11</v>
      </c>
      <c r="K181" t="str">
        <f t="shared" si="5"/>
        <v xml:space="preserve">modified_on datetime(), </v>
      </c>
    </row>
  </sheetData>
  <sortState xmlns:xlrd2="http://schemas.microsoft.com/office/spreadsheetml/2017/richdata2" ref="A7:E177">
    <sortCondition ref="A7:A177"/>
  </sortState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C578-4965-4909-8BC8-196BB2EAE3A4}">
  <dimension ref="A1:D7"/>
  <sheetViews>
    <sheetView workbookViewId="0">
      <selection activeCell="S27" sqref="S27"/>
    </sheetView>
  </sheetViews>
  <sheetFormatPr defaultRowHeight="14.4" x14ac:dyDescent="0.3"/>
  <cols>
    <col min="1" max="1" width="15.109375" customWidth="1"/>
  </cols>
  <sheetData>
    <row r="1" spans="1:4" x14ac:dyDescent="0.3">
      <c r="A1" s="3" t="s">
        <v>256</v>
      </c>
      <c r="B1" s="3" t="s">
        <v>116</v>
      </c>
      <c r="C1" s="3">
        <v>20</v>
      </c>
      <c r="D1" t="s">
        <v>120</v>
      </c>
    </row>
    <row r="2" spans="1:4" x14ac:dyDescent="0.3">
      <c r="A2" s="5" t="s">
        <v>257</v>
      </c>
      <c r="B2" s="5" t="s">
        <v>116</v>
      </c>
      <c r="C2" s="5">
        <v>20</v>
      </c>
      <c r="D2" t="s">
        <v>121</v>
      </c>
    </row>
    <row r="3" spans="1:4" x14ac:dyDescent="0.3">
      <c r="A3" s="2" t="s">
        <v>260</v>
      </c>
      <c r="B3" s="2" t="s">
        <v>2</v>
      </c>
      <c r="C3" s="2">
        <v>100</v>
      </c>
    </row>
    <row r="4" spans="1:4" x14ac:dyDescent="0.3">
      <c r="A4" s="4" t="s">
        <v>23</v>
      </c>
      <c r="B4" s="4" t="s">
        <v>2</v>
      </c>
      <c r="C4" s="4">
        <v>50</v>
      </c>
    </row>
    <row r="5" spans="1:4" x14ac:dyDescent="0.3">
      <c r="A5" s="4" t="s">
        <v>24</v>
      </c>
      <c r="B5" s="4" t="s">
        <v>25</v>
      </c>
      <c r="C5" s="4"/>
    </row>
    <row r="6" spans="1:4" x14ac:dyDescent="0.3">
      <c r="A6" s="4" t="s">
        <v>26</v>
      </c>
      <c r="B6" s="4" t="s">
        <v>2</v>
      </c>
      <c r="C6" s="4">
        <v>50</v>
      </c>
    </row>
    <row r="7" spans="1:4" x14ac:dyDescent="0.3">
      <c r="A7" s="4" t="s">
        <v>27</v>
      </c>
      <c r="B7" s="4" t="s">
        <v>25</v>
      </c>
      <c r="C7" s="4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570D-AC23-4E1C-830F-99802B92F702}">
  <dimension ref="A1:H815"/>
  <sheetViews>
    <sheetView topLeftCell="A636" workbookViewId="0">
      <selection activeCell="H644" sqref="H644"/>
    </sheetView>
  </sheetViews>
  <sheetFormatPr defaultRowHeight="14.4" x14ac:dyDescent="0.3"/>
  <cols>
    <col min="1" max="1" width="35.88671875" customWidth="1"/>
    <col min="4" max="4" width="32.5546875" customWidth="1"/>
    <col min="6" max="6" width="34" customWidth="1"/>
    <col min="7" max="7" width="45.77734375" customWidth="1"/>
  </cols>
  <sheetData>
    <row r="1" spans="1:7" x14ac:dyDescent="0.3">
      <c r="A1" s="1" t="s">
        <v>119</v>
      </c>
      <c r="B1" s="1" t="s">
        <v>118</v>
      </c>
      <c r="C1" s="1" t="s">
        <v>117</v>
      </c>
      <c r="D1" s="9" t="s">
        <v>775</v>
      </c>
      <c r="E1" s="9" t="s">
        <v>117</v>
      </c>
      <c r="F1" s="9" t="s">
        <v>1285</v>
      </c>
    </row>
    <row r="2" spans="1:7" x14ac:dyDescent="0.3">
      <c r="A2" s="3" t="s">
        <v>778</v>
      </c>
      <c r="B2" s="3" t="s">
        <v>116</v>
      </c>
      <c r="C2" s="3">
        <v>20</v>
      </c>
      <c r="D2" t="s">
        <v>776</v>
      </c>
      <c r="E2">
        <f>LEN(A2)</f>
        <v>15</v>
      </c>
      <c r="G2" s="11" t="str">
        <f>_xlfn.CONCAT("'",A2,"'"," NVARCHAR2","(",C2,")","")</f>
        <v>'subfunc_area_id' NVARCHAR2(20)</v>
      </c>
    </row>
    <row r="3" spans="1:7" x14ac:dyDescent="0.3">
      <c r="A3" s="5" t="s">
        <v>258</v>
      </c>
      <c r="B3" s="5" t="s">
        <v>116</v>
      </c>
      <c r="C3" s="5">
        <v>20</v>
      </c>
      <c r="D3" t="s">
        <v>777</v>
      </c>
      <c r="E3">
        <f t="shared" ref="E3:E69" si="0">LEN(A3)</f>
        <v>10</v>
      </c>
      <c r="G3" s="11" t="str">
        <f t="shared" ref="G3:G66" si="1">_xlfn.CONCAT("'",A3,"'"," NVARCHAR2","(",C3,")","")</f>
        <v>'subfunc_id' NVARCHAR2(20)</v>
      </c>
    </row>
    <row r="4" spans="1:7" x14ac:dyDescent="0.3">
      <c r="A4" s="8" t="s">
        <v>23</v>
      </c>
      <c r="B4" s="4" t="s">
        <v>2</v>
      </c>
      <c r="C4" s="4">
        <v>50</v>
      </c>
      <c r="E4">
        <f>LEN(A4)</f>
        <v>10</v>
      </c>
      <c r="G4" s="11" t="str">
        <f t="shared" si="1"/>
        <v>'created_by' NVARCHAR2(50)</v>
      </c>
    </row>
    <row r="5" spans="1:7" x14ac:dyDescent="0.3">
      <c r="A5" s="4" t="s">
        <v>24</v>
      </c>
      <c r="B5" s="4" t="s">
        <v>25</v>
      </c>
      <c r="C5" s="4"/>
      <c r="E5">
        <f>LEN(A5)</f>
        <v>10</v>
      </c>
      <c r="G5" s="11" t="str">
        <f t="shared" si="1"/>
        <v>'created_on' NVARCHAR2()</v>
      </c>
    </row>
    <row r="6" spans="1:7" x14ac:dyDescent="0.3">
      <c r="A6" s="4" t="s">
        <v>26</v>
      </c>
      <c r="B6" s="4" t="s">
        <v>2</v>
      </c>
      <c r="C6" s="4">
        <v>50</v>
      </c>
      <c r="E6">
        <f>LEN(A6)</f>
        <v>11</v>
      </c>
      <c r="G6" s="11" t="str">
        <f t="shared" si="1"/>
        <v>'modified_by' NVARCHAR2(50)</v>
      </c>
    </row>
    <row r="7" spans="1:7" x14ac:dyDescent="0.3">
      <c r="A7" s="4" t="s">
        <v>27</v>
      </c>
      <c r="B7" s="4" t="s">
        <v>25</v>
      </c>
      <c r="C7" s="4"/>
      <c r="E7">
        <f>LEN(A7)</f>
        <v>11</v>
      </c>
      <c r="G7" s="11" t="str">
        <f t="shared" si="1"/>
        <v>'modified_on' NVARCHAR2()</v>
      </c>
    </row>
    <row r="8" spans="1:7" x14ac:dyDescent="0.3">
      <c r="A8" s="7" t="s">
        <v>435</v>
      </c>
      <c r="B8" s="2" t="s">
        <v>2</v>
      </c>
      <c r="C8" s="2">
        <v>50</v>
      </c>
      <c r="E8">
        <f t="shared" si="0"/>
        <v>5</v>
      </c>
      <c r="G8" s="11" t="str">
        <f t="shared" si="1"/>
        <v>'area1' NVARCHAR2(50)</v>
      </c>
    </row>
    <row r="9" spans="1:7" x14ac:dyDescent="0.3">
      <c r="A9" s="7" t="s">
        <v>481</v>
      </c>
      <c r="B9" s="2" t="s">
        <v>2</v>
      </c>
      <c r="C9" s="2">
        <v>50</v>
      </c>
      <c r="E9">
        <f t="shared" si="0"/>
        <v>9</v>
      </c>
      <c r="G9" s="11" t="str">
        <f t="shared" si="1"/>
        <v>'maxinitrt' NVARCHAR2(50)</v>
      </c>
    </row>
    <row r="10" spans="1:7" x14ac:dyDescent="0.3">
      <c r="A10" s="7" t="s">
        <v>88</v>
      </c>
      <c r="B10" s="2" t="s">
        <v>2</v>
      </c>
      <c r="C10" s="2">
        <v>50</v>
      </c>
      <c r="E10">
        <f t="shared" si="0"/>
        <v>22</v>
      </c>
      <c r="G10" s="11" t="str">
        <f t="shared" si="1"/>
        <v>'sigcompcompressiontype' NVARCHAR2(50)</v>
      </c>
    </row>
    <row r="11" spans="1:7" x14ac:dyDescent="0.3">
      <c r="A11" s="7" t="s">
        <v>89</v>
      </c>
      <c r="B11" s="2" t="s">
        <v>2</v>
      </c>
      <c r="C11" s="2">
        <v>50</v>
      </c>
      <c r="E11">
        <f t="shared" si="0"/>
        <v>27</v>
      </c>
      <c r="G11" s="11" t="str">
        <f t="shared" si="1"/>
        <v>'sigcompcompressionalgorithm' NVARCHAR2(50)</v>
      </c>
    </row>
    <row r="12" spans="1:7" x14ac:dyDescent="0.3">
      <c r="A12" s="7" t="s">
        <v>41</v>
      </c>
      <c r="B12" s="2" t="s">
        <v>2</v>
      </c>
      <c r="C12" s="2">
        <v>50</v>
      </c>
      <c r="E12">
        <f t="shared" si="0"/>
        <v>15</v>
      </c>
      <c r="G12" s="11" t="str">
        <f t="shared" si="1"/>
        <v>'applicationname' NVARCHAR2(50)</v>
      </c>
    </row>
    <row r="13" spans="1:7" x14ac:dyDescent="0.3">
      <c r="A13" s="7" t="s">
        <v>90</v>
      </c>
      <c r="B13" s="2" t="s">
        <v>2</v>
      </c>
      <c r="C13" s="2">
        <v>50</v>
      </c>
      <c r="E13">
        <f t="shared" si="0"/>
        <v>23</v>
      </c>
      <c r="G13" s="11" t="str">
        <f t="shared" si="1"/>
        <v>'dnsexpiredcachebehavior' NVARCHAR2(50)</v>
      </c>
    </row>
    <row r="14" spans="1:7" x14ac:dyDescent="0.3">
      <c r="A14" s="7" t="s">
        <v>91</v>
      </c>
      <c r="B14" s="2" t="s">
        <v>2</v>
      </c>
      <c r="C14" s="2">
        <v>50</v>
      </c>
      <c r="E14">
        <f t="shared" si="0"/>
        <v>22</v>
      </c>
      <c r="G14" s="11" t="str">
        <f t="shared" si="1"/>
        <v>'dnsretransmissiontimer' NVARCHAR2(50)</v>
      </c>
    </row>
    <row r="15" spans="1:7" x14ac:dyDescent="0.3">
      <c r="A15" s="7" t="s">
        <v>92</v>
      </c>
      <c r="B15" s="2" t="s">
        <v>2</v>
      </c>
      <c r="C15" s="2">
        <v>50</v>
      </c>
      <c r="E15">
        <f t="shared" si="0"/>
        <v>12</v>
      </c>
      <c r="G15" s="11" t="str">
        <f t="shared" si="1"/>
        <v>'dnscachesize' NVARCHAR2(50)</v>
      </c>
    </row>
    <row r="16" spans="1:7" x14ac:dyDescent="0.3">
      <c r="A16" s="7" t="s">
        <v>93</v>
      </c>
      <c r="B16" s="2" t="s">
        <v>2</v>
      </c>
      <c r="C16" s="2">
        <v>50</v>
      </c>
      <c r="E16">
        <f t="shared" si="0"/>
        <v>14</v>
      </c>
      <c r="G16" s="11" t="str">
        <f t="shared" si="1"/>
        <v>'dnsserverentry' NVARCHAR2(50)</v>
      </c>
    </row>
    <row r="17" spans="1:7" x14ac:dyDescent="0.3">
      <c r="A17" s="7" t="s">
        <v>94</v>
      </c>
      <c r="B17" s="2" t="s">
        <v>2</v>
      </c>
      <c r="C17" s="2">
        <v>50</v>
      </c>
      <c r="E17">
        <f t="shared" si="0"/>
        <v>15</v>
      </c>
      <c r="G17" s="11" t="str">
        <f t="shared" si="1"/>
        <v>'dnslocaladdress' NVARCHAR2(50)</v>
      </c>
    </row>
    <row r="18" spans="1:7" x14ac:dyDescent="0.3">
      <c r="A18" s="7" t="s">
        <v>349</v>
      </c>
      <c r="B18" s="2" t="s">
        <v>2</v>
      </c>
      <c r="C18" s="2">
        <v>50</v>
      </c>
      <c r="D18" s="7" t="s">
        <v>261</v>
      </c>
      <c r="E18">
        <f t="shared" si="0"/>
        <v>25</v>
      </c>
      <c r="G18" s="11" t="str">
        <f t="shared" si="1"/>
        <v>'num_normal_tablesyncstate' NVARCHAR2(50)</v>
      </c>
    </row>
    <row r="19" spans="1:7" x14ac:dyDescent="0.3">
      <c r="A19" s="7" t="s">
        <v>350</v>
      </c>
      <c r="B19" s="2" t="s">
        <v>2</v>
      </c>
      <c r="C19" s="2">
        <v>50</v>
      </c>
      <c r="D19" t="s">
        <v>262</v>
      </c>
      <c r="E19">
        <f t="shared" si="0"/>
        <v>29</v>
      </c>
      <c r="G19" s="11" t="str">
        <f t="shared" si="1"/>
        <v>'ext_select_intialtransit_name' NVARCHAR2(50)</v>
      </c>
    </row>
    <row r="20" spans="1:7" x14ac:dyDescent="0.3">
      <c r="A20" s="7" t="s">
        <v>351</v>
      </c>
      <c r="B20" s="2" t="s">
        <v>2</v>
      </c>
      <c r="C20" s="2">
        <v>50</v>
      </c>
      <c r="D20" t="s">
        <v>95</v>
      </c>
      <c r="E20">
        <f t="shared" si="0"/>
        <v>26</v>
      </c>
      <c r="G20" s="11" t="str">
        <f t="shared" si="1"/>
        <v>'ext_select_defaultpoolname' NVARCHAR2(50)</v>
      </c>
    </row>
    <row r="21" spans="1:7" x14ac:dyDescent="0.3">
      <c r="A21" s="7" t="s">
        <v>355</v>
      </c>
      <c r="B21" s="2" t="s">
        <v>2</v>
      </c>
      <c r="C21" s="2">
        <v>50</v>
      </c>
      <c r="D21" t="s">
        <v>263</v>
      </c>
      <c r="E21">
        <f t="shared" si="0"/>
        <v>27</v>
      </c>
      <c r="G21" s="11" t="str">
        <f t="shared" si="1"/>
        <v>'ext_select_intial_tablename' NVARCHAR2(50)</v>
      </c>
    </row>
    <row r="22" spans="1:7" x14ac:dyDescent="0.3">
      <c r="A22" s="7" t="s">
        <v>764</v>
      </c>
      <c r="B22" s="2" t="s">
        <v>2</v>
      </c>
      <c r="C22" s="2">
        <v>50</v>
      </c>
      <c r="E22">
        <f t="shared" si="0"/>
        <v>29</v>
      </c>
      <c r="G22" s="11" t="str">
        <f t="shared" si="1"/>
        <v>'ext_select_tablesynchrniztion' NVARCHAR2(50)</v>
      </c>
    </row>
    <row r="23" spans="1:7" x14ac:dyDescent="0.3">
      <c r="A23" s="7" t="s">
        <v>96</v>
      </c>
      <c r="B23" s="2" t="s">
        <v>2</v>
      </c>
      <c r="C23" s="2">
        <v>50</v>
      </c>
      <c r="E23">
        <f t="shared" si="0"/>
        <v>24</v>
      </c>
      <c r="G23" s="11" t="str">
        <f t="shared" si="1"/>
        <v>'extnetselectionmaxtables' NVARCHAR2(50)</v>
      </c>
    </row>
    <row r="24" spans="1:7" x14ac:dyDescent="0.3">
      <c r="A24" s="7" t="s">
        <v>352</v>
      </c>
      <c r="B24" s="2" t="s">
        <v>2</v>
      </c>
      <c r="C24" s="2">
        <v>50</v>
      </c>
      <c r="D24" t="s">
        <v>265</v>
      </c>
      <c r="E24">
        <f t="shared" si="0"/>
        <v>30</v>
      </c>
      <c r="G24" s="11" t="str">
        <f t="shared" si="1"/>
        <v>'ext_select_synchronizatinstate' NVARCHAR2(50)</v>
      </c>
    </row>
    <row r="25" spans="1:7" x14ac:dyDescent="0.3">
      <c r="A25" s="7" t="s">
        <v>353</v>
      </c>
      <c r="B25" s="2" t="s">
        <v>2</v>
      </c>
      <c r="C25" s="2">
        <v>50</v>
      </c>
      <c r="D25" t="s">
        <v>266</v>
      </c>
      <c r="E25">
        <f t="shared" si="0"/>
        <v>30</v>
      </c>
      <c r="G25" s="11" t="str">
        <f t="shared" si="1"/>
        <v>'ext_select_activeconfiguration' NVARCHAR2(50)</v>
      </c>
    </row>
    <row r="26" spans="1:7" x14ac:dyDescent="0.3">
      <c r="A26" s="7" t="s">
        <v>482</v>
      </c>
      <c r="B26" s="2" t="s">
        <v>2</v>
      </c>
      <c r="C26" s="2">
        <v>50</v>
      </c>
      <c r="E26">
        <f t="shared" si="0"/>
        <v>26</v>
      </c>
      <c r="G26" s="11" t="str">
        <f t="shared" si="1"/>
        <v>'icmpintermittenttolerance ' NVARCHAR2(50)</v>
      </c>
    </row>
    <row r="27" spans="1:7" x14ac:dyDescent="0.3">
      <c r="A27" s="7" t="s">
        <v>483</v>
      </c>
      <c r="B27" s="2" t="s">
        <v>2</v>
      </c>
      <c r="C27" s="2">
        <v>50</v>
      </c>
      <c r="E27">
        <f t="shared" si="0"/>
        <v>16</v>
      </c>
      <c r="G27" s="11" t="str">
        <f t="shared" si="1"/>
        <v>'icmpbarringtime ' NVARCHAR2(50)</v>
      </c>
    </row>
    <row r="28" spans="1:7" x14ac:dyDescent="0.3">
      <c r="A28" s="7" t="s">
        <v>484</v>
      </c>
      <c r="B28" s="2" t="s">
        <v>2</v>
      </c>
      <c r="C28" s="2">
        <v>50</v>
      </c>
      <c r="E28">
        <f t="shared" si="0"/>
        <v>12</v>
      </c>
      <c r="G28" s="11" t="str">
        <f t="shared" si="1"/>
        <v>'icmpenabled ' NVARCHAR2(50)</v>
      </c>
    </row>
    <row r="29" spans="1:7" x14ac:dyDescent="0.3">
      <c r="A29" s="7" t="s">
        <v>485</v>
      </c>
      <c r="B29" s="2" t="s">
        <v>2</v>
      </c>
      <c r="C29" s="2">
        <v>50</v>
      </c>
      <c r="E29">
        <f t="shared" si="0"/>
        <v>26</v>
      </c>
      <c r="G29" s="11" t="str">
        <f t="shared" si="1"/>
        <v>'icmpintermittencyinterval ' NVARCHAR2(50)</v>
      </c>
    </row>
    <row r="30" spans="1:7" x14ac:dyDescent="0.3">
      <c r="A30" s="7" t="s">
        <v>486</v>
      </c>
      <c r="B30" s="2" t="s">
        <v>2</v>
      </c>
      <c r="C30" s="2">
        <v>50</v>
      </c>
      <c r="E30">
        <f t="shared" si="0"/>
        <v>24</v>
      </c>
      <c r="G30" s="11" t="str">
        <f t="shared" si="1"/>
        <v>'icmpmessagedistribution ' NVARCHAR2(50)</v>
      </c>
    </row>
    <row r="31" spans="1:7" x14ac:dyDescent="0.3">
      <c r="A31" s="7" t="s">
        <v>487</v>
      </c>
      <c r="B31" s="2" t="s">
        <v>2</v>
      </c>
      <c r="C31" s="2">
        <v>50</v>
      </c>
      <c r="E31">
        <f t="shared" si="0"/>
        <v>25</v>
      </c>
      <c r="G31" s="11" t="str">
        <f t="shared" si="1"/>
        <v>'cscfdomainroutingenabled ' NVARCHAR2(50)</v>
      </c>
    </row>
    <row r="32" spans="1:7" x14ac:dyDescent="0.3">
      <c r="A32" s="7" t="s">
        <v>488</v>
      </c>
      <c r="B32" s="2" t="s">
        <v>2</v>
      </c>
      <c r="C32" s="2">
        <v>50</v>
      </c>
      <c r="D32" t="s">
        <v>267</v>
      </c>
      <c r="E32">
        <f t="shared" si="0"/>
        <v>30</v>
      </c>
      <c r="G32" s="11" t="str">
        <f t="shared" si="1"/>
        <v>'cscf_dmainrout_actmatch_table ' NVARCHAR2(50)</v>
      </c>
    </row>
    <row r="33" spans="1:7" x14ac:dyDescent="0.3">
      <c r="A33" s="7" t="s">
        <v>489</v>
      </c>
      <c r="B33" s="2" t="s">
        <v>2</v>
      </c>
      <c r="C33" s="2">
        <v>50</v>
      </c>
      <c r="E33">
        <f t="shared" si="0"/>
        <v>27</v>
      </c>
      <c r="G33" s="11" t="str">
        <f t="shared" si="1"/>
        <v>'cscfdomainroutingsyncstate ' NVARCHAR2(50)</v>
      </c>
    </row>
    <row r="34" spans="1:7" x14ac:dyDescent="0.3">
      <c r="A34" s="7" t="s">
        <v>490</v>
      </c>
      <c r="B34" s="2" t="s">
        <v>2</v>
      </c>
      <c r="C34" s="2">
        <v>50</v>
      </c>
      <c r="E34">
        <f t="shared" si="0"/>
        <v>28</v>
      </c>
      <c r="G34" s="11" t="str">
        <f t="shared" si="1"/>
        <v>'cscf_dmainrout_selectconfig ' NVARCHAR2(50)</v>
      </c>
    </row>
    <row r="35" spans="1:7" x14ac:dyDescent="0.3">
      <c r="A35" s="7" t="s">
        <v>491</v>
      </c>
      <c r="B35" s="2" t="s">
        <v>2</v>
      </c>
      <c r="C35" s="2">
        <v>50</v>
      </c>
      <c r="E35">
        <f t="shared" si="0"/>
        <v>28</v>
      </c>
      <c r="G35" s="11" t="str">
        <f t="shared" si="1"/>
        <v>'cscfdomainroutingsyncconfig ' NVARCHAR2(50)</v>
      </c>
    </row>
    <row r="36" spans="1:7" x14ac:dyDescent="0.3">
      <c r="A36" s="7" t="s">
        <v>492</v>
      </c>
      <c r="B36" s="2" t="s">
        <v>2</v>
      </c>
      <c r="C36" s="2">
        <v>50</v>
      </c>
      <c r="E36">
        <f t="shared" si="0"/>
        <v>30</v>
      </c>
      <c r="G36" s="11" t="str">
        <f t="shared" si="1"/>
        <v>'cscfdomainroutingactiveconfig ' NVARCHAR2(50)</v>
      </c>
    </row>
    <row r="37" spans="1:7" x14ac:dyDescent="0.3">
      <c r="A37" s="7" t="s">
        <v>493</v>
      </c>
      <c r="B37" s="2" t="s">
        <v>2</v>
      </c>
      <c r="C37" s="2">
        <v>50</v>
      </c>
      <c r="E37">
        <f t="shared" si="0"/>
        <v>30</v>
      </c>
      <c r="G37" s="11" t="str">
        <f t="shared" si="1"/>
        <v>'cscf_numprtbiltyrejctfailenum ' NVARCHAR2(50)</v>
      </c>
    </row>
    <row r="38" spans="1:7" x14ac:dyDescent="0.3">
      <c r="A38" s="7" t="s">
        <v>494</v>
      </c>
      <c r="B38" s="2" t="s">
        <v>2</v>
      </c>
      <c r="C38" s="2">
        <v>50</v>
      </c>
      <c r="E38">
        <f t="shared" si="0"/>
        <v>30</v>
      </c>
      <c r="G38" s="11" t="str">
        <f t="shared" si="1"/>
        <v>'cscf_nablerecordroutesubscrbe ' NVARCHAR2(50)</v>
      </c>
    </row>
    <row r="39" spans="1:7" x14ac:dyDescent="0.3">
      <c r="A39" s="7" t="s">
        <v>495</v>
      </c>
      <c r="B39" s="2" t="s">
        <v>2</v>
      </c>
      <c r="C39" s="2">
        <v>50</v>
      </c>
      <c r="E39">
        <f t="shared" si="0"/>
        <v>29</v>
      </c>
      <c r="G39" s="11" t="str">
        <f t="shared" si="1"/>
        <v>'cscf_reducedtransactlifespan ' NVARCHAR2(50)</v>
      </c>
    </row>
    <row r="40" spans="1:7" x14ac:dyDescent="0.3">
      <c r="A40" s="7" t="s">
        <v>496</v>
      </c>
      <c r="B40" s="2" t="s">
        <v>2</v>
      </c>
      <c r="C40" s="2">
        <v>50</v>
      </c>
      <c r="E40">
        <f t="shared" si="0"/>
        <v>30</v>
      </c>
      <c r="G40" s="11" t="str">
        <f t="shared" si="1"/>
        <v>'scscfcontacturimatchingenbled ' NVARCHAR2(50)</v>
      </c>
    </row>
    <row r="41" spans="1:7" x14ac:dyDescent="0.3">
      <c r="A41" s="7" t="s">
        <v>497</v>
      </c>
      <c r="B41" s="2" t="s">
        <v>2</v>
      </c>
      <c r="C41" s="2">
        <v>50</v>
      </c>
      <c r="E41">
        <f t="shared" si="0"/>
        <v>17</v>
      </c>
      <c r="G41" s="11" t="str">
        <f t="shared" si="1"/>
        <v>'cscftimert1value ' NVARCHAR2(50)</v>
      </c>
    </row>
    <row r="42" spans="1:7" x14ac:dyDescent="0.3">
      <c r="A42" s="7" t="s">
        <v>498</v>
      </c>
      <c r="B42" s="2" t="s">
        <v>2</v>
      </c>
      <c r="C42" s="2">
        <v>50</v>
      </c>
      <c r="E42">
        <f t="shared" si="0"/>
        <v>16</v>
      </c>
      <c r="G42" s="11" t="str">
        <f t="shared" si="1"/>
        <v>'cscftimerfvalue ' NVARCHAR2(50)</v>
      </c>
    </row>
    <row r="43" spans="1:7" x14ac:dyDescent="0.3">
      <c r="A43" s="7" t="s">
        <v>499</v>
      </c>
      <c r="B43" s="2" t="s">
        <v>2</v>
      </c>
      <c r="C43" s="2">
        <v>50</v>
      </c>
      <c r="E43">
        <f t="shared" si="0"/>
        <v>15</v>
      </c>
      <c r="G43" s="11" t="str">
        <f t="shared" si="1"/>
        <v>'cscfusagestate ' NVARCHAR2(50)</v>
      </c>
    </row>
    <row r="44" spans="1:7" x14ac:dyDescent="0.3">
      <c r="A44" s="7" t="s">
        <v>500</v>
      </c>
      <c r="B44" s="2" t="s">
        <v>2</v>
      </c>
      <c r="C44" s="2">
        <v>100</v>
      </c>
      <c r="E44">
        <f t="shared" si="0"/>
        <v>23</v>
      </c>
      <c r="G44" s="11" t="str">
        <f t="shared" si="1"/>
        <v>'cscfcxdestinationrealm ' NVARCHAR2(100)</v>
      </c>
    </row>
    <row r="45" spans="1:7" x14ac:dyDescent="0.3">
      <c r="A45" s="7" t="s">
        <v>501</v>
      </c>
      <c r="B45" s="2" t="s">
        <v>2</v>
      </c>
      <c r="C45" s="2">
        <v>50</v>
      </c>
      <c r="E45">
        <f t="shared" si="0"/>
        <v>17</v>
      </c>
      <c r="G45" s="11" t="str">
        <f t="shared" si="1"/>
        <v>'cscfcxoriginhost ' NVARCHAR2(50)</v>
      </c>
    </row>
    <row r="46" spans="1:7" x14ac:dyDescent="0.3">
      <c r="A46" s="7" t="s">
        <v>502</v>
      </c>
      <c r="B46" s="2" t="s">
        <v>2</v>
      </c>
      <c r="C46" s="2">
        <v>50</v>
      </c>
      <c r="E46">
        <f t="shared" si="0"/>
        <v>19</v>
      </c>
      <c r="G46" s="11" t="str">
        <f t="shared" si="1"/>
        <v>'cscftrustednetwork ' NVARCHAR2(50)</v>
      </c>
    </row>
    <row r="47" spans="1:7" x14ac:dyDescent="0.3">
      <c r="A47" s="7" t="s">
        <v>503</v>
      </c>
      <c r="B47" s="2" t="s">
        <v>2</v>
      </c>
      <c r="C47" s="2">
        <v>50</v>
      </c>
      <c r="E47">
        <f t="shared" si="0"/>
        <v>17</v>
      </c>
      <c r="G47" s="11" t="str">
        <f t="shared" si="1"/>
        <v>'cscftimert2value ' NVARCHAR2(50)</v>
      </c>
    </row>
    <row r="48" spans="1:7" x14ac:dyDescent="0.3">
      <c r="A48" s="7" t="s">
        <v>504</v>
      </c>
      <c r="B48" s="2" t="s">
        <v>2</v>
      </c>
      <c r="C48" s="2">
        <v>50</v>
      </c>
      <c r="E48">
        <f t="shared" si="0"/>
        <v>24</v>
      </c>
      <c r="G48" s="11" t="str">
        <f t="shared" si="1"/>
        <v>'cscfadministrativestate ' NVARCHAR2(50)</v>
      </c>
    </row>
    <row r="49" spans="1:7" x14ac:dyDescent="0.3">
      <c r="A49" s="7" t="s">
        <v>505</v>
      </c>
      <c r="B49" s="2" t="s">
        <v>2</v>
      </c>
      <c r="C49" s="2">
        <v>50</v>
      </c>
      <c r="E49">
        <f t="shared" si="0"/>
        <v>24</v>
      </c>
      <c r="G49" s="11" t="str">
        <f t="shared" si="1"/>
        <v>'cscfextnetselonenumpstn ' NVARCHAR2(50)</v>
      </c>
    </row>
    <row r="50" spans="1:7" x14ac:dyDescent="0.3">
      <c r="A50" s="7" t="s">
        <v>506</v>
      </c>
      <c r="B50" s="2" t="s">
        <v>2</v>
      </c>
      <c r="C50" s="2">
        <v>50</v>
      </c>
      <c r="E50">
        <f t="shared" si="0"/>
        <v>19</v>
      </c>
      <c r="G50" s="11" t="str">
        <f t="shared" si="1"/>
        <v>'bcfdomainnameentry ' NVARCHAR2(50)</v>
      </c>
    </row>
    <row r="51" spans="1:7" x14ac:dyDescent="0.3">
      <c r="A51" s="7" t="s">
        <v>507</v>
      </c>
      <c r="B51" s="2" t="s">
        <v>2</v>
      </c>
      <c r="C51" s="2">
        <v>50</v>
      </c>
      <c r="E51">
        <f t="shared" si="0"/>
        <v>30</v>
      </c>
      <c r="G51" s="11" t="str">
        <f t="shared" si="1"/>
        <v>'cscf_maxnonsupervisesesiondur ' NVARCHAR2(50)</v>
      </c>
    </row>
    <row r="52" spans="1:7" x14ac:dyDescent="0.3">
      <c r="A52" s="7" t="s">
        <v>508</v>
      </c>
      <c r="B52" s="2" t="s">
        <v>2</v>
      </c>
      <c r="C52" s="2">
        <v>50</v>
      </c>
      <c r="E52">
        <f t="shared" si="0"/>
        <v>16</v>
      </c>
      <c r="G52" s="11" t="str">
        <f t="shared" si="1"/>
        <v>'cscftimerbvalue ' NVARCHAR2(50)</v>
      </c>
    </row>
    <row r="53" spans="1:7" x14ac:dyDescent="0.3">
      <c r="A53" s="7" t="s">
        <v>362</v>
      </c>
      <c r="B53" s="2" t="s">
        <v>2</v>
      </c>
      <c r="C53" s="2">
        <v>50</v>
      </c>
      <c r="E53">
        <f t="shared" si="0"/>
        <v>30</v>
      </c>
      <c r="G53" s="11" t="str">
        <f t="shared" si="1"/>
        <v>'cscf_remdialogonneg_notifyresp' NVARCHAR2(50)</v>
      </c>
    </row>
    <row r="54" spans="1:7" x14ac:dyDescent="0.3">
      <c r="A54" s="7" t="s">
        <v>509</v>
      </c>
      <c r="B54" s="2" t="s">
        <v>2</v>
      </c>
      <c r="C54" s="2">
        <v>50</v>
      </c>
      <c r="E54">
        <f t="shared" si="0"/>
        <v>29</v>
      </c>
      <c r="G54" s="11" t="str">
        <f t="shared" si="1"/>
        <v>'cscf_enumlocalnumbersenabled ' NVARCHAR2(50)</v>
      </c>
    </row>
    <row r="55" spans="1:7" x14ac:dyDescent="0.3">
      <c r="A55" s="7" t="s">
        <v>510</v>
      </c>
      <c r="B55" s="2" t="s">
        <v>2</v>
      </c>
      <c r="C55" s="2">
        <v>50</v>
      </c>
      <c r="E55">
        <f t="shared" si="0"/>
        <v>30</v>
      </c>
      <c r="G55" s="11" t="str">
        <f t="shared" si="1"/>
        <v>'cscfunallocatetroutingenabled ' NVARCHAR2(50)</v>
      </c>
    </row>
    <row r="56" spans="1:7" x14ac:dyDescent="0.3">
      <c r="A56" s="7" t="s">
        <v>511</v>
      </c>
      <c r="B56" s="2" t="s">
        <v>2</v>
      </c>
      <c r="C56" s="2">
        <v>50</v>
      </c>
      <c r="E56">
        <f t="shared" si="0"/>
        <v>11</v>
      </c>
      <c r="G56" s="11" t="str">
        <f t="shared" si="1"/>
        <v>'bcfenabled ' NVARCHAR2(50)</v>
      </c>
    </row>
    <row r="57" spans="1:7" x14ac:dyDescent="0.3">
      <c r="A57" s="7" t="s">
        <v>512</v>
      </c>
      <c r="B57" s="2" t="s">
        <v>2</v>
      </c>
      <c r="C57" s="2">
        <v>50</v>
      </c>
      <c r="E57">
        <f t="shared" si="0"/>
        <v>22</v>
      </c>
      <c r="G57" s="11" t="str">
        <f t="shared" si="1"/>
        <v>'cscfakaalgorithmentry ' NVARCHAR2(50)</v>
      </c>
    </row>
    <row r="58" spans="1:7" x14ac:dyDescent="0.3">
      <c r="A58" s="7" t="s">
        <v>513</v>
      </c>
      <c r="B58" s="2" t="s">
        <v>2</v>
      </c>
      <c r="C58" s="2">
        <v>50</v>
      </c>
      <c r="E58">
        <f t="shared" si="0"/>
        <v>30</v>
      </c>
      <c r="G58" s="11" t="str">
        <f t="shared" si="1"/>
        <v>'cscf_globalnumnormal_phcontxt ' NVARCHAR2(50)</v>
      </c>
    </row>
    <row r="59" spans="1:7" x14ac:dyDescent="0.3">
      <c r="A59" s="7" t="s">
        <v>514</v>
      </c>
      <c r="B59" s="2" t="s">
        <v>2</v>
      </c>
      <c r="C59" s="2">
        <v>50</v>
      </c>
      <c r="E59">
        <f t="shared" si="0"/>
        <v>22</v>
      </c>
      <c r="G59" s="11" t="str">
        <f t="shared" si="1"/>
        <v>'cscfcicroutingenabled ' NVARCHAR2(50)</v>
      </c>
    </row>
    <row r="60" spans="1:7" x14ac:dyDescent="0.3">
      <c r="A60" s="7" t="s">
        <v>515</v>
      </c>
      <c r="B60" s="2" t="s">
        <v>2</v>
      </c>
      <c r="C60" s="2">
        <v>50</v>
      </c>
      <c r="E60">
        <f t="shared" si="0"/>
        <v>17</v>
      </c>
      <c r="G60" s="11" t="str">
        <f t="shared" si="1"/>
        <v>'cscfphonecontext ' NVARCHAR2(50)</v>
      </c>
    </row>
    <row r="61" spans="1:7" x14ac:dyDescent="0.3">
      <c r="A61" s="7" t="s">
        <v>516</v>
      </c>
      <c r="B61" s="2" t="s">
        <v>2</v>
      </c>
      <c r="C61" s="2">
        <v>50</v>
      </c>
      <c r="E61">
        <f t="shared" si="0"/>
        <v>23</v>
      </c>
      <c r="G61" s="11" t="str">
        <f t="shared" si="1"/>
        <v>'cscfsendrequestudponly ' NVARCHAR2(50)</v>
      </c>
    </row>
    <row r="62" spans="1:7" x14ac:dyDescent="0.3">
      <c r="A62" s="7" t="s">
        <v>517</v>
      </c>
      <c r="B62" s="2" t="s">
        <v>2</v>
      </c>
      <c r="C62" s="2">
        <v>50</v>
      </c>
      <c r="E62">
        <f t="shared" si="0"/>
        <v>15</v>
      </c>
      <c r="G62" s="11" t="str">
        <f t="shared" si="1"/>
        <v>'cscftimerdalue ' NVARCHAR2(50)</v>
      </c>
    </row>
    <row r="63" spans="1:7" x14ac:dyDescent="0.3">
      <c r="A63" s="7" t="s">
        <v>518</v>
      </c>
      <c r="B63" s="2" t="s">
        <v>2</v>
      </c>
      <c r="C63" s="2">
        <v>50</v>
      </c>
      <c r="E63">
        <f t="shared" si="0"/>
        <v>23</v>
      </c>
      <c r="G63" s="11" t="str">
        <f t="shared" si="1"/>
        <v>'cscfscscffailovertimer ' NVARCHAR2(50)</v>
      </c>
    </row>
    <row r="64" spans="1:7" x14ac:dyDescent="0.3">
      <c r="A64" s="7" t="s">
        <v>519</v>
      </c>
      <c r="B64" s="2" t="s">
        <v>2</v>
      </c>
      <c r="C64" s="2">
        <v>50</v>
      </c>
      <c r="E64">
        <f t="shared" si="0"/>
        <v>21</v>
      </c>
      <c r="G64" s="11" t="str">
        <f t="shared" si="1"/>
        <v>'cscfsmpauthorization ' NVARCHAR2(50)</v>
      </c>
    </row>
    <row r="65" spans="1:7" x14ac:dyDescent="0.3">
      <c r="A65" s="7" t="s">
        <v>520</v>
      </c>
      <c r="B65" s="2" t="s">
        <v>2</v>
      </c>
      <c r="C65" s="2">
        <v>50</v>
      </c>
      <c r="E65">
        <f t="shared" si="0"/>
        <v>17</v>
      </c>
      <c r="G65" s="11" t="str">
        <f t="shared" si="1"/>
        <v>'cscftimert4value ' NVARCHAR2(50)</v>
      </c>
    </row>
    <row r="66" spans="1:7" x14ac:dyDescent="0.3">
      <c r="A66" s="7" t="s">
        <v>521</v>
      </c>
      <c r="B66" s="2" t="s">
        <v>2</v>
      </c>
      <c r="C66" s="2">
        <v>50</v>
      </c>
      <c r="E66">
        <f t="shared" si="0"/>
        <v>30</v>
      </c>
      <c r="G66" s="11" t="str">
        <f t="shared" si="1"/>
        <v>'cscf_enableglobalnumbernormal ' NVARCHAR2(50)</v>
      </c>
    </row>
    <row r="67" spans="1:7" x14ac:dyDescent="0.3">
      <c r="A67" s="7" t="s">
        <v>522</v>
      </c>
      <c r="B67" s="2" t="s">
        <v>2</v>
      </c>
      <c r="C67" s="2">
        <v>50</v>
      </c>
      <c r="E67">
        <f t="shared" si="0"/>
        <v>21</v>
      </c>
      <c r="G67" s="11" t="str">
        <f t="shared" ref="G67:G130" si="2">_xlfn.CONCAT("'",A67,"'"," NVARCHAR2","(",C67,")","")</f>
        <v>'cscfactiveusermethod ' NVARCHAR2(50)</v>
      </c>
    </row>
    <row r="68" spans="1:7" x14ac:dyDescent="0.3">
      <c r="A68" s="7" t="s">
        <v>523</v>
      </c>
      <c r="B68" s="2" t="s">
        <v>2</v>
      </c>
      <c r="C68" s="2">
        <v>50</v>
      </c>
      <c r="E68">
        <f t="shared" si="0"/>
        <v>20</v>
      </c>
      <c r="G68" s="11" t="str">
        <f t="shared" si="2"/>
        <v>'bcfoperationalstate ' NVARCHAR2(50)</v>
      </c>
    </row>
    <row r="69" spans="1:7" x14ac:dyDescent="0.3">
      <c r="A69" s="7" t="s">
        <v>524</v>
      </c>
      <c r="B69" s="2" t="s">
        <v>2</v>
      </c>
      <c r="C69" s="2">
        <v>50</v>
      </c>
      <c r="E69">
        <f t="shared" si="0"/>
        <v>30</v>
      </c>
      <c r="G69" s="11" t="str">
        <f t="shared" si="2"/>
        <v>'cscf_dmainbsedpsiroutingentry ' NVARCHAR2(50)</v>
      </c>
    </row>
    <row r="70" spans="1:7" x14ac:dyDescent="0.3">
      <c r="A70" s="7" t="s">
        <v>525</v>
      </c>
      <c r="B70" s="2" t="s">
        <v>2</v>
      </c>
      <c r="C70" s="2">
        <v>50</v>
      </c>
      <c r="E70">
        <f t="shared" ref="E70:E133" si="3">LEN(A70)</f>
        <v>22</v>
      </c>
      <c r="G70" s="11" t="str">
        <f t="shared" si="2"/>
        <v>'cscfsessionrefreshmin ' NVARCHAR2(50)</v>
      </c>
    </row>
    <row r="71" spans="1:7" x14ac:dyDescent="0.3">
      <c r="A71" s="7" t="s">
        <v>526</v>
      </c>
      <c r="B71" s="2" t="s">
        <v>2</v>
      </c>
      <c r="C71" s="2">
        <v>50</v>
      </c>
      <c r="E71">
        <f t="shared" si="3"/>
        <v>18</v>
      </c>
      <c r="G71" s="11" t="str">
        <f t="shared" si="2"/>
        <v>'cscfgaugeinterval ' NVARCHAR2(50)</v>
      </c>
    </row>
    <row r="72" spans="1:7" x14ac:dyDescent="0.3">
      <c r="A72" s="7" t="s">
        <v>527</v>
      </c>
      <c r="B72" s="2" t="s">
        <v>2</v>
      </c>
      <c r="C72" s="2">
        <v>50</v>
      </c>
      <c r="E72">
        <f t="shared" si="3"/>
        <v>20</v>
      </c>
      <c r="G72" s="11" t="str">
        <f t="shared" si="2"/>
        <v>'icscftransitenabled ' NVARCHAR2(50)</v>
      </c>
    </row>
    <row r="73" spans="1:7" x14ac:dyDescent="0.3">
      <c r="A73" s="7" t="s">
        <v>528</v>
      </c>
      <c r="B73" s="2" t="s">
        <v>2</v>
      </c>
      <c r="C73" s="2">
        <v>50</v>
      </c>
      <c r="E73">
        <f t="shared" si="3"/>
        <v>26</v>
      </c>
      <c r="G73" s="11" t="str">
        <f t="shared" si="2"/>
        <v>'cscfrequireuserequalphone ' NVARCHAR2(50)</v>
      </c>
    </row>
    <row r="74" spans="1:7" x14ac:dyDescent="0.3">
      <c r="A74" s="7" t="s">
        <v>529</v>
      </c>
      <c r="B74" s="2" t="s">
        <v>2</v>
      </c>
      <c r="C74" s="2">
        <v>50</v>
      </c>
      <c r="E74">
        <f t="shared" si="3"/>
        <v>13</v>
      </c>
      <c r="G74" s="11" t="str">
        <f t="shared" si="2"/>
        <v>'cscfsippmkey ' NVARCHAR2(50)</v>
      </c>
    </row>
    <row r="75" spans="1:7" x14ac:dyDescent="0.3">
      <c r="A75" s="7" t="s">
        <v>530</v>
      </c>
      <c r="B75" s="2" t="s">
        <v>2</v>
      </c>
      <c r="C75" s="2">
        <v>50</v>
      </c>
      <c r="E75">
        <f t="shared" si="3"/>
        <v>30</v>
      </c>
      <c r="G75" s="11" t="str">
        <f t="shared" si="2"/>
        <v>'cscf_replsreq_uriwthdef_timpu ' NVARCHAR2(50)</v>
      </c>
    </row>
    <row r="76" spans="1:7" x14ac:dyDescent="0.3">
      <c r="A76" s="7" t="s">
        <v>531</v>
      </c>
      <c r="B76" s="2" t="s">
        <v>2</v>
      </c>
      <c r="C76" s="2">
        <v>50</v>
      </c>
      <c r="E76">
        <f t="shared" si="3"/>
        <v>28</v>
      </c>
      <c r="G76" s="11" t="str">
        <f t="shared" si="2"/>
        <v>'cscfextnetselonrnbeforeenum ' NVARCHAR2(50)</v>
      </c>
    </row>
    <row r="77" spans="1:7" x14ac:dyDescent="0.3">
      <c r="A77" s="7" t="s">
        <v>532</v>
      </c>
      <c r="B77" s="2" t="s">
        <v>2</v>
      </c>
      <c r="C77" s="2">
        <v>50</v>
      </c>
      <c r="E77">
        <f t="shared" si="3"/>
        <v>25</v>
      </c>
      <c r="G77" s="11" t="str">
        <f t="shared" si="2"/>
        <v>'cscfonwardroutingenabled ' NVARCHAR2(50)</v>
      </c>
    </row>
    <row r="78" spans="1:7" x14ac:dyDescent="0.3">
      <c r="A78" s="7" t="s">
        <v>533</v>
      </c>
      <c r="B78" s="2" t="s">
        <v>2</v>
      </c>
      <c r="C78" s="2">
        <v>100</v>
      </c>
      <c r="E78">
        <f t="shared" si="3"/>
        <v>22</v>
      </c>
      <c r="G78" s="11" t="str">
        <f t="shared" si="2"/>
        <v>'cscfcxdestinationhost ' NVARCHAR2(100)</v>
      </c>
    </row>
    <row r="79" spans="1:7" x14ac:dyDescent="0.3">
      <c r="A79" s="7" t="s">
        <v>534</v>
      </c>
      <c r="B79" s="2" t="s">
        <v>2</v>
      </c>
      <c r="C79" s="2">
        <v>50</v>
      </c>
      <c r="E79">
        <f t="shared" si="3"/>
        <v>30</v>
      </c>
      <c r="G79" s="11" t="str">
        <f t="shared" si="2"/>
        <v>'cscf_serveduseridentityselect ' NVARCHAR2(50)</v>
      </c>
    </row>
    <row r="80" spans="1:7" x14ac:dyDescent="0.3">
      <c r="A80" s="7" t="s">
        <v>535</v>
      </c>
      <c r="B80" s="2" t="s">
        <v>2</v>
      </c>
      <c r="C80" s="2">
        <v>50</v>
      </c>
      <c r="E80">
        <f t="shared" si="3"/>
        <v>26</v>
      </c>
      <c r="G80" s="11" t="str">
        <f t="shared" si="2"/>
        <v>'cscfprovidedefaultcontext ' NVARCHAR2(50)</v>
      </c>
    </row>
    <row r="81" spans="1:7" x14ac:dyDescent="0.3">
      <c r="A81" s="7" t="s">
        <v>536</v>
      </c>
      <c r="B81" s="2" t="s">
        <v>2</v>
      </c>
      <c r="C81" s="2">
        <v>50</v>
      </c>
      <c r="E81">
        <f t="shared" si="3"/>
        <v>17</v>
      </c>
      <c r="G81" s="11" t="str">
        <f t="shared" si="2"/>
        <v>'cscfforkingtimer ' NVARCHAR2(50)</v>
      </c>
    </row>
    <row r="82" spans="1:7" x14ac:dyDescent="0.3">
      <c r="A82" s="7" t="s">
        <v>537</v>
      </c>
      <c r="B82" s="2" t="s">
        <v>2</v>
      </c>
      <c r="C82" s="2">
        <v>50</v>
      </c>
      <c r="E82">
        <f t="shared" si="3"/>
        <v>28</v>
      </c>
      <c r="G82" s="11" t="str">
        <f t="shared" si="2"/>
        <v>'icscfnoninvitefailovertimer ' NVARCHAR2(50)</v>
      </c>
    </row>
    <row r="83" spans="1:7" x14ac:dyDescent="0.3">
      <c r="A83" s="7" t="s">
        <v>538</v>
      </c>
      <c r="B83" s="2" t="s">
        <v>2</v>
      </c>
      <c r="C83" s="2">
        <v>50</v>
      </c>
      <c r="E83">
        <f t="shared" si="3"/>
        <v>16</v>
      </c>
      <c r="G83" s="11" t="str">
        <f t="shared" si="2"/>
        <v>'cscfispbehavior ' NVARCHAR2(50)</v>
      </c>
    </row>
    <row r="84" spans="1:7" x14ac:dyDescent="0.3">
      <c r="A84" s="7" t="s">
        <v>539</v>
      </c>
      <c r="B84" s="2" t="s">
        <v>2</v>
      </c>
      <c r="C84" s="2">
        <v>50</v>
      </c>
      <c r="E84">
        <f t="shared" si="3"/>
        <v>26</v>
      </c>
      <c r="G84" s="11" t="str">
        <f t="shared" si="2"/>
        <v>'cscfsessionrefreshdefault ' NVARCHAR2(50)</v>
      </c>
    </row>
    <row r="85" spans="1:7" x14ac:dyDescent="0.3">
      <c r="A85" s="7" t="s">
        <v>540</v>
      </c>
      <c r="B85" s="2" t="s">
        <v>2</v>
      </c>
      <c r="C85" s="2">
        <v>50</v>
      </c>
      <c r="E85">
        <f t="shared" si="3"/>
        <v>18</v>
      </c>
      <c r="G85" s="11" t="str">
        <f t="shared" si="2"/>
        <v>'cscfenumtopdomain ' NVARCHAR2(50)</v>
      </c>
    </row>
    <row r="86" spans="1:7" x14ac:dyDescent="0.3">
      <c r="A86" s="7" t="s">
        <v>541</v>
      </c>
      <c r="B86" s="2" t="s">
        <v>2</v>
      </c>
      <c r="C86" s="2">
        <v>100</v>
      </c>
      <c r="E86">
        <f t="shared" si="3"/>
        <v>18</v>
      </c>
      <c r="G86" s="11" t="str">
        <f t="shared" si="2"/>
        <v>'cscfcxoriginrealm ' NVARCHAR2(100)</v>
      </c>
    </row>
    <row r="87" spans="1:7" x14ac:dyDescent="0.3">
      <c r="A87" s="7" t="s">
        <v>542</v>
      </c>
      <c r="B87" s="2" t="s">
        <v>2</v>
      </c>
      <c r="C87" s="2">
        <v>50</v>
      </c>
      <c r="E87">
        <f t="shared" si="3"/>
        <v>21</v>
      </c>
      <c r="G87" s="11" t="str">
        <f t="shared" si="2"/>
        <v>'icscfdomainnameentry ' NVARCHAR2(50)</v>
      </c>
    </row>
    <row r="88" spans="1:7" x14ac:dyDescent="0.3">
      <c r="A88" s="7" t="s">
        <v>543</v>
      </c>
      <c r="B88" s="2" t="s">
        <v>2</v>
      </c>
      <c r="C88" s="2">
        <v>50</v>
      </c>
      <c r="E88">
        <f t="shared" si="3"/>
        <v>16</v>
      </c>
      <c r="G88" s="11" t="str">
        <f t="shared" si="2"/>
        <v>'cscftimercvalue ' NVARCHAR2(50)</v>
      </c>
    </row>
    <row r="89" spans="1:7" x14ac:dyDescent="0.3">
      <c r="A89" s="7" t="s">
        <v>544</v>
      </c>
      <c r="B89" s="2" t="s">
        <v>2</v>
      </c>
      <c r="C89" s="2">
        <v>50</v>
      </c>
      <c r="E89">
        <f t="shared" si="3"/>
        <v>27</v>
      </c>
      <c r="G89" s="11" t="str">
        <f t="shared" si="2"/>
        <v>'cscfoverridedefaultcontext ' NVARCHAR2(50)</v>
      </c>
    </row>
    <row r="90" spans="1:7" x14ac:dyDescent="0.3">
      <c r="A90" s="7" t="s">
        <v>545</v>
      </c>
      <c r="B90" s="2" t="s">
        <v>2</v>
      </c>
      <c r="C90" s="2">
        <v>50</v>
      </c>
      <c r="E90">
        <f t="shared" si="3"/>
        <v>22</v>
      </c>
      <c r="G90" s="11" t="str">
        <f t="shared" si="2"/>
        <v>'cscfsessionrefreshmax ' NVARCHAR2(50)</v>
      </c>
    </row>
    <row r="91" spans="1:7" x14ac:dyDescent="0.3">
      <c r="A91" s="7" t="s">
        <v>546</v>
      </c>
      <c r="B91" s="2" t="s">
        <v>2</v>
      </c>
      <c r="C91" s="2">
        <v>50</v>
      </c>
      <c r="E91">
        <f t="shared" si="3"/>
        <v>30</v>
      </c>
      <c r="G91" s="11" t="str">
        <f t="shared" si="2"/>
        <v>'cscf_cxalwaysuserelmbasedrout ' NVARCHAR2(50)</v>
      </c>
    </row>
    <row r="92" spans="1:7" x14ac:dyDescent="0.3">
      <c r="A92" s="7" t="s">
        <v>547</v>
      </c>
      <c r="B92" s="2" t="s">
        <v>2</v>
      </c>
      <c r="C92" s="2">
        <v>50</v>
      </c>
      <c r="E92">
        <f t="shared" si="3"/>
        <v>16</v>
      </c>
      <c r="G92" s="11" t="str">
        <f t="shared" si="2"/>
        <v>'cscfdomainalias ' NVARCHAR2(50)</v>
      </c>
    </row>
    <row r="93" spans="1:7" x14ac:dyDescent="0.3">
      <c r="A93" s="7" t="s">
        <v>548</v>
      </c>
      <c r="B93" s="2" t="s">
        <v>2</v>
      </c>
      <c r="C93" s="2">
        <v>50</v>
      </c>
      <c r="E93">
        <f t="shared" si="3"/>
        <v>24</v>
      </c>
      <c r="G93" s="11" t="str">
        <f t="shared" si="2"/>
        <v>'cscfdatabasesweepertime ' NVARCHAR2(50)</v>
      </c>
    </row>
    <row r="94" spans="1:7" x14ac:dyDescent="0.3">
      <c r="A94" s="7" t="s">
        <v>549</v>
      </c>
      <c r="B94" s="2" t="s">
        <v>2</v>
      </c>
      <c r="C94" s="2">
        <v>50</v>
      </c>
      <c r="E94">
        <f t="shared" si="3"/>
        <v>21</v>
      </c>
      <c r="G94" s="11" t="str">
        <f t="shared" si="2"/>
        <v>'scscfdomainnameentry ' NVARCHAR2(50)</v>
      </c>
    </row>
    <row r="95" spans="1:7" x14ac:dyDescent="0.3">
      <c r="A95" s="7" t="s">
        <v>550</v>
      </c>
      <c r="B95" s="2" t="s">
        <v>2</v>
      </c>
      <c r="C95" s="2">
        <v>400</v>
      </c>
      <c r="E95">
        <f t="shared" si="3"/>
        <v>10</v>
      </c>
      <c r="G95" s="11" t="str">
        <f t="shared" si="2"/>
        <v>'userlabel ' NVARCHAR2(400)</v>
      </c>
    </row>
    <row r="96" spans="1:7" x14ac:dyDescent="0.3">
      <c r="A96" s="7" t="s">
        <v>551</v>
      </c>
      <c r="B96" s="2" t="s">
        <v>2</v>
      </c>
      <c r="C96" s="2">
        <v>400</v>
      </c>
      <c r="E96">
        <f t="shared" si="3"/>
        <v>6</v>
      </c>
      <c r="G96" s="11" t="str">
        <f t="shared" si="2"/>
        <v>'l3ref ' NVARCHAR2(400)</v>
      </c>
    </row>
    <row r="97" spans="1:7" x14ac:dyDescent="0.3">
      <c r="A97" s="7" t="s">
        <v>552</v>
      </c>
      <c r="B97" s="2" t="s">
        <v>2</v>
      </c>
      <c r="C97" s="2">
        <v>50</v>
      </c>
      <c r="E97">
        <f t="shared" si="3"/>
        <v>7</v>
      </c>
      <c r="G97" s="11" t="str">
        <f t="shared" si="2"/>
        <v>'hostid ' NVARCHAR2(50)</v>
      </c>
    </row>
    <row r="98" spans="1:7" x14ac:dyDescent="0.3">
      <c r="A98" s="7" t="s">
        <v>553</v>
      </c>
      <c r="B98" s="2" t="s">
        <v>2</v>
      </c>
      <c r="C98" s="2">
        <v>50</v>
      </c>
      <c r="E98">
        <f t="shared" si="3"/>
        <v>19</v>
      </c>
      <c r="G98" s="11" t="str">
        <f t="shared" si="2"/>
        <v>'localfilestorepath ' NVARCHAR2(50)</v>
      </c>
    </row>
    <row r="99" spans="1:7" x14ac:dyDescent="0.3">
      <c r="A99" s="7" t="s">
        <v>554</v>
      </c>
      <c r="B99" s="2" t="s">
        <v>2</v>
      </c>
      <c r="C99" s="2">
        <v>50</v>
      </c>
      <c r="E99">
        <f t="shared" si="3"/>
        <v>14</v>
      </c>
      <c r="G99" s="11" t="str">
        <f t="shared" si="2"/>
        <v>'actioncapable ' NVARCHAR2(50)</v>
      </c>
    </row>
    <row r="100" spans="1:7" x14ac:dyDescent="0.3">
      <c r="A100" s="7" t="s">
        <v>555</v>
      </c>
      <c r="B100" s="2" t="s">
        <v>2</v>
      </c>
      <c r="C100" s="2">
        <v>50</v>
      </c>
      <c r="E100">
        <f t="shared" si="3"/>
        <v>14</v>
      </c>
      <c r="G100" s="11" t="str">
        <f t="shared" si="2"/>
        <v>'fallbacktimer ' NVARCHAR2(50)</v>
      </c>
    </row>
    <row r="101" spans="1:7" x14ac:dyDescent="0.3">
      <c r="A101" s="7" t="s">
        <v>103</v>
      </c>
      <c r="B101" s="2" t="s">
        <v>2</v>
      </c>
      <c r="C101" s="2">
        <v>200</v>
      </c>
      <c r="E101">
        <f t="shared" si="3"/>
        <v>17</v>
      </c>
      <c r="G101" s="11" t="str">
        <f t="shared" si="2"/>
        <v>'actioncapableinfo' NVARCHAR2(200)</v>
      </c>
    </row>
    <row r="102" spans="1:7" x14ac:dyDescent="0.3">
      <c r="A102" s="7" t="s">
        <v>556</v>
      </c>
      <c r="B102" s="2" t="s">
        <v>2</v>
      </c>
      <c r="C102" s="2">
        <v>50</v>
      </c>
      <c r="E102">
        <f t="shared" si="3"/>
        <v>6</v>
      </c>
      <c r="G102" s="11" t="str">
        <f t="shared" si="2"/>
        <v>'swmid ' NVARCHAR2(50)</v>
      </c>
    </row>
    <row r="103" spans="1:7" x14ac:dyDescent="0.3">
      <c r="A103" s="7" t="s">
        <v>557</v>
      </c>
      <c r="B103" s="2" t="s">
        <v>2</v>
      </c>
      <c r="C103" s="2">
        <v>50</v>
      </c>
      <c r="E103">
        <f t="shared" si="3"/>
        <v>7</v>
      </c>
      <c r="G103" s="11" t="str">
        <f t="shared" si="2"/>
        <v>'secmid ' NVARCHAR2(50)</v>
      </c>
    </row>
    <row r="104" spans="1:7" x14ac:dyDescent="0.3">
      <c r="A104" s="7" t="s">
        <v>558</v>
      </c>
      <c r="B104" s="2" t="s">
        <v>2</v>
      </c>
      <c r="C104" s="2">
        <v>400</v>
      </c>
      <c r="E104">
        <f t="shared" si="3"/>
        <v>7</v>
      </c>
      <c r="G104" s="11" t="str">
        <f t="shared" si="2"/>
        <v>'active ' NVARCHAR2(400)</v>
      </c>
    </row>
    <row r="105" spans="1:7" x14ac:dyDescent="0.3">
      <c r="A105" s="7" t="s">
        <v>559</v>
      </c>
      <c r="B105" s="2" t="s">
        <v>2</v>
      </c>
      <c r="C105" s="2">
        <v>50</v>
      </c>
      <c r="E105">
        <f t="shared" si="3"/>
        <v>14</v>
      </c>
      <c r="G105" s="11" t="str">
        <f t="shared" si="2"/>
        <v>'swinventoryid ' NVARCHAR2(50)</v>
      </c>
    </row>
    <row r="106" spans="1:7" x14ac:dyDescent="0.3">
      <c r="A106" s="7" t="s">
        <v>560</v>
      </c>
      <c r="B106" s="2" t="s">
        <v>2</v>
      </c>
      <c r="C106" s="2">
        <v>50</v>
      </c>
      <c r="E106">
        <f t="shared" si="3"/>
        <v>23</v>
      </c>
      <c r="G106" s="11" t="str">
        <f t="shared" si="2"/>
        <v>'capacityalarmthreshold ' NVARCHAR2(50)</v>
      </c>
    </row>
    <row r="107" spans="1:7" x14ac:dyDescent="0.3">
      <c r="A107" s="7" t="s">
        <v>561</v>
      </c>
      <c r="B107" s="2" t="s">
        <v>2</v>
      </c>
      <c r="C107" s="2">
        <v>50</v>
      </c>
      <c r="E107">
        <f t="shared" si="3"/>
        <v>20</v>
      </c>
      <c r="G107" s="11" t="str">
        <f t="shared" si="2"/>
        <v>'lastinventorychange ' NVARCHAR2(50)</v>
      </c>
    </row>
    <row r="108" spans="1:7" x14ac:dyDescent="0.3">
      <c r="A108" s="7" t="s">
        <v>562</v>
      </c>
      <c r="B108" s="2" t="s">
        <v>2</v>
      </c>
      <c r="C108" s="2">
        <v>50</v>
      </c>
      <c r="E108">
        <f t="shared" si="3"/>
        <v>12</v>
      </c>
      <c r="G108" s="11" t="str">
        <f t="shared" si="2"/>
        <v>'lockingcode ' NVARCHAR2(50)</v>
      </c>
    </row>
    <row r="109" spans="1:7" x14ac:dyDescent="0.3">
      <c r="A109" s="7" t="s">
        <v>563</v>
      </c>
      <c r="B109" s="2" t="s">
        <v>2</v>
      </c>
      <c r="C109" s="2">
        <v>50</v>
      </c>
      <c r="E109">
        <f t="shared" si="3"/>
        <v>24</v>
      </c>
      <c r="G109" s="11" t="str">
        <f t="shared" si="2"/>
        <v>'capacityalarmhysteresis ' NVARCHAR2(50)</v>
      </c>
    </row>
    <row r="110" spans="1:7" x14ac:dyDescent="0.3">
      <c r="A110" s="7" t="s">
        <v>564</v>
      </c>
      <c r="B110" s="2" t="s">
        <v>2</v>
      </c>
      <c r="C110" s="2">
        <v>200</v>
      </c>
      <c r="E110">
        <f t="shared" si="3"/>
        <v>12</v>
      </c>
      <c r="G110" s="11" t="str">
        <f t="shared" si="2"/>
        <v>'fingerprint ' NVARCHAR2(200)</v>
      </c>
    </row>
    <row r="111" spans="1:7" x14ac:dyDescent="0.3">
      <c r="A111" s="7" t="s">
        <v>565</v>
      </c>
      <c r="B111" s="2" t="s">
        <v>2</v>
      </c>
      <c r="C111" s="2">
        <v>50</v>
      </c>
      <c r="E111">
        <f t="shared" si="3"/>
        <v>30</v>
      </c>
      <c r="G111" s="11" t="str">
        <f t="shared" si="2"/>
        <v>'serversynchronizationinterval ' NVARCHAR2(50)</v>
      </c>
    </row>
    <row r="112" spans="1:7" x14ac:dyDescent="0.3">
      <c r="A112" s="7" t="s">
        <v>566</v>
      </c>
      <c r="B112" s="2" t="s">
        <v>2</v>
      </c>
      <c r="C112" s="2">
        <v>50</v>
      </c>
      <c r="E112">
        <f t="shared" si="3"/>
        <v>8</v>
      </c>
      <c r="G112" s="11" t="str">
        <f t="shared" si="2"/>
        <v>'lmstate ' NVARCHAR2(50)</v>
      </c>
    </row>
    <row r="113" spans="1:7" x14ac:dyDescent="0.3">
      <c r="A113" s="7" t="s">
        <v>567</v>
      </c>
      <c r="B113" s="2" t="s">
        <v>2</v>
      </c>
      <c r="C113" s="2">
        <v>50</v>
      </c>
      <c r="E113">
        <f t="shared" si="3"/>
        <v>22</v>
      </c>
      <c r="G113" s="11" t="str">
        <f t="shared" si="2"/>
        <v>'fingerprintupdateable ' NVARCHAR2(50)</v>
      </c>
    </row>
    <row r="114" spans="1:7" x14ac:dyDescent="0.3">
      <c r="A114" s="7" t="s">
        <v>568</v>
      </c>
      <c r="B114" s="2" t="s">
        <v>2</v>
      </c>
      <c r="C114" s="2">
        <v>50</v>
      </c>
      <c r="E114">
        <f t="shared" si="3"/>
        <v>25</v>
      </c>
      <c r="G114" s="11" t="str">
        <f t="shared" si="2"/>
        <v>'licenseexpirationwarning ' NVARCHAR2(50)</v>
      </c>
    </row>
    <row r="115" spans="1:7" x14ac:dyDescent="0.3">
      <c r="A115" s="7" t="s">
        <v>569</v>
      </c>
      <c r="B115" s="2" t="s">
        <v>2</v>
      </c>
      <c r="C115" s="2">
        <v>50</v>
      </c>
      <c r="E115">
        <f t="shared" si="3"/>
        <v>30</v>
      </c>
      <c r="G115" s="11" t="str">
        <f t="shared" si="2"/>
        <v>'serverreconnectattemptintrval ' NVARCHAR2(50)</v>
      </c>
    </row>
    <row r="116" spans="1:7" x14ac:dyDescent="0.3">
      <c r="A116" s="7" t="s">
        <v>570</v>
      </c>
      <c r="B116" s="2" t="s">
        <v>2</v>
      </c>
      <c r="C116" s="2">
        <v>50</v>
      </c>
      <c r="E116">
        <f t="shared" si="3"/>
        <v>28</v>
      </c>
      <c r="G116" s="11" t="str">
        <f t="shared" si="2"/>
        <v>'lastlicenseinventoryrefresh ' NVARCHAR2(50)</v>
      </c>
    </row>
    <row r="117" spans="1:7" x14ac:dyDescent="0.3">
      <c r="A117" s="7" t="s">
        <v>571</v>
      </c>
      <c r="B117" s="2" t="s">
        <v>2</v>
      </c>
      <c r="C117" s="2">
        <v>50</v>
      </c>
      <c r="E117">
        <f t="shared" si="3"/>
        <v>18</v>
      </c>
      <c r="G117" s="11" t="str">
        <f t="shared" si="2"/>
        <v>'heartbeatinterval ' NVARCHAR2(50)</v>
      </c>
    </row>
    <row r="118" spans="1:7" x14ac:dyDescent="0.3">
      <c r="A118" s="7" t="s">
        <v>572</v>
      </c>
      <c r="B118" s="2" t="s">
        <v>2</v>
      </c>
      <c r="C118" s="2">
        <v>50</v>
      </c>
      <c r="E118">
        <f t="shared" si="3"/>
        <v>5</v>
      </c>
      <c r="G118" s="11" t="str">
        <f t="shared" si="2"/>
        <v>'lmid ' NVARCHAR2(50)</v>
      </c>
    </row>
    <row r="119" spans="1:7" x14ac:dyDescent="0.3">
      <c r="A119" s="7" t="s">
        <v>573</v>
      </c>
      <c r="B119" s="2" t="s">
        <v>2</v>
      </c>
      <c r="C119" s="2">
        <v>50</v>
      </c>
      <c r="E119">
        <f t="shared" si="3"/>
        <v>5</v>
      </c>
      <c r="G119" s="11" t="str">
        <f t="shared" si="2"/>
        <v>'fmid ' NVARCHAR2(50)</v>
      </c>
    </row>
    <row r="120" spans="1:7" x14ac:dyDescent="0.3">
      <c r="A120" s="7" t="s">
        <v>574</v>
      </c>
      <c r="B120" s="2" t="s">
        <v>2</v>
      </c>
      <c r="C120" s="2">
        <v>50</v>
      </c>
      <c r="E120">
        <f t="shared" si="3"/>
        <v>7</v>
      </c>
      <c r="G120" s="11" t="str">
        <f t="shared" si="2"/>
        <v>'sysmid ' NVARCHAR2(50)</v>
      </c>
    </row>
    <row r="121" spans="1:7" x14ac:dyDescent="0.3">
      <c r="A121" s="7" t="s">
        <v>575</v>
      </c>
      <c r="B121" s="2" t="s">
        <v>2</v>
      </c>
      <c r="C121" s="2">
        <v>50</v>
      </c>
      <c r="E121">
        <f t="shared" si="3"/>
        <v>5</v>
      </c>
      <c r="G121" s="11" t="str">
        <f t="shared" si="2"/>
        <v>'pmid ' NVARCHAR2(50)</v>
      </c>
    </row>
    <row r="122" spans="1:7" x14ac:dyDescent="0.3">
      <c r="A122" s="7" t="s">
        <v>576</v>
      </c>
      <c r="B122" s="2" t="s">
        <v>2</v>
      </c>
      <c r="C122" s="2">
        <v>50</v>
      </c>
      <c r="E122">
        <f t="shared" si="3"/>
        <v>8</v>
      </c>
      <c r="G122" s="11" t="str">
        <f t="shared" si="2"/>
        <v>'filemid ' NVARCHAR2(50)</v>
      </c>
    </row>
    <row r="123" spans="1:7" x14ac:dyDescent="0.3">
      <c r="A123" s="7" t="s">
        <v>577</v>
      </c>
      <c r="B123" s="2" t="s">
        <v>2</v>
      </c>
      <c r="C123" s="2">
        <v>50</v>
      </c>
      <c r="E123">
        <f t="shared" si="3"/>
        <v>6</v>
      </c>
      <c r="G123" s="11" t="str">
        <f t="shared" si="2"/>
        <v>'brmid ' NVARCHAR2(50)</v>
      </c>
    </row>
    <row r="124" spans="1:7" x14ac:dyDescent="0.3">
      <c r="A124" s="7" t="s">
        <v>578</v>
      </c>
      <c r="B124" s="2" t="s">
        <v>2</v>
      </c>
      <c r="C124" s="2">
        <v>50</v>
      </c>
      <c r="E124">
        <f t="shared" si="3"/>
        <v>25</v>
      </c>
      <c r="G124" s="11" t="str">
        <f t="shared" si="2"/>
        <v>'exportpackagelabelprefix ' NVARCHAR2(50)</v>
      </c>
    </row>
    <row r="125" spans="1:7" x14ac:dyDescent="0.3">
      <c r="A125" s="7" t="s">
        <v>579</v>
      </c>
      <c r="B125" s="2" t="s">
        <v>2</v>
      </c>
      <c r="C125" s="2">
        <v>50</v>
      </c>
      <c r="E125">
        <f t="shared" si="3"/>
        <v>10</v>
      </c>
      <c r="G125" s="11" t="str">
        <f t="shared" si="2"/>
        <v>'sbglistid ' NVARCHAR2(50)</v>
      </c>
    </row>
    <row r="126" spans="1:7" x14ac:dyDescent="0.3">
      <c r="A126" s="7" t="s">
        <v>580</v>
      </c>
      <c r="B126" s="2" t="s">
        <v>2</v>
      </c>
      <c r="C126" s="2">
        <v>50</v>
      </c>
      <c r="E126">
        <f t="shared" si="3"/>
        <v>26</v>
      </c>
      <c r="G126" s="11" t="str">
        <f t="shared" si="2"/>
        <v>'excessivetrafficthreshold ' NVARCHAR2(50)</v>
      </c>
    </row>
    <row r="127" spans="1:7" x14ac:dyDescent="0.3">
      <c r="A127" s="7" t="s">
        <v>581</v>
      </c>
      <c r="B127" s="2" t="s">
        <v>2</v>
      </c>
      <c r="C127" s="2">
        <v>50</v>
      </c>
      <c r="E127">
        <f t="shared" si="3"/>
        <v>24</v>
      </c>
      <c r="G127" s="11" t="str">
        <f t="shared" si="2"/>
        <v>'bgftrafficsupervisionid ' NVARCHAR2(50)</v>
      </c>
    </row>
    <row r="128" spans="1:7" x14ac:dyDescent="0.3">
      <c r="A128" s="7" t="s">
        <v>582</v>
      </c>
      <c r="B128" s="2" t="s">
        <v>2</v>
      </c>
      <c r="C128" s="2">
        <v>50</v>
      </c>
      <c r="E128">
        <f t="shared" si="3"/>
        <v>15</v>
      </c>
      <c r="G128" s="11" t="str">
        <f t="shared" si="2"/>
        <v>'msprocessingid ' NVARCHAR2(50)</v>
      </c>
    </row>
    <row r="129" spans="1:7" x14ac:dyDescent="0.3">
      <c r="A129" s="7" t="s">
        <v>583</v>
      </c>
      <c r="B129" s="2" t="s">
        <v>2</v>
      </c>
      <c r="C129" s="2">
        <v>50</v>
      </c>
      <c r="E129">
        <f t="shared" si="3"/>
        <v>10</v>
      </c>
      <c r="G129" s="11" t="str">
        <f t="shared" si="2"/>
        <v>'codinglaw ' NVARCHAR2(50)</v>
      </c>
    </row>
    <row r="130" spans="1:7" x14ac:dyDescent="0.3">
      <c r="A130" s="7" t="s">
        <v>584</v>
      </c>
      <c r="B130" s="2" t="s">
        <v>2</v>
      </c>
      <c r="C130" s="2">
        <v>50</v>
      </c>
      <c r="E130">
        <f t="shared" si="3"/>
        <v>14</v>
      </c>
      <c r="G130" s="11" t="str">
        <f t="shared" si="2"/>
        <v>'bgfnetworksid ' NVARCHAR2(50)</v>
      </c>
    </row>
    <row r="131" spans="1:7" x14ac:dyDescent="0.3">
      <c r="A131" s="7" t="s">
        <v>585</v>
      </c>
      <c r="B131" s="2" t="s">
        <v>2</v>
      </c>
      <c r="C131" s="2">
        <v>50</v>
      </c>
      <c r="E131">
        <f t="shared" si="3"/>
        <v>15</v>
      </c>
      <c r="G131" s="11" t="str">
        <f t="shared" ref="G131:G194" si="4">_xlfn.CONCAT("'",A131,"'"," NVARCHAR2","(",C131,")","")</f>
        <v>'localipaddress ' NVARCHAR2(50)</v>
      </c>
    </row>
    <row r="132" spans="1:7" x14ac:dyDescent="0.3">
      <c r="A132" s="7" t="s">
        <v>586</v>
      </c>
      <c r="B132" s="2" t="s">
        <v>2</v>
      </c>
      <c r="C132" s="2">
        <v>50</v>
      </c>
      <c r="E132">
        <f t="shared" si="3"/>
        <v>11</v>
      </c>
      <c r="G132" s="11" t="str">
        <f t="shared" si="4"/>
        <v>'portnumber ' NVARCHAR2(50)</v>
      </c>
    </row>
    <row r="133" spans="1:7" x14ac:dyDescent="0.3">
      <c r="A133" s="7" t="s">
        <v>587</v>
      </c>
      <c r="B133" s="2" t="s">
        <v>2</v>
      </c>
      <c r="C133" s="2">
        <v>50</v>
      </c>
      <c r="E133">
        <f t="shared" si="3"/>
        <v>15</v>
      </c>
      <c r="G133" s="11" t="str">
        <f t="shared" si="4"/>
        <v>'sctpendpointid ' NVARCHAR2(50)</v>
      </c>
    </row>
    <row r="134" spans="1:7" x14ac:dyDescent="0.3">
      <c r="A134" s="7" t="s">
        <v>588</v>
      </c>
      <c r="B134" s="2" t="s">
        <v>2</v>
      </c>
      <c r="C134" s="2">
        <v>50</v>
      </c>
      <c r="E134">
        <f t="shared" ref="E134:E197" si="5">LEN(A134)</f>
        <v>14</v>
      </c>
      <c r="G134" s="11" t="str">
        <f t="shared" si="4"/>
        <v>'bgfresourceid ' NVARCHAR2(50)</v>
      </c>
    </row>
    <row r="135" spans="1:7" x14ac:dyDescent="0.3">
      <c r="A135" s="7" t="s">
        <v>780</v>
      </c>
      <c r="B135" s="2" t="s">
        <v>2</v>
      </c>
      <c r="C135" s="2">
        <v>50</v>
      </c>
      <c r="E135">
        <f t="shared" si="5"/>
        <v>6</v>
      </c>
      <c r="G135" s="11" t="str">
        <f t="shared" si="4"/>
        <v>'dscp10' NVARCHAR2(50)</v>
      </c>
    </row>
    <row r="136" spans="1:7" x14ac:dyDescent="0.3">
      <c r="A136" s="7" t="s">
        <v>589</v>
      </c>
      <c r="B136" s="2" t="s">
        <v>2</v>
      </c>
      <c r="C136" s="2">
        <v>50</v>
      </c>
      <c r="E136">
        <f t="shared" si="5"/>
        <v>7</v>
      </c>
      <c r="G136" s="11" t="str">
        <f t="shared" si="4"/>
        <v>'dscp39 ' NVARCHAR2(50)</v>
      </c>
    </row>
    <row r="137" spans="1:7" x14ac:dyDescent="0.3">
      <c r="A137" s="7" t="s">
        <v>590</v>
      </c>
      <c r="B137" s="2" t="s">
        <v>2</v>
      </c>
      <c r="C137" s="2">
        <v>50</v>
      </c>
      <c r="E137">
        <f t="shared" si="5"/>
        <v>7</v>
      </c>
      <c r="G137" s="11" t="str">
        <f t="shared" si="4"/>
        <v>'dscp38 ' NVARCHAR2(50)</v>
      </c>
    </row>
    <row r="138" spans="1:7" x14ac:dyDescent="0.3">
      <c r="A138" s="7" t="s">
        <v>591</v>
      </c>
      <c r="B138" s="2" t="s">
        <v>2</v>
      </c>
      <c r="C138" s="2">
        <v>50</v>
      </c>
      <c r="E138">
        <f t="shared" si="5"/>
        <v>7</v>
      </c>
      <c r="G138" s="11" t="str">
        <f t="shared" si="4"/>
        <v>'dscp37 ' NVARCHAR2(50)</v>
      </c>
    </row>
    <row r="139" spans="1:7" x14ac:dyDescent="0.3">
      <c r="A139" s="7" t="s">
        <v>592</v>
      </c>
      <c r="B139" s="2" t="s">
        <v>2</v>
      </c>
      <c r="C139" s="2">
        <v>50</v>
      </c>
      <c r="E139">
        <f t="shared" si="5"/>
        <v>13</v>
      </c>
      <c r="G139" s="11" t="str">
        <f t="shared" si="4"/>
        <v>'dscptopbitid ' NVARCHAR2(50)</v>
      </c>
    </row>
    <row r="140" spans="1:7" x14ac:dyDescent="0.3">
      <c r="A140" s="7" t="s">
        <v>593</v>
      </c>
      <c r="B140" s="2" t="s">
        <v>2</v>
      </c>
      <c r="C140" s="2">
        <v>50</v>
      </c>
      <c r="E140">
        <f t="shared" si="5"/>
        <v>7</v>
      </c>
      <c r="G140" s="11" t="str">
        <f t="shared" si="4"/>
        <v>'dscp03 ' NVARCHAR2(50)</v>
      </c>
    </row>
    <row r="141" spans="1:7" x14ac:dyDescent="0.3">
      <c r="A141" s="7" t="s">
        <v>594</v>
      </c>
      <c r="B141" s="2" t="s">
        <v>2</v>
      </c>
      <c r="C141" s="2">
        <v>50</v>
      </c>
      <c r="E141">
        <f t="shared" si="5"/>
        <v>7</v>
      </c>
      <c r="G141" s="11" t="str">
        <f t="shared" si="4"/>
        <v>'dscp47 ' NVARCHAR2(50)</v>
      </c>
    </row>
    <row r="142" spans="1:7" x14ac:dyDescent="0.3">
      <c r="A142" s="7" t="s">
        <v>595</v>
      </c>
      <c r="B142" s="2" t="s">
        <v>2</v>
      </c>
      <c r="C142" s="2">
        <v>50</v>
      </c>
      <c r="E142">
        <f t="shared" si="5"/>
        <v>7</v>
      </c>
      <c r="G142" s="11" t="str">
        <f t="shared" si="4"/>
        <v>'dscp46 ' NVARCHAR2(50)</v>
      </c>
    </row>
    <row r="143" spans="1:7" x14ac:dyDescent="0.3">
      <c r="A143" s="7" t="s">
        <v>596</v>
      </c>
      <c r="B143" s="2" t="s">
        <v>2</v>
      </c>
      <c r="C143" s="2">
        <v>50</v>
      </c>
      <c r="E143">
        <f t="shared" si="5"/>
        <v>7</v>
      </c>
      <c r="G143" s="11" t="str">
        <f t="shared" si="4"/>
        <v>'dscp02 ' NVARCHAR2(50)</v>
      </c>
    </row>
    <row r="144" spans="1:7" x14ac:dyDescent="0.3">
      <c r="A144" s="7" t="s">
        <v>597</v>
      </c>
      <c r="B144" s="2" t="s">
        <v>2</v>
      </c>
      <c r="C144" s="2">
        <v>50</v>
      </c>
      <c r="E144">
        <f t="shared" si="5"/>
        <v>7</v>
      </c>
      <c r="G144" s="11" t="str">
        <f t="shared" si="4"/>
        <v>'dscp45 ' NVARCHAR2(50)</v>
      </c>
    </row>
    <row r="145" spans="1:7" x14ac:dyDescent="0.3">
      <c r="A145" s="7" t="s">
        <v>598</v>
      </c>
      <c r="B145" s="2" t="s">
        <v>2</v>
      </c>
      <c r="C145" s="2">
        <v>50</v>
      </c>
      <c r="E145">
        <f t="shared" si="5"/>
        <v>7</v>
      </c>
      <c r="G145" s="11" t="str">
        <f t="shared" si="4"/>
        <v>'dscp01 ' NVARCHAR2(50)</v>
      </c>
    </row>
    <row r="146" spans="1:7" x14ac:dyDescent="0.3">
      <c r="A146" s="7" t="s">
        <v>599</v>
      </c>
      <c r="B146" s="2" t="s">
        <v>2</v>
      </c>
      <c r="C146" s="2">
        <v>50</v>
      </c>
      <c r="E146">
        <f t="shared" si="5"/>
        <v>7</v>
      </c>
      <c r="G146" s="11" t="str">
        <f t="shared" si="4"/>
        <v>'dscp44 ' NVARCHAR2(50)</v>
      </c>
    </row>
    <row r="147" spans="1:7" x14ac:dyDescent="0.3">
      <c r="A147" s="7" t="s">
        <v>600</v>
      </c>
      <c r="B147" s="2" t="s">
        <v>2</v>
      </c>
      <c r="C147" s="2">
        <v>50</v>
      </c>
      <c r="E147">
        <f t="shared" si="5"/>
        <v>7</v>
      </c>
      <c r="G147" s="11" t="str">
        <f t="shared" si="4"/>
        <v>'dscp00 ' NVARCHAR2(50)</v>
      </c>
    </row>
    <row r="148" spans="1:7" x14ac:dyDescent="0.3">
      <c r="A148" s="7" t="s">
        <v>601</v>
      </c>
      <c r="B148" s="2" t="s">
        <v>2</v>
      </c>
      <c r="C148" s="2">
        <v>50</v>
      </c>
      <c r="E148">
        <f t="shared" si="5"/>
        <v>7</v>
      </c>
      <c r="G148" s="11" t="str">
        <f t="shared" si="4"/>
        <v>'dscp43 ' NVARCHAR2(50)</v>
      </c>
    </row>
    <row r="149" spans="1:7" x14ac:dyDescent="0.3">
      <c r="A149" s="7" t="s">
        <v>602</v>
      </c>
      <c r="B149" s="2" t="s">
        <v>2</v>
      </c>
      <c r="C149" s="2">
        <v>50</v>
      </c>
      <c r="E149">
        <f t="shared" si="5"/>
        <v>7</v>
      </c>
      <c r="G149" s="11" t="str">
        <f t="shared" si="4"/>
        <v>'dscp42 ' NVARCHAR2(50)</v>
      </c>
    </row>
    <row r="150" spans="1:7" x14ac:dyDescent="0.3">
      <c r="A150" s="7" t="s">
        <v>603</v>
      </c>
      <c r="B150" s="2" t="s">
        <v>2</v>
      </c>
      <c r="C150" s="2">
        <v>50</v>
      </c>
      <c r="E150">
        <f t="shared" si="5"/>
        <v>7</v>
      </c>
      <c r="G150" s="11" t="str">
        <f t="shared" si="4"/>
        <v>'dscp41 ' NVARCHAR2(50)</v>
      </c>
    </row>
    <row r="151" spans="1:7" x14ac:dyDescent="0.3">
      <c r="A151" s="7" t="s">
        <v>604</v>
      </c>
      <c r="B151" s="2" t="s">
        <v>2</v>
      </c>
      <c r="C151" s="2">
        <v>50</v>
      </c>
      <c r="E151">
        <f t="shared" si="5"/>
        <v>7</v>
      </c>
      <c r="G151" s="11" t="str">
        <f t="shared" si="4"/>
        <v>'dscp40 ' NVARCHAR2(50)</v>
      </c>
    </row>
    <row r="152" spans="1:7" x14ac:dyDescent="0.3">
      <c r="A152" s="7" t="s">
        <v>605</v>
      </c>
      <c r="B152" s="2" t="s">
        <v>2</v>
      </c>
      <c r="C152" s="2">
        <v>50</v>
      </c>
      <c r="E152">
        <f t="shared" si="5"/>
        <v>7</v>
      </c>
      <c r="G152" s="11" t="str">
        <f t="shared" si="4"/>
        <v>'dscp29 ' NVARCHAR2(50)</v>
      </c>
    </row>
    <row r="153" spans="1:7" x14ac:dyDescent="0.3">
      <c r="A153" s="7" t="s">
        <v>606</v>
      </c>
      <c r="B153" s="2" t="s">
        <v>2</v>
      </c>
      <c r="C153" s="2">
        <v>50</v>
      </c>
      <c r="E153">
        <f t="shared" si="5"/>
        <v>7</v>
      </c>
      <c r="G153" s="11" t="str">
        <f t="shared" si="4"/>
        <v>'dscp28 ' NVARCHAR2(50)</v>
      </c>
    </row>
    <row r="154" spans="1:7" x14ac:dyDescent="0.3">
      <c r="A154" s="7" t="s">
        <v>607</v>
      </c>
      <c r="B154" s="2" t="s">
        <v>2</v>
      </c>
      <c r="C154" s="2">
        <v>50</v>
      </c>
      <c r="E154">
        <f t="shared" si="5"/>
        <v>7</v>
      </c>
      <c r="G154" s="11" t="str">
        <f t="shared" si="4"/>
        <v>'dscp27 ' NVARCHAR2(50)</v>
      </c>
    </row>
    <row r="155" spans="1:7" x14ac:dyDescent="0.3">
      <c r="A155" s="7" t="s">
        <v>608</v>
      </c>
      <c r="B155" s="2" t="s">
        <v>2</v>
      </c>
      <c r="C155" s="2">
        <v>50</v>
      </c>
      <c r="E155">
        <f t="shared" si="5"/>
        <v>7</v>
      </c>
      <c r="G155" s="11" t="str">
        <f t="shared" si="4"/>
        <v>'dscp26 ' NVARCHAR2(50)</v>
      </c>
    </row>
    <row r="156" spans="1:7" x14ac:dyDescent="0.3">
      <c r="A156" s="7" t="s">
        <v>609</v>
      </c>
      <c r="B156" s="2" t="s">
        <v>2</v>
      </c>
      <c r="C156" s="2">
        <v>50</v>
      </c>
      <c r="E156">
        <f t="shared" si="5"/>
        <v>7</v>
      </c>
      <c r="G156" s="11" t="str">
        <f t="shared" si="4"/>
        <v>'dscp36 ' NVARCHAR2(50)</v>
      </c>
    </row>
    <row r="157" spans="1:7" x14ac:dyDescent="0.3">
      <c r="A157" s="7" t="s">
        <v>610</v>
      </c>
      <c r="B157" s="2" t="s">
        <v>2</v>
      </c>
      <c r="C157" s="2">
        <v>50</v>
      </c>
      <c r="E157">
        <f t="shared" si="5"/>
        <v>7</v>
      </c>
      <c r="G157" s="11" t="str">
        <f t="shared" si="4"/>
        <v>'dscp35 ' NVARCHAR2(50)</v>
      </c>
    </row>
    <row r="158" spans="1:7" x14ac:dyDescent="0.3">
      <c r="A158" s="7" t="s">
        <v>611</v>
      </c>
      <c r="B158" s="2" t="s">
        <v>2</v>
      </c>
      <c r="C158" s="2">
        <v>50</v>
      </c>
      <c r="E158">
        <f t="shared" si="5"/>
        <v>7</v>
      </c>
      <c r="G158" s="11" t="str">
        <f t="shared" si="4"/>
        <v>'dscp34 ' NVARCHAR2(50)</v>
      </c>
    </row>
    <row r="159" spans="1:7" x14ac:dyDescent="0.3">
      <c r="A159" s="7" t="s">
        <v>612</v>
      </c>
      <c r="B159" s="2" t="s">
        <v>2</v>
      </c>
      <c r="C159" s="2">
        <v>50</v>
      </c>
      <c r="E159">
        <f t="shared" si="5"/>
        <v>7</v>
      </c>
      <c r="G159" s="11" t="str">
        <f t="shared" si="4"/>
        <v>'dscp33 ' NVARCHAR2(50)</v>
      </c>
    </row>
    <row r="160" spans="1:7" x14ac:dyDescent="0.3">
      <c r="A160" s="7" t="s">
        <v>613</v>
      </c>
      <c r="B160" s="2" t="s">
        <v>2</v>
      </c>
      <c r="C160" s="2">
        <v>50</v>
      </c>
      <c r="E160">
        <f t="shared" si="5"/>
        <v>7</v>
      </c>
      <c r="G160" s="11" t="str">
        <f t="shared" si="4"/>
        <v>'dscp32 ' NVARCHAR2(50)</v>
      </c>
    </row>
    <row r="161" spans="1:7" x14ac:dyDescent="0.3">
      <c r="A161" s="7" t="s">
        <v>614</v>
      </c>
      <c r="B161" s="2" t="s">
        <v>2</v>
      </c>
      <c r="C161" s="2">
        <v>50</v>
      </c>
      <c r="E161">
        <f t="shared" si="5"/>
        <v>7</v>
      </c>
      <c r="G161" s="11" t="str">
        <f t="shared" si="4"/>
        <v>'dscp31 ' NVARCHAR2(50)</v>
      </c>
    </row>
    <row r="162" spans="1:7" x14ac:dyDescent="0.3">
      <c r="A162" s="7" t="s">
        <v>615</v>
      </c>
      <c r="B162" s="2" t="s">
        <v>2</v>
      </c>
      <c r="C162" s="2">
        <v>50</v>
      </c>
      <c r="E162">
        <f t="shared" si="5"/>
        <v>7</v>
      </c>
      <c r="G162" s="11" t="str">
        <f t="shared" si="4"/>
        <v>'dscp30 ' NVARCHAR2(50)</v>
      </c>
    </row>
    <row r="163" spans="1:7" x14ac:dyDescent="0.3">
      <c r="A163" s="7" t="s">
        <v>616</v>
      </c>
      <c r="B163" s="2" t="s">
        <v>2</v>
      </c>
      <c r="C163" s="2">
        <v>50</v>
      </c>
      <c r="E163">
        <f t="shared" si="5"/>
        <v>7</v>
      </c>
      <c r="G163" s="11" t="str">
        <f t="shared" si="4"/>
        <v>'dscp19 ' NVARCHAR2(50)</v>
      </c>
    </row>
    <row r="164" spans="1:7" x14ac:dyDescent="0.3">
      <c r="A164" s="7" t="s">
        <v>617</v>
      </c>
      <c r="B164" s="2" t="s">
        <v>2</v>
      </c>
      <c r="C164" s="2">
        <v>50</v>
      </c>
      <c r="E164">
        <f t="shared" si="5"/>
        <v>7</v>
      </c>
      <c r="G164" s="11" t="str">
        <f t="shared" si="4"/>
        <v>'dscp18 ' NVARCHAR2(50)</v>
      </c>
    </row>
    <row r="165" spans="1:7" x14ac:dyDescent="0.3">
      <c r="A165" s="7" t="s">
        <v>618</v>
      </c>
      <c r="B165" s="2" t="s">
        <v>2</v>
      </c>
      <c r="C165" s="2">
        <v>50</v>
      </c>
      <c r="E165">
        <f t="shared" si="5"/>
        <v>7</v>
      </c>
      <c r="G165" s="11" t="str">
        <f t="shared" si="4"/>
        <v>'dscp17 ' NVARCHAR2(50)</v>
      </c>
    </row>
    <row r="166" spans="1:7" x14ac:dyDescent="0.3">
      <c r="A166" s="7" t="s">
        <v>619</v>
      </c>
      <c r="B166" s="2" t="s">
        <v>2</v>
      </c>
      <c r="C166" s="2">
        <v>50</v>
      </c>
      <c r="E166">
        <f t="shared" si="5"/>
        <v>7</v>
      </c>
      <c r="G166" s="11" t="str">
        <f t="shared" si="4"/>
        <v>'dscp16 ' NVARCHAR2(50)</v>
      </c>
    </row>
    <row r="167" spans="1:7" x14ac:dyDescent="0.3">
      <c r="A167" s="7" t="s">
        <v>620</v>
      </c>
      <c r="B167" s="2" t="s">
        <v>2</v>
      </c>
      <c r="C167" s="2">
        <v>50</v>
      </c>
      <c r="E167">
        <f t="shared" si="5"/>
        <v>7</v>
      </c>
      <c r="G167" s="11" t="str">
        <f t="shared" si="4"/>
        <v>'dscp59 ' NVARCHAR2(50)</v>
      </c>
    </row>
    <row r="168" spans="1:7" x14ac:dyDescent="0.3">
      <c r="A168" s="7" t="s">
        <v>621</v>
      </c>
      <c r="B168" s="2" t="s">
        <v>2</v>
      </c>
      <c r="C168" s="2">
        <v>50</v>
      </c>
      <c r="E168">
        <f t="shared" si="5"/>
        <v>7</v>
      </c>
      <c r="G168" s="11" t="str">
        <f t="shared" si="4"/>
        <v>'dscp15 ' NVARCHAR2(50)</v>
      </c>
    </row>
    <row r="169" spans="1:7" x14ac:dyDescent="0.3">
      <c r="A169" s="7" t="s">
        <v>622</v>
      </c>
      <c r="B169" s="2" t="s">
        <v>2</v>
      </c>
      <c r="C169" s="2">
        <v>50</v>
      </c>
      <c r="E169">
        <f t="shared" si="5"/>
        <v>7</v>
      </c>
      <c r="G169" s="11" t="str">
        <f t="shared" si="4"/>
        <v>'dscp61 ' NVARCHAR2(50)</v>
      </c>
    </row>
    <row r="170" spans="1:7" x14ac:dyDescent="0.3">
      <c r="A170" s="7" t="s">
        <v>623</v>
      </c>
      <c r="B170" s="2" t="s">
        <v>2</v>
      </c>
      <c r="C170" s="2">
        <v>50</v>
      </c>
      <c r="E170">
        <f t="shared" si="5"/>
        <v>7</v>
      </c>
      <c r="G170" s="11" t="str">
        <f t="shared" si="4"/>
        <v>'dscp60 ' NVARCHAR2(50)</v>
      </c>
    </row>
    <row r="171" spans="1:7" x14ac:dyDescent="0.3">
      <c r="A171" s="7" t="s">
        <v>624</v>
      </c>
      <c r="B171" s="2" t="s">
        <v>2</v>
      </c>
      <c r="C171" s="2">
        <v>50</v>
      </c>
      <c r="E171">
        <f t="shared" si="5"/>
        <v>7</v>
      </c>
      <c r="G171" s="11" t="str">
        <f t="shared" si="4"/>
        <v>'dscp25 ' NVARCHAR2(50)</v>
      </c>
    </row>
    <row r="172" spans="1:7" x14ac:dyDescent="0.3">
      <c r="A172" s="7" t="s">
        <v>625</v>
      </c>
      <c r="B172" s="2" t="s">
        <v>2</v>
      </c>
      <c r="C172" s="2">
        <v>50</v>
      </c>
      <c r="E172">
        <f t="shared" si="5"/>
        <v>7</v>
      </c>
      <c r="G172" s="11" t="str">
        <f t="shared" si="4"/>
        <v>'dscp24 ' NVARCHAR2(50)</v>
      </c>
    </row>
    <row r="173" spans="1:7" x14ac:dyDescent="0.3">
      <c r="A173" s="7" t="s">
        <v>626</v>
      </c>
      <c r="B173" s="2" t="s">
        <v>2</v>
      </c>
      <c r="C173" s="2">
        <v>50</v>
      </c>
      <c r="E173">
        <f t="shared" si="5"/>
        <v>7</v>
      </c>
      <c r="G173" s="11" t="str">
        <f t="shared" si="4"/>
        <v>'dscp23 ' NVARCHAR2(50)</v>
      </c>
    </row>
    <row r="174" spans="1:7" x14ac:dyDescent="0.3">
      <c r="A174" s="7" t="s">
        <v>627</v>
      </c>
      <c r="B174" s="2" t="s">
        <v>2</v>
      </c>
      <c r="C174" s="2">
        <v>50</v>
      </c>
      <c r="E174">
        <f t="shared" si="5"/>
        <v>7</v>
      </c>
      <c r="G174" s="11" t="str">
        <f t="shared" si="4"/>
        <v>'dscp22 ' NVARCHAR2(50)</v>
      </c>
    </row>
    <row r="175" spans="1:7" x14ac:dyDescent="0.3">
      <c r="A175" s="7" t="s">
        <v>628</v>
      </c>
      <c r="B175" s="2" t="s">
        <v>2</v>
      </c>
      <c r="C175" s="2">
        <v>50</v>
      </c>
      <c r="E175">
        <f t="shared" si="5"/>
        <v>7</v>
      </c>
      <c r="G175" s="11" t="str">
        <f t="shared" si="4"/>
        <v>'dscp21 ' NVARCHAR2(50)</v>
      </c>
    </row>
    <row r="176" spans="1:7" x14ac:dyDescent="0.3">
      <c r="A176" s="7" t="s">
        <v>629</v>
      </c>
      <c r="B176" s="2" t="s">
        <v>2</v>
      </c>
      <c r="C176" s="2">
        <v>50</v>
      </c>
      <c r="E176">
        <f t="shared" si="5"/>
        <v>7</v>
      </c>
      <c r="G176" s="11" t="str">
        <f t="shared" si="4"/>
        <v>'dscp20 ' NVARCHAR2(50)</v>
      </c>
    </row>
    <row r="177" spans="1:7" x14ac:dyDescent="0.3">
      <c r="A177" s="7" t="s">
        <v>630</v>
      </c>
      <c r="B177" s="2" t="s">
        <v>2</v>
      </c>
      <c r="C177" s="2">
        <v>50</v>
      </c>
      <c r="E177">
        <f t="shared" si="5"/>
        <v>7</v>
      </c>
      <c r="G177" s="11" t="str">
        <f t="shared" si="4"/>
        <v>'dscp63 ' NVARCHAR2(50)</v>
      </c>
    </row>
    <row r="178" spans="1:7" x14ac:dyDescent="0.3">
      <c r="A178" s="7" t="s">
        <v>631</v>
      </c>
      <c r="B178" s="2" t="s">
        <v>2</v>
      </c>
      <c r="C178" s="2">
        <v>50</v>
      </c>
      <c r="E178">
        <f t="shared" si="5"/>
        <v>7</v>
      </c>
      <c r="G178" s="11" t="str">
        <f t="shared" si="4"/>
        <v>'dscp62 ' NVARCHAR2(50)</v>
      </c>
    </row>
    <row r="179" spans="1:7" x14ac:dyDescent="0.3">
      <c r="A179" s="7" t="s">
        <v>632</v>
      </c>
      <c r="B179" s="2" t="s">
        <v>2</v>
      </c>
      <c r="C179" s="2">
        <v>50</v>
      </c>
      <c r="E179">
        <f t="shared" si="5"/>
        <v>7</v>
      </c>
      <c r="G179" s="11" t="str">
        <f t="shared" si="4"/>
        <v>'dscp09 ' NVARCHAR2(50)</v>
      </c>
    </row>
    <row r="180" spans="1:7" x14ac:dyDescent="0.3">
      <c r="A180" s="7" t="s">
        <v>633</v>
      </c>
      <c r="B180" s="2" t="s">
        <v>2</v>
      </c>
      <c r="C180" s="2">
        <v>50</v>
      </c>
      <c r="E180">
        <f t="shared" si="5"/>
        <v>7</v>
      </c>
      <c r="G180" s="11" t="str">
        <f t="shared" si="4"/>
        <v>'dscp08 ' NVARCHAR2(50)</v>
      </c>
    </row>
    <row r="181" spans="1:7" x14ac:dyDescent="0.3">
      <c r="A181" s="7" t="s">
        <v>634</v>
      </c>
      <c r="B181" s="2" t="s">
        <v>2</v>
      </c>
      <c r="C181" s="2">
        <v>50</v>
      </c>
      <c r="E181">
        <f t="shared" si="5"/>
        <v>7</v>
      </c>
      <c r="G181" s="11" t="str">
        <f t="shared" si="4"/>
        <v>'dscp07 ' NVARCHAR2(50)</v>
      </c>
    </row>
    <row r="182" spans="1:7" x14ac:dyDescent="0.3">
      <c r="A182" s="7" t="s">
        <v>635</v>
      </c>
      <c r="B182" s="2" t="s">
        <v>2</v>
      </c>
      <c r="C182" s="2">
        <v>50</v>
      </c>
      <c r="E182">
        <f t="shared" si="5"/>
        <v>7</v>
      </c>
      <c r="G182" s="11" t="str">
        <f t="shared" si="4"/>
        <v>'dscp06 ' NVARCHAR2(50)</v>
      </c>
    </row>
    <row r="183" spans="1:7" x14ac:dyDescent="0.3">
      <c r="A183" s="7" t="s">
        <v>636</v>
      </c>
      <c r="B183" s="2" t="s">
        <v>2</v>
      </c>
      <c r="C183" s="2">
        <v>50</v>
      </c>
      <c r="E183">
        <f t="shared" si="5"/>
        <v>7</v>
      </c>
      <c r="G183" s="11" t="str">
        <f t="shared" si="4"/>
        <v>'dscp49 ' NVARCHAR2(50)</v>
      </c>
    </row>
    <row r="184" spans="1:7" x14ac:dyDescent="0.3">
      <c r="A184" s="7" t="s">
        <v>637</v>
      </c>
      <c r="B184" s="2" t="s">
        <v>2</v>
      </c>
      <c r="C184" s="2">
        <v>50</v>
      </c>
      <c r="E184">
        <f t="shared" si="5"/>
        <v>7</v>
      </c>
      <c r="G184" s="11" t="str">
        <f t="shared" si="4"/>
        <v>'dscp05 ' NVARCHAR2(50)</v>
      </c>
    </row>
    <row r="185" spans="1:7" x14ac:dyDescent="0.3">
      <c r="A185" s="7" t="s">
        <v>638</v>
      </c>
      <c r="B185" s="2" t="s">
        <v>2</v>
      </c>
      <c r="C185" s="2">
        <v>50</v>
      </c>
      <c r="E185">
        <f t="shared" si="5"/>
        <v>7</v>
      </c>
      <c r="G185" s="11" t="str">
        <f t="shared" si="4"/>
        <v>'dscp04 ' NVARCHAR2(50)</v>
      </c>
    </row>
    <row r="186" spans="1:7" x14ac:dyDescent="0.3">
      <c r="A186" s="7" t="s">
        <v>639</v>
      </c>
      <c r="B186" s="2" t="s">
        <v>2</v>
      </c>
      <c r="C186" s="2">
        <v>50</v>
      </c>
      <c r="E186">
        <f t="shared" si="5"/>
        <v>7</v>
      </c>
      <c r="G186" s="11" t="str">
        <f t="shared" si="4"/>
        <v>'dscp48 ' NVARCHAR2(50)</v>
      </c>
    </row>
    <row r="187" spans="1:7" x14ac:dyDescent="0.3">
      <c r="A187" s="7" t="s">
        <v>640</v>
      </c>
      <c r="B187" s="2" t="s">
        <v>2</v>
      </c>
      <c r="C187" s="2">
        <v>50</v>
      </c>
      <c r="E187">
        <f t="shared" si="5"/>
        <v>7</v>
      </c>
      <c r="G187" s="11" t="str">
        <f t="shared" si="4"/>
        <v>'dscp50 ' NVARCHAR2(50)</v>
      </c>
    </row>
    <row r="188" spans="1:7" x14ac:dyDescent="0.3">
      <c r="A188" s="7" t="s">
        <v>641</v>
      </c>
      <c r="B188" s="2" t="s">
        <v>2</v>
      </c>
      <c r="C188" s="2">
        <v>50</v>
      </c>
      <c r="E188">
        <f t="shared" si="5"/>
        <v>7</v>
      </c>
      <c r="G188" s="11" t="str">
        <f t="shared" si="4"/>
        <v>'dscp58 ' NVARCHAR2(50)</v>
      </c>
    </row>
    <row r="189" spans="1:7" x14ac:dyDescent="0.3">
      <c r="A189" s="7" t="s">
        <v>642</v>
      </c>
      <c r="B189" s="2" t="s">
        <v>2</v>
      </c>
      <c r="C189" s="2">
        <v>50</v>
      </c>
      <c r="E189">
        <f t="shared" si="5"/>
        <v>7</v>
      </c>
      <c r="G189" s="11" t="str">
        <f t="shared" si="4"/>
        <v>'dscp14 ' NVARCHAR2(50)</v>
      </c>
    </row>
    <row r="190" spans="1:7" x14ac:dyDescent="0.3">
      <c r="A190" s="7" t="s">
        <v>643</v>
      </c>
      <c r="B190" s="2" t="s">
        <v>2</v>
      </c>
      <c r="C190" s="2">
        <v>50</v>
      </c>
      <c r="E190">
        <f t="shared" si="5"/>
        <v>7</v>
      </c>
      <c r="G190" s="11" t="str">
        <f t="shared" si="4"/>
        <v>'dscp57 ' NVARCHAR2(50)</v>
      </c>
    </row>
    <row r="191" spans="1:7" x14ac:dyDescent="0.3">
      <c r="A191" s="7" t="s">
        <v>644</v>
      </c>
      <c r="B191" s="2" t="s">
        <v>2</v>
      </c>
      <c r="C191" s="2">
        <v>50</v>
      </c>
      <c r="E191">
        <f t="shared" si="5"/>
        <v>7</v>
      </c>
      <c r="G191" s="11" t="str">
        <f t="shared" si="4"/>
        <v>'dscp13 ' NVARCHAR2(50)</v>
      </c>
    </row>
    <row r="192" spans="1:7" x14ac:dyDescent="0.3">
      <c r="A192" s="7" t="s">
        <v>645</v>
      </c>
      <c r="B192" s="2" t="s">
        <v>2</v>
      </c>
      <c r="C192" s="2">
        <v>50</v>
      </c>
      <c r="E192">
        <f t="shared" si="5"/>
        <v>7</v>
      </c>
      <c r="G192" s="11" t="str">
        <f t="shared" si="4"/>
        <v>'dscp56 ' NVARCHAR2(50)</v>
      </c>
    </row>
    <row r="193" spans="1:7" x14ac:dyDescent="0.3">
      <c r="A193" s="7" t="s">
        <v>646</v>
      </c>
      <c r="B193" s="2" t="s">
        <v>2</v>
      </c>
      <c r="C193" s="2">
        <v>50</v>
      </c>
      <c r="E193">
        <f t="shared" si="5"/>
        <v>7</v>
      </c>
      <c r="G193" s="11" t="str">
        <f t="shared" si="4"/>
        <v>'dscp12 ' NVARCHAR2(50)</v>
      </c>
    </row>
    <row r="194" spans="1:7" x14ac:dyDescent="0.3">
      <c r="A194" s="7" t="s">
        <v>647</v>
      </c>
      <c r="B194" s="2" t="s">
        <v>2</v>
      </c>
      <c r="C194" s="2">
        <v>50</v>
      </c>
      <c r="E194">
        <f t="shared" si="5"/>
        <v>7</v>
      </c>
      <c r="G194" s="11" t="str">
        <f t="shared" si="4"/>
        <v>'dscp11 ' NVARCHAR2(50)</v>
      </c>
    </row>
    <row r="195" spans="1:7" x14ac:dyDescent="0.3">
      <c r="A195" s="7" t="s">
        <v>648</v>
      </c>
      <c r="B195" s="2" t="s">
        <v>2</v>
      </c>
      <c r="C195" s="2">
        <v>50</v>
      </c>
      <c r="E195">
        <f t="shared" si="5"/>
        <v>7</v>
      </c>
      <c r="G195" s="11" t="str">
        <f t="shared" ref="G195:G258" si="6">_xlfn.CONCAT("'",A195,"'"," NVARCHAR2","(",C195,")","")</f>
        <v>'dscp55 ' NVARCHAR2(50)</v>
      </c>
    </row>
    <row r="196" spans="1:7" x14ac:dyDescent="0.3">
      <c r="A196" s="7" t="s">
        <v>649</v>
      </c>
      <c r="B196" s="2" t="s">
        <v>2</v>
      </c>
      <c r="C196" s="2">
        <v>50</v>
      </c>
      <c r="E196">
        <f t="shared" si="5"/>
        <v>7</v>
      </c>
      <c r="G196" s="11" t="str">
        <f t="shared" si="6"/>
        <v>'dscp54 ' NVARCHAR2(50)</v>
      </c>
    </row>
    <row r="197" spans="1:7" x14ac:dyDescent="0.3">
      <c r="A197" s="7" t="s">
        <v>650</v>
      </c>
      <c r="B197" s="2" t="s">
        <v>2</v>
      </c>
      <c r="C197" s="2">
        <v>50</v>
      </c>
      <c r="E197">
        <f t="shared" si="5"/>
        <v>6</v>
      </c>
      <c r="G197" s="11" t="str">
        <f t="shared" si="6"/>
        <v>'dscp1 ' NVARCHAR2(50)</v>
      </c>
    </row>
    <row r="198" spans="1:7" x14ac:dyDescent="0.3">
      <c r="A198" s="7" t="s">
        <v>651</v>
      </c>
      <c r="B198" s="2" t="s">
        <v>2</v>
      </c>
      <c r="C198" s="2">
        <v>50</v>
      </c>
      <c r="E198">
        <f t="shared" ref="E198:E261" si="7">LEN(A198)</f>
        <v>7</v>
      </c>
      <c r="G198" s="11" t="str">
        <f t="shared" si="6"/>
        <v>'dscp53 ' NVARCHAR2(50)</v>
      </c>
    </row>
    <row r="199" spans="1:7" x14ac:dyDescent="0.3">
      <c r="A199" s="7" t="s">
        <v>652</v>
      </c>
      <c r="B199" s="2" t="s">
        <v>2</v>
      </c>
      <c r="C199" s="2">
        <v>50</v>
      </c>
      <c r="E199">
        <f t="shared" si="7"/>
        <v>7</v>
      </c>
      <c r="G199" s="11" t="str">
        <f t="shared" si="6"/>
        <v>'dscp52 ' NVARCHAR2(50)</v>
      </c>
    </row>
    <row r="200" spans="1:7" x14ac:dyDescent="0.3">
      <c r="A200" s="7" t="s">
        <v>653</v>
      </c>
      <c r="B200" s="2" t="s">
        <v>2</v>
      </c>
      <c r="C200" s="2">
        <v>50</v>
      </c>
      <c r="E200">
        <f t="shared" si="7"/>
        <v>7</v>
      </c>
      <c r="G200" s="11" t="str">
        <f t="shared" si="6"/>
        <v>'dscp51 ' NVARCHAR2(50)</v>
      </c>
    </row>
    <row r="201" spans="1:7" x14ac:dyDescent="0.3">
      <c r="A201" s="7" t="s">
        <v>654</v>
      </c>
      <c r="B201" s="2" t="s">
        <v>2</v>
      </c>
      <c r="C201" s="2">
        <v>50</v>
      </c>
      <c r="E201">
        <f t="shared" si="7"/>
        <v>17</v>
      </c>
      <c r="G201" s="11" t="str">
        <f t="shared" si="6"/>
        <v>'ippoolrangestart ' NVARCHAR2(50)</v>
      </c>
    </row>
    <row r="202" spans="1:7" x14ac:dyDescent="0.3">
      <c r="A202" s="7" t="s">
        <v>655</v>
      </c>
      <c r="B202" s="2" t="s">
        <v>2</v>
      </c>
      <c r="C202" s="2">
        <v>50</v>
      </c>
      <c r="E202">
        <f t="shared" si="7"/>
        <v>12</v>
      </c>
      <c r="G202" s="11" t="str">
        <f t="shared" si="6"/>
        <v>'ippoolstate ' NVARCHAR2(50)</v>
      </c>
    </row>
    <row r="203" spans="1:7" x14ac:dyDescent="0.3">
      <c r="A203" s="7" t="s">
        <v>656</v>
      </c>
      <c r="B203" s="2" t="s">
        <v>2</v>
      </c>
      <c r="C203" s="2">
        <v>50</v>
      </c>
      <c r="E203">
        <f t="shared" si="7"/>
        <v>15</v>
      </c>
      <c r="G203" s="11" t="str">
        <f t="shared" si="6"/>
        <v>'ippoolrangeend ' NVARCHAR2(50)</v>
      </c>
    </row>
    <row r="204" spans="1:7" x14ac:dyDescent="0.3">
      <c r="A204" s="7" t="s">
        <v>657</v>
      </c>
      <c r="B204" s="2" t="s">
        <v>2</v>
      </c>
      <c r="C204" s="2">
        <v>50</v>
      </c>
      <c r="E204">
        <f t="shared" si="7"/>
        <v>15</v>
      </c>
      <c r="G204" s="11" t="str">
        <f t="shared" si="6"/>
        <v>'gatewayaddress ' NVARCHAR2(50)</v>
      </c>
    </row>
    <row r="205" spans="1:7" x14ac:dyDescent="0.3">
      <c r="A205" s="7" t="s">
        <v>658</v>
      </c>
      <c r="B205" s="2" t="s">
        <v>2</v>
      </c>
      <c r="C205" s="2">
        <v>50</v>
      </c>
      <c r="E205">
        <f t="shared" si="7"/>
        <v>17</v>
      </c>
      <c r="G205" s="11" t="str">
        <f t="shared" si="6"/>
        <v>'subnetmasklength ' NVARCHAR2(50)</v>
      </c>
    </row>
    <row r="206" spans="1:7" x14ac:dyDescent="0.3">
      <c r="A206" s="7" t="s">
        <v>659</v>
      </c>
      <c r="B206" s="2" t="s">
        <v>2</v>
      </c>
      <c r="C206" s="2">
        <v>50</v>
      </c>
      <c r="E206">
        <f t="shared" si="7"/>
        <v>18</v>
      </c>
      <c r="G206" s="11" t="str">
        <f t="shared" si="6"/>
        <v>'signalingippoolid ' NVARCHAR2(50)</v>
      </c>
    </row>
    <row r="207" spans="1:7" x14ac:dyDescent="0.3">
      <c r="A207" s="7" t="s">
        <v>660</v>
      </c>
      <c r="B207" s="2" t="s">
        <v>2</v>
      </c>
      <c r="C207" s="2">
        <v>50</v>
      </c>
      <c r="E207">
        <f t="shared" si="7"/>
        <v>21</v>
      </c>
      <c r="G207" s="11" t="str">
        <f t="shared" si="6"/>
        <v>'ipaddressesinuselist ' NVARCHAR2(50)</v>
      </c>
    </row>
    <row r="208" spans="1:7" x14ac:dyDescent="0.3">
      <c r="A208" s="7" t="s">
        <v>661</v>
      </c>
      <c r="B208" s="2" t="s">
        <v>2</v>
      </c>
      <c r="C208" s="2">
        <v>50</v>
      </c>
      <c r="E208">
        <f t="shared" si="7"/>
        <v>7</v>
      </c>
      <c r="G208" s="11" t="str">
        <f t="shared" si="6"/>
        <v>'minrto ' NVARCHAR2(50)</v>
      </c>
    </row>
    <row r="209" spans="1:7" x14ac:dyDescent="0.3">
      <c r="A209" s="7" t="s">
        <v>662</v>
      </c>
      <c r="B209" s="2" t="s">
        <v>2</v>
      </c>
      <c r="C209" s="2">
        <v>50</v>
      </c>
      <c r="E209">
        <f t="shared" si="7"/>
        <v>11</v>
      </c>
      <c r="G209" s="11" t="str">
        <f t="shared" si="6"/>
        <v>'pathmaxrtx ' NVARCHAR2(50)</v>
      </c>
    </row>
    <row r="210" spans="1:7" x14ac:dyDescent="0.3">
      <c r="A210" s="7" t="s">
        <v>663</v>
      </c>
      <c r="B210" s="2" t="s">
        <v>2</v>
      </c>
      <c r="C210" s="2">
        <v>50</v>
      </c>
      <c r="E210">
        <f t="shared" si="7"/>
        <v>10</v>
      </c>
      <c r="G210" s="11" t="str">
        <f t="shared" si="6"/>
        <v>'maxrnitrt ' NVARCHAR2(50)</v>
      </c>
    </row>
    <row r="211" spans="1:7" x14ac:dyDescent="0.3">
      <c r="A211" s="7" t="s">
        <v>664</v>
      </c>
      <c r="B211" s="2" t="s">
        <v>2</v>
      </c>
      <c r="C211" s="2">
        <v>50</v>
      </c>
      <c r="E211">
        <f t="shared" si="7"/>
        <v>12</v>
      </c>
      <c r="G211" s="11" t="str">
        <f t="shared" si="6"/>
        <v>'assocmaxrtx ' NVARCHAR2(50)</v>
      </c>
    </row>
    <row r="212" spans="1:7" x14ac:dyDescent="0.3">
      <c r="A212" s="7" t="s">
        <v>665</v>
      </c>
      <c r="B212" s="2" t="s">
        <v>2</v>
      </c>
      <c r="C212" s="2">
        <v>50</v>
      </c>
      <c r="E212">
        <f t="shared" si="7"/>
        <v>9</v>
      </c>
      <c r="G212" s="11" t="str">
        <f t="shared" si="6"/>
        <v>'maxburst ' NVARCHAR2(50)</v>
      </c>
    </row>
    <row r="213" spans="1:7" x14ac:dyDescent="0.3">
      <c r="A213" s="7" t="s">
        <v>666</v>
      </c>
      <c r="B213" s="2" t="s">
        <v>2</v>
      </c>
      <c r="C213" s="2">
        <v>50</v>
      </c>
      <c r="E213">
        <f t="shared" si="7"/>
        <v>7</v>
      </c>
      <c r="G213" s="11" t="str">
        <f t="shared" si="6"/>
        <v>'maxrto ' NVARCHAR2(50)</v>
      </c>
    </row>
    <row r="214" spans="1:7" x14ac:dyDescent="0.3">
      <c r="A214" s="7" t="s">
        <v>667</v>
      </c>
      <c r="B214" s="2" t="s">
        <v>2</v>
      </c>
      <c r="C214" s="2">
        <v>50</v>
      </c>
      <c r="E214">
        <f t="shared" si="7"/>
        <v>11</v>
      </c>
      <c r="G214" s="11" t="str">
        <f t="shared" si="6"/>
        <v>'alphaindex ' NVARCHAR2(50)</v>
      </c>
    </row>
    <row r="215" spans="1:7" x14ac:dyDescent="0.3">
      <c r="A215" s="7" t="s">
        <v>668</v>
      </c>
      <c r="B215" s="2" t="s">
        <v>2</v>
      </c>
      <c r="C215" s="2">
        <v>50</v>
      </c>
      <c r="E215">
        <f t="shared" si="7"/>
        <v>15</v>
      </c>
      <c r="G215" s="11" t="str">
        <f t="shared" si="6"/>
        <v>'maxsctppdusize ' NVARCHAR2(50)</v>
      </c>
    </row>
    <row r="216" spans="1:7" x14ac:dyDescent="0.3">
      <c r="A216" s="7" t="s">
        <v>669</v>
      </c>
      <c r="B216" s="2" t="s">
        <v>2</v>
      </c>
      <c r="C216" s="2">
        <v>50</v>
      </c>
      <c r="E216">
        <f t="shared" si="7"/>
        <v>23</v>
      </c>
      <c r="G216" s="11" t="str">
        <f t="shared" si="6"/>
        <v>'enablepathmtudiscovery ' NVARCHAR2(50)</v>
      </c>
    </row>
    <row r="217" spans="1:7" x14ac:dyDescent="0.3">
      <c r="A217" s="7" t="s">
        <v>670</v>
      </c>
      <c r="B217" s="2" t="s">
        <v>2</v>
      </c>
      <c r="C217" s="2">
        <v>50</v>
      </c>
      <c r="E217">
        <f t="shared" si="7"/>
        <v>18</v>
      </c>
      <c r="G217" s="11" t="str">
        <f t="shared" si="6"/>
        <v>'primarypathmaxrtx ' NVARCHAR2(50)</v>
      </c>
    </row>
    <row r="218" spans="1:7" x14ac:dyDescent="0.3">
      <c r="A218" s="7" t="s">
        <v>671</v>
      </c>
      <c r="B218" s="2" t="s">
        <v>2</v>
      </c>
      <c r="C218" s="2">
        <v>50</v>
      </c>
      <c r="E218">
        <f t="shared" si="7"/>
        <v>14</v>
      </c>
      <c r="G218" s="11" t="str">
        <f t="shared" si="6"/>
        <v>'sctpprofileid ' NVARCHAR2(50)</v>
      </c>
    </row>
    <row r="219" spans="1:7" x14ac:dyDescent="0.3">
      <c r="A219" s="7" t="s">
        <v>672</v>
      </c>
      <c r="B219" s="2" t="s">
        <v>2</v>
      </c>
      <c r="C219" s="2">
        <v>50</v>
      </c>
      <c r="E219">
        <f t="shared" si="7"/>
        <v>10</v>
      </c>
      <c r="G219" s="11" t="str">
        <f t="shared" si="6"/>
        <v>'sacktimer ' NVARCHAR2(50)</v>
      </c>
    </row>
    <row r="220" spans="1:7" x14ac:dyDescent="0.3">
      <c r="A220" s="7" t="s">
        <v>673</v>
      </c>
      <c r="B220" s="2" t="s">
        <v>2</v>
      </c>
      <c r="C220" s="2">
        <v>50</v>
      </c>
      <c r="E220">
        <f t="shared" si="7"/>
        <v>11</v>
      </c>
      <c r="G220" s="11" t="str">
        <f t="shared" si="6"/>
        <v>'cookielife ' NVARCHAR2(50)</v>
      </c>
    </row>
    <row r="221" spans="1:7" x14ac:dyDescent="0.3">
      <c r="A221" s="7" t="s">
        <v>674</v>
      </c>
      <c r="B221" s="2" t="s">
        <v>2</v>
      </c>
      <c r="C221" s="2">
        <v>50</v>
      </c>
      <c r="E221">
        <f t="shared" si="7"/>
        <v>5</v>
      </c>
      <c r="G221" s="11" t="str">
        <f t="shared" si="6"/>
        <v>'dscp ' NVARCHAR2(50)</v>
      </c>
    </row>
    <row r="222" spans="1:7" x14ac:dyDescent="0.3">
      <c r="A222" s="7" t="s">
        <v>675</v>
      </c>
      <c r="B222" s="2" t="s">
        <v>2</v>
      </c>
      <c r="C222" s="2">
        <v>50</v>
      </c>
      <c r="E222">
        <f t="shared" si="7"/>
        <v>10</v>
      </c>
      <c r="G222" s="11" t="str">
        <f t="shared" si="6"/>
        <v>'betaindex ' NVARCHAR2(50)</v>
      </c>
    </row>
    <row r="223" spans="1:7" x14ac:dyDescent="0.3">
      <c r="A223" s="7" t="s">
        <v>676</v>
      </c>
      <c r="B223" s="2" t="s">
        <v>2</v>
      </c>
      <c r="C223" s="2">
        <v>50</v>
      </c>
      <c r="E223">
        <f t="shared" si="7"/>
        <v>8</v>
      </c>
      <c r="G223" s="11" t="str">
        <f t="shared" si="6"/>
        <v>'initrto ' NVARCHAR2(50)</v>
      </c>
    </row>
    <row r="224" spans="1:7" x14ac:dyDescent="0.3">
      <c r="A224" s="7" t="s">
        <v>677</v>
      </c>
      <c r="B224" s="2" t="s">
        <v>2</v>
      </c>
      <c r="C224" s="2">
        <v>50</v>
      </c>
      <c r="E224">
        <f t="shared" si="7"/>
        <v>14</v>
      </c>
      <c r="G224" s="11" t="str">
        <f t="shared" si="6"/>
        <v>'mrfresourceid ' NVARCHAR2(50)</v>
      </c>
    </row>
    <row r="225" spans="1:7" x14ac:dyDescent="0.3">
      <c r="A225" s="7" t="s">
        <v>678</v>
      </c>
      <c r="B225" s="2" t="s">
        <v>2</v>
      </c>
      <c r="C225" s="2">
        <v>50</v>
      </c>
      <c r="E225">
        <f t="shared" si="7"/>
        <v>20</v>
      </c>
      <c r="G225" s="11" t="str">
        <f t="shared" si="6"/>
        <v>'defaultlanguagecode ' NVARCHAR2(50)</v>
      </c>
    </row>
    <row r="226" spans="1:7" x14ac:dyDescent="0.3">
      <c r="A226" s="7" t="s">
        <v>679</v>
      </c>
      <c r="B226" s="2" t="s">
        <v>2</v>
      </c>
      <c r="C226" s="2">
        <v>50</v>
      </c>
      <c r="E226">
        <f t="shared" si="7"/>
        <v>16</v>
      </c>
      <c r="G226" s="11" t="str">
        <f t="shared" si="6"/>
        <v>'announcementsid ' NVARCHAR2(50)</v>
      </c>
    </row>
    <row r="227" spans="1:7" x14ac:dyDescent="0.3">
      <c r="A227" s="7" t="s">
        <v>680</v>
      </c>
      <c r="B227" s="2" t="s">
        <v>2</v>
      </c>
      <c r="C227" s="2">
        <v>50</v>
      </c>
      <c r="E227">
        <f t="shared" si="7"/>
        <v>6</v>
      </c>
      <c r="G227" s="11" t="str">
        <f t="shared" si="6"/>
        <v>'dnsid ' NVARCHAR2(50)</v>
      </c>
    </row>
    <row r="228" spans="1:7" x14ac:dyDescent="0.3">
      <c r="A228" s="7" t="s">
        <v>681</v>
      </c>
      <c r="B228" s="2" t="s">
        <v>2</v>
      </c>
      <c r="C228" s="2">
        <v>50</v>
      </c>
      <c r="E228">
        <f t="shared" si="7"/>
        <v>8</v>
      </c>
      <c r="G228" s="11" t="str">
        <f t="shared" si="6"/>
        <v>'dscpdns ' NVARCHAR2(50)</v>
      </c>
    </row>
    <row r="229" spans="1:7" x14ac:dyDescent="0.3">
      <c r="A229" s="7" t="s">
        <v>682</v>
      </c>
      <c r="B229" s="2" t="s">
        <v>2</v>
      </c>
      <c r="C229" s="2">
        <v>50</v>
      </c>
      <c r="E229">
        <f t="shared" si="7"/>
        <v>16</v>
      </c>
      <c r="G229" s="11" t="str">
        <f t="shared" si="6"/>
        <v>'localportnumber ' NVARCHAR2(50)</v>
      </c>
    </row>
    <row r="230" spans="1:7" x14ac:dyDescent="0.3">
      <c r="A230" s="7" t="s">
        <v>683</v>
      </c>
      <c r="B230" s="2" t="s">
        <v>2</v>
      </c>
      <c r="C230" s="2">
        <v>50</v>
      </c>
      <c r="E230">
        <f t="shared" si="7"/>
        <v>14</v>
      </c>
      <c r="G230" s="11" t="str">
        <f t="shared" si="6"/>
        <v>'dscpsignaling ' NVARCHAR2(50)</v>
      </c>
    </row>
    <row r="231" spans="1:7" x14ac:dyDescent="0.3">
      <c r="A231" s="7" t="s">
        <v>684</v>
      </c>
      <c r="B231" s="2" t="s">
        <v>2</v>
      </c>
      <c r="C231" s="2">
        <v>50</v>
      </c>
      <c r="E231">
        <f t="shared" si="7"/>
        <v>20</v>
      </c>
      <c r="G231" s="11" t="str">
        <f t="shared" si="6"/>
        <v>'administrativestate ' NVARCHAR2(50)</v>
      </c>
    </row>
    <row r="232" spans="1:7" x14ac:dyDescent="0.3">
      <c r="A232" s="7" t="s">
        <v>685</v>
      </c>
      <c r="B232" s="2" t="s">
        <v>2</v>
      </c>
      <c r="C232" s="2">
        <v>50</v>
      </c>
      <c r="E232">
        <f t="shared" si="7"/>
        <v>16</v>
      </c>
      <c r="G232" s="11" t="str">
        <f t="shared" si="6"/>
        <v>'mrfsipcontrolid ' NVARCHAR2(50)</v>
      </c>
    </row>
    <row r="233" spans="1:7" x14ac:dyDescent="0.3">
      <c r="A233" s="7" t="s">
        <v>686</v>
      </c>
      <c r="B233" s="2" t="s">
        <v>2</v>
      </c>
      <c r="C233" s="2">
        <v>50</v>
      </c>
      <c r="E233">
        <f t="shared" si="7"/>
        <v>16</v>
      </c>
      <c r="G233" s="11" t="str">
        <f t="shared" si="6"/>
        <v>'signalingvlanid ' NVARCHAR2(50)</v>
      </c>
    </row>
    <row r="234" spans="1:7" x14ac:dyDescent="0.3">
      <c r="A234" s="7" t="s">
        <v>687</v>
      </c>
      <c r="B234" s="2" t="s">
        <v>2</v>
      </c>
      <c r="C234" s="2">
        <v>50</v>
      </c>
      <c r="E234">
        <f t="shared" si="7"/>
        <v>17</v>
      </c>
      <c r="G234" s="11" t="str">
        <f t="shared" si="6"/>
        <v>'mrfh248controlid ' NVARCHAR2(50)</v>
      </c>
    </row>
    <row r="235" spans="1:7" x14ac:dyDescent="0.3">
      <c r="A235" s="7" t="s">
        <v>688</v>
      </c>
      <c r="B235" s="2" t="s">
        <v>2</v>
      </c>
      <c r="C235" s="2">
        <v>50</v>
      </c>
      <c r="E235">
        <f t="shared" si="7"/>
        <v>19</v>
      </c>
      <c r="G235" s="11" t="str">
        <f t="shared" si="6"/>
        <v>'mrfconfigurationid ' NVARCHAR2(50)</v>
      </c>
    </row>
    <row r="236" spans="1:7" x14ac:dyDescent="0.3">
      <c r="A236" s="7" t="s">
        <v>689</v>
      </c>
      <c r="B236" s="2" t="s">
        <v>2</v>
      </c>
      <c r="C236" s="2">
        <v>50</v>
      </c>
      <c r="E236">
        <f t="shared" si="7"/>
        <v>12</v>
      </c>
      <c r="G236" s="11" t="str">
        <f t="shared" si="6"/>
        <v>'mediavlanid ' NVARCHAR2(50)</v>
      </c>
    </row>
    <row r="237" spans="1:7" x14ac:dyDescent="0.3">
      <c r="A237" s="7" t="s">
        <v>690</v>
      </c>
      <c r="B237" s="2" t="s">
        <v>2</v>
      </c>
      <c r="C237" s="2">
        <v>50</v>
      </c>
      <c r="E237">
        <f t="shared" si="7"/>
        <v>22</v>
      </c>
      <c r="G237" s="11" t="str">
        <f t="shared" si="6"/>
        <v>'mtassystemconstantsc1 ' NVARCHAR2(50)</v>
      </c>
    </row>
    <row r="238" spans="1:7" x14ac:dyDescent="0.3">
      <c r="A238" s="7" t="s">
        <v>691</v>
      </c>
      <c r="B238" s="2" t="s">
        <v>2</v>
      </c>
      <c r="C238" s="2">
        <v>50</v>
      </c>
      <c r="E238">
        <f t="shared" si="7"/>
        <v>22</v>
      </c>
      <c r="G238" s="11" t="str">
        <f t="shared" si="6"/>
        <v>'mtassystemconstantsc3 ' NVARCHAR2(50)</v>
      </c>
    </row>
    <row r="239" spans="1:7" x14ac:dyDescent="0.3">
      <c r="A239" s="7" t="s">
        <v>692</v>
      </c>
      <c r="B239" s="2" t="s">
        <v>2</v>
      </c>
      <c r="C239" s="2">
        <v>50</v>
      </c>
      <c r="E239">
        <f t="shared" si="7"/>
        <v>19</v>
      </c>
      <c r="G239" s="11" t="str">
        <f t="shared" si="6"/>
        <v>'mtassystemconstant ' NVARCHAR2(50)</v>
      </c>
    </row>
    <row r="240" spans="1:7" x14ac:dyDescent="0.3">
      <c r="A240" s="7" t="s">
        <v>693</v>
      </c>
      <c r="B240" s="2" t="s">
        <v>2</v>
      </c>
      <c r="C240" s="2">
        <v>50</v>
      </c>
      <c r="E240">
        <f t="shared" si="7"/>
        <v>22</v>
      </c>
      <c r="G240" s="11" t="str">
        <f t="shared" si="6"/>
        <v>'mtassystemconstantsc2 ' NVARCHAR2(50)</v>
      </c>
    </row>
    <row r="241" spans="1:7" x14ac:dyDescent="0.3">
      <c r="A241" s="7" t="s">
        <v>694</v>
      </c>
      <c r="B241" s="2" t="s">
        <v>2</v>
      </c>
      <c r="C241" s="2">
        <v>50</v>
      </c>
      <c r="E241">
        <f t="shared" si="7"/>
        <v>21</v>
      </c>
      <c r="G241" s="11" t="str">
        <f t="shared" si="6"/>
        <v>'mtassystemconstantsc ' NVARCHAR2(50)</v>
      </c>
    </row>
    <row r="242" spans="1:7" x14ac:dyDescent="0.3">
      <c r="A242" s="7" t="s">
        <v>695</v>
      </c>
      <c r="B242" s="2" t="s">
        <v>2</v>
      </c>
      <c r="C242" s="2">
        <v>50</v>
      </c>
      <c r="E242">
        <f t="shared" si="7"/>
        <v>22</v>
      </c>
      <c r="G242" s="11" t="str">
        <f t="shared" si="6"/>
        <v>'mtassystemconstantsc9 ' NVARCHAR2(50)</v>
      </c>
    </row>
    <row r="243" spans="1:7" x14ac:dyDescent="0.3">
      <c r="A243" s="7" t="s">
        <v>696</v>
      </c>
      <c r="B243" s="2" t="s">
        <v>2</v>
      </c>
      <c r="C243" s="2">
        <v>50</v>
      </c>
      <c r="E243">
        <f t="shared" si="7"/>
        <v>22</v>
      </c>
      <c r="G243" s="11" t="str">
        <f t="shared" si="6"/>
        <v>'mtassystemconstantsc8 ' NVARCHAR2(50)</v>
      </c>
    </row>
    <row r="244" spans="1:7" x14ac:dyDescent="0.3">
      <c r="A244" s="7" t="s">
        <v>697</v>
      </c>
      <c r="B244" s="2" t="s">
        <v>2</v>
      </c>
      <c r="C244" s="2">
        <v>50</v>
      </c>
      <c r="E244">
        <f t="shared" si="7"/>
        <v>22</v>
      </c>
      <c r="G244" s="11" t="str">
        <f t="shared" si="6"/>
        <v>'mtassystemconstantsc5 ' NVARCHAR2(50)</v>
      </c>
    </row>
    <row r="245" spans="1:7" x14ac:dyDescent="0.3">
      <c r="A245" s="7" t="s">
        <v>698</v>
      </c>
      <c r="B245" s="2" t="s">
        <v>2</v>
      </c>
      <c r="C245" s="2">
        <v>50</v>
      </c>
      <c r="E245">
        <f t="shared" si="7"/>
        <v>22</v>
      </c>
      <c r="G245" s="11" t="str">
        <f t="shared" si="6"/>
        <v>'mtassystemconstantsc4 ' NVARCHAR2(50)</v>
      </c>
    </row>
    <row r="246" spans="1:7" x14ac:dyDescent="0.3">
      <c r="A246" s="7" t="s">
        <v>699</v>
      </c>
      <c r="B246" s="2" t="s">
        <v>2</v>
      </c>
      <c r="C246" s="2">
        <v>50</v>
      </c>
      <c r="E246">
        <f t="shared" si="7"/>
        <v>22</v>
      </c>
      <c r="G246" s="11" t="str">
        <f t="shared" si="6"/>
        <v>'mtassystemconstantsc7 ' NVARCHAR2(50)</v>
      </c>
    </row>
    <row r="247" spans="1:7" x14ac:dyDescent="0.3">
      <c r="A247" s="7" t="s">
        <v>700</v>
      </c>
      <c r="B247" s="2" t="s">
        <v>2</v>
      </c>
      <c r="C247" s="2">
        <v>50</v>
      </c>
      <c r="E247">
        <f t="shared" si="7"/>
        <v>22</v>
      </c>
      <c r="G247" s="11" t="str">
        <f t="shared" si="6"/>
        <v>'mtassystemconstantsc6 ' NVARCHAR2(50)</v>
      </c>
    </row>
    <row r="248" spans="1:7" x14ac:dyDescent="0.3">
      <c r="A248" s="7" t="s">
        <v>701</v>
      </c>
      <c r="B248" s="2" t="s">
        <v>2</v>
      </c>
      <c r="C248" s="2">
        <v>50</v>
      </c>
      <c r="E248">
        <f t="shared" si="7"/>
        <v>7</v>
      </c>
      <c r="G248" s="11" t="str">
        <f t="shared" si="6"/>
        <v>'mtaspx ' NVARCHAR2(50)</v>
      </c>
    </row>
    <row r="249" spans="1:7" x14ac:dyDescent="0.3">
      <c r="A249" s="7" t="s">
        <v>702</v>
      </c>
      <c r="B249" s="2" t="s">
        <v>2</v>
      </c>
      <c r="C249" s="2">
        <v>50</v>
      </c>
      <c r="E249">
        <f t="shared" si="7"/>
        <v>13</v>
      </c>
      <c r="G249" s="11" t="str">
        <f t="shared" si="6"/>
        <v>'mtasservices ' NVARCHAR2(50)</v>
      </c>
    </row>
    <row r="250" spans="1:7" x14ac:dyDescent="0.3">
      <c r="A250" s="7" t="s">
        <v>703</v>
      </c>
      <c r="B250" s="2" t="s">
        <v>2</v>
      </c>
      <c r="C250" s="2">
        <v>50</v>
      </c>
      <c r="E250">
        <f t="shared" si="7"/>
        <v>19</v>
      </c>
      <c r="G250" s="11" t="str">
        <f t="shared" si="6"/>
        <v>'mtascsiglobaltitle ' NVARCHAR2(50)</v>
      </c>
    </row>
    <row r="251" spans="1:7" x14ac:dyDescent="0.3">
      <c r="A251" s="7" t="s">
        <v>704</v>
      </c>
      <c r="B251" s="2" t="s">
        <v>2</v>
      </c>
      <c r="C251" s="2">
        <v>50</v>
      </c>
      <c r="E251">
        <f t="shared" si="7"/>
        <v>8</v>
      </c>
      <c r="G251" s="11" t="str">
        <f t="shared" si="6"/>
        <v>'mtascsi ' NVARCHAR2(50)</v>
      </c>
    </row>
    <row r="252" spans="1:7" x14ac:dyDescent="0.3">
      <c r="A252" s="7" t="s">
        <v>705</v>
      </c>
      <c r="B252" s="2" t="s">
        <v>2</v>
      </c>
      <c r="C252" s="2">
        <v>50</v>
      </c>
      <c r="E252">
        <f t="shared" si="7"/>
        <v>26</v>
      </c>
      <c r="G252" s="11" t="str">
        <f t="shared" si="6"/>
        <v>'mtascsiscfsubsystemnumber ' NVARCHAR2(50)</v>
      </c>
    </row>
    <row r="253" spans="1:7" x14ac:dyDescent="0.3">
      <c r="A253" s="7" t="s">
        <v>706</v>
      </c>
      <c r="B253" s="2" t="s">
        <v>2</v>
      </c>
      <c r="C253" s="2">
        <v>50</v>
      </c>
      <c r="E253">
        <f t="shared" si="7"/>
        <v>26</v>
      </c>
      <c r="G253" s="11" t="str">
        <f t="shared" si="6"/>
        <v>'mtascsissfsubsystemnumber ' NVARCHAR2(50)</v>
      </c>
    </row>
    <row r="254" spans="1:7" x14ac:dyDescent="0.3">
      <c r="A254" s="7" t="s">
        <v>707</v>
      </c>
      <c r="B254" s="2" t="s">
        <v>2</v>
      </c>
      <c r="C254" s="2">
        <v>50</v>
      </c>
      <c r="E254">
        <f t="shared" si="7"/>
        <v>27</v>
      </c>
      <c r="G254" s="11" t="str">
        <f t="shared" si="6"/>
        <v>'mtascsiadministrativestate ' NVARCHAR2(50)</v>
      </c>
    </row>
    <row r="255" spans="1:7" x14ac:dyDescent="0.3">
      <c r="A255" s="7" t="s">
        <v>708</v>
      </c>
      <c r="B255" s="2" t="s">
        <v>2</v>
      </c>
      <c r="C255" s="2">
        <v>50</v>
      </c>
      <c r="E255">
        <f t="shared" si="7"/>
        <v>29</v>
      </c>
      <c r="G255" s="11" t="str">
        <f t="shared" si="6"/>
        <v>'mtascsiremotescfsubsystemnum ' NVARCHAR2(50)</v>
      </c>
    </row>
    <row r="256" spans="1:7" x14ac:dyDescent="0.3">
      <c r="A256" s="7" t="s">
        <v>709</v>
      </c>
      <c r="B256" s="2" t="s">
        <v>2</v>
      </c>
      <c r="C256" s="2">
        <v>50</v>
      </c>
      <c r="E256">
        <f t="shared" si="7"/>
        <v>7</v>
      </c>
      <c r="G256" s="11" t="str">
        <f t="shared" si="6"/>
        <v>'mtassh ' NVARCHAR2(50)</v>
      </c>
    </row>
    <row r="257" spans="1:7" x14ac:dyDescent="0.3">
      <c r="A257" s="7" t="s">
        <v>710</v>
      </c>
      <c r="B257" s="2" t="s">
        <v>2</v>
      </c>
      <c r="C257" s="2">
        <v>50</v>
      </c>
      <c r="E257">
        <f t="shared" si="7"/>
        <v>19</v>
      </c>
      <c r="G257" s="11" t="str">
        <f t="shared" si="6"/>
        <v>'mtaschargingxtimer ' NVARCHAR2(50)</v>
      </c>
    </row>
    <row r="258" spans="1:7" x14ac:dyDescent="0.3">
      <c r="A258" s="7" t="s">
        <v>711</v>
      </c>
      <c r="B258" s="2" t="s">
        <v>2</v>
      </c>
      <c r="C258" s="2">
        <v>50</v>
      </c>
      <c r="E258">
        <f t="shared" si="7"/>
        <v>13</v>
      </c>
      <c r="G258" s="11" t="str">
        <f t="shared" si="6"/>
        <v>'mtascharging ' NVARCHAR2(50)</v>
      </c>
    </row>
    <row r="259" spans="1:7" x14ac:dyDescent="0.3">
      <c r="A259" s="7" t="s">
        <v>712</v>
      </c>
      <c r="B259" s="2" t="s">
        <v>2</v>
      </c>
      <c r="C259" s="2">
        <v>50</v>
      </c>
      <c r="E259">
        <f t="shared" si="7"/>
        <v>29</v>
      </c>
      <c r="G259" s="11" t="str">
        <f t="shared" ref="G259:G322" si="8">_xlfn.CONCAT("'",A259,"'"," NVARCHAR2","(",C259,")","")</f>
        <v>'mtaschargingdeactivateddests ' NVARCHAR2(50)</v>
      </c>
    </row>
    <row r="260" spans="1:7" x14ac:dyDescent="0.3">
      <c r="A260" s="7" t="s">
        <v>713</v>
      </c>
      <c r="B260" s="2" t="s">
        <v>2</v>
      </c>
      <c r="C260" s="2">
        <v>50</v>
      </c>
      <c r="E260">
        <f t="shared" si="7"/>
        <v>28</v>
      </c>
      <c r="G260" s="11" t="str">
        <f t="shared" si="8"/>
        <v>'mtaschargterminatingoffline ' NVARCHAR2(50)</v>
      </c>
    </row>
    <row r="261" spans="1:7" x14ac:dyDescent="0.3">
      <c r="A261" s="7" t="s">
        <v>714</v>
      </c>
      <c r="B261" s="2" t="s">
        <v>2</v>
      </c>
      <c r="C261" s="2">
        <v>50</v>
      </c>
      <c r="E261">
        <f t="shared" si="7"/>
        <v>27</v>
      </c>
      <c r="G261" s="11" t="str">
        <f t="shared" si="8"/>
        <v>'mtaschargingacrbackupfiles ' NVARCHAR2(50)</v>
      </c>
    </row>
    <row r="262" spans="1:7" x14ac:dyDescent="0.3">
      <c r="A262" s="7" t="s">
        <v>715</v>
      </c>
      <c r="B262" s="2" t="s">
        <v>2</v>
      </c>
      <c r="C262" s="2">
        <v>50</v>
      </c>
      <c r="E262">
        <f t="shared" ref="E262:E325" si="9">LEN(A262)</f>
        <v>30</v>
      </c>
      <c r="G262" s="11" t="str">
        <f t="shared" si="8"/>
        <v>'mtaschargeventmeasurementimer ' NVARCHAR2(50)</v>
      </c>
    </row>
    <row r="263" spans="1:7" x14ac:dyDescent="0.3">
      <c r="A263" s="7" t="s">
        <v>716</v>
      </c>
      <c r="B263" s="2" t="s">
        <v>2</v>
      </c>
      <c r="C263" s="2">
        <v>50</v>
      </c>
      <c r="E263">
        <f t="shared" si="9"/>
        <v>29</v>
      </c>
      <c r="G263" s="11" t="str">
        <f t="shared" si="8"/>
        <v>'mtaschargacrstoragemaxnbracr ' NVARCHAR2(50)</v>
      </c>
    </row>
    <row r="264" spans="1:7" x14ac:dyDescent="0.3">
      <c r="A264" s="7" t="s">
        <v>717</v>
      </c>
      <c r="B264" s="2" t="s">
        <v>2</v>
      </c>
      <c r="C264" s="2">
        <v>50</v>
      </c>
      <c r="E264">
        <f t="shared" si="9"/>
        <v>27</v>
      </c>
      <c r="G264" s="11" t="str">
        <f t="shared" si="8"/>
        <v>'mtaschargreportredirectnum ' NVARCHAR2(50)</v>
      </c>
    </row>
    <row r="265" spans="1:7" x14ac:dyDescent="0.3">
      <c r="A265" s="7" t="s">
        <v>718</v>
      </c>
      <c r="B265" s="2" t="s">
        <v>2</v>
      </c>
      <c r="C265" s="2">
        <v>50</v>
      </c>
      <c r="E265">
        <f t="shared" si="9"/>
        <v>28</v>
      </c>
      <c r="G265" s="11" t="str">
        <f t="shared" si="8"/>
        <v>'mtaschargoriginatingoffline ' NVARCHAR2(50)</v>
      </c>
    </row>
    <row r="266" spans="1:7" x14ac:dyDescent="0.3">
      <c r="A266" s="7" t="s">
        <v>719</v>
      </c>
      <c r="B266" s="2" t="s">
        <v>2</v>
      </c>
      <c r="C266" s="2">
        <v>50</v>
      </c>
      <c r="E266">
        <f t="shared" si="9"/>
        <v>30</v>
      </c>
      <c r="G266" s="11" t="str">
        <f t="shared" si="8"/>
        <v>'mtaschargingdefaultcdfaddress ' NVARCHAR2(50)</v>
      </c>
    </row>
    <row r="267" spans="1:7" x14ac:dyDescent="0.3">
      <c r="A267" s="7" t="s">
        <v>720</v>
      </c>
      <c r="B267" s="2" t="s">
        <v>2</v>
      </c>
      <c r="C267" s="2">
        <v>50</v>
      </c>
      <c r="E267">
        <f t="shared" si="9"/>
        <v>23</v>
      </c>
      <c r="G267" s="11" t="str">
        <f t="shared" si="8"/>
        <v>'mtaschargingacrstorage ' NVARCHAR2(50)</v>
      </c>
    </row>
    <row r="268" spans="1:7" x14ac:dyDescent="0.3">
      <c r="A268" s="7" t="s">
        <v>721</v>
      </c>
      <c r="B268" s="2" t="s">
        <v>2</v>
      </c>
      <c r="C268" s="2">
        <v>50</v>
      </c>
      <c r="E268">
        <f t="shared" si="9"/>
        <v>30</v>
      </c>
      <c r="G268" s="11" t="str">
        <f t="shared" si="8"/>
        <v>'mtaschargingoriginatingonline ' NVARCHAR2(50)</v>
      </c>
    </row>
    <row r="269" spans="1:7" x14ac:dyDescent="0.3">
      <c r="A269" s="7" t="s">
        <v>722</v>
      </c>
      <c r="B269" s="2" t="s">
        <v>2</v>
      </c>
      <c r="C269" s="2">
        <v>50</v>
      </c>
      <c r="E269">
        <f t="shared" si="9"/>
        <v>27</v>
      </c>
      <c r="G269" s="11" t="str">
        <f t="shared" si="8"/>
        <v>'mtaschargingrttiadminstate ' NVARCHAR2(50)</v>
      </c>
    </row>
    <row r="270" spans="1:7" x14ac:dyDescent="0.3">
      <c r="A270" s="7" t="s">
        <v>723</v>
      </c>
      <c r="B270" s="2" t="s">
        <v>2</v>
      </c>
      <c r="C270" s="2">
        <v>50</v>
      </c>
      <c r="E270">
        <f t="shared" si="9"/>
        <v>30</v>
      </c>
      <c r="G270" s="11" t="str">
        <f t="shared" si="8"/>
        <v>'mtaschargscduleconfrnceofline ' NVARCHAR2(50)</v>
      </c>
    </row>
    <row r="271" spans="1:7" x14ac:dyDescent="0.3">
      <c r="A271" s="7" t="s">
        <v>724</v>
      </c>
      <c r="B271" s="2" t="s">
        <v>2</v>
      </c>
      <c r="C271" s="2">
        <v>50</v>
      </c>
      <c r="E271">
        <f t="shared" si="9"/>
        <v>30</v>
      </c>
      <c r="G271" s="11" t="str">
        <f t="shared" si="8"/>
        <v>'mtaschargingacrstoragemaxtime ' NVARCHAR2(50)</v>
      </c>
    </row>
    <row r="272" spans="1:7" x14ac:dyDescent="0.3">
      <c r="A272" s="7" t="s">
        <v>725</v>
      </c>
      <c r="B272" s="2" t="s">
        <v>2</v>
      </c>
      <c r="C272" s="2">
        <v>50</v>
      </c>
      <c r="E272">
        <f t="shared" si="9"/>
        <v>30</v>
      </c>
      <c r="G272" s="11" t="str">
        <f t="shared" si="8"/>
        <v>'mtaschargacrstoragemaxfilsize ' NVARCHAR2(50)</v>
      </c>
    </row>
    <row r="273" spans="1:7" x14ac:dyDescent="0.3">
      <c r="A273" s="7" t="s">
        <v>726</v>
      </c>
      <c r="B273" s="2" t="s">
        <v>2</v>
      </c>
      <c r="C273" s="2">
        <v>50</v>
      </c>
      <c r="E273">
        <f t="shared" si="9"/>
        <v>30</v>
      </c>
      <c r="G273" s="11" t="str">
        <f t="shared" si="8"/>
        <v>'mtaschargingterminatingonline ' NVARCHAR2(50)</v>
      </c>
    </row>
    <row r="274" spans="1:7" x14ac:dyDescent="0.3">
      <c r="A274" s="7" t="s">
        <v>727</v>
      </c>
      <c r="B274" s="2" t="s">
        <v>2</v>
      </c>
      <c r="C274" s="2">
        <v>50</v>
      </c>
      <c r="E274">
        <f t="shared" si="9"/>
        <v>30</v>
      </c>
      <c r="G274" s="11" t="str">
        <f t="shared" si="8"/>
        <v>'mtaschargsubscribecreditnotif ' NVARCHAR2(50)</v>
      </c>
    </row>
    <row r="275" spans="1:7" x14ac:dyDescent="0.3">
      <c r="A275" s="7" t="s">
        <v>728</v>
      </c>
      <c r="B275" s="2" t="s">
        <v>2</v>
      </c>
      <c r="C275" s="2">
        <v>50</v>
      </c>
      <c r="E275">
        <f t="shared" si="9"/>
        <v>30</v>
      </c>
      <c r="G275" s="11" t="str">
        <f t="shared" si="8"/>
        <v>'mtasubdataregeventrsponsetimr ' NVARCHAR2(50)</v>
      </c>
    </row>
    <row r="276" spans="1:7" x14ac:dyDescent="0.3">
      <c r="A276" s="7" t="s">
        <v>729</v>
      </c>
      <c r="B276" s="2" t="s">
        <v>2</v>
      </c>
      <c r="C276" s="2">
        <v>50</v>
      </c>
      <c r="E276">
        <f t="shared" si="9"/>
        <v>30</v>
      </c>
      <c r="G276" s="11" t="str">
        <f t="shared" si="8"/>
        <v>'mtassubsdatastlastsessiontimr ' NVARCHAR2(50)</v>
      </c>
    </row>
    <row r="277" spans="1:7" x14ac:dyDescent="0.3">
      <c r="A277" s="7" t="s">
        <v>730</v>
      </c>
      <c r="B277" s="2" t="s">
        <v>2</v>
      </c>
      <c r="C277" s="2">
        <v>50</v>
      </c>
      <c r="E277">
        <f t="shared" si="9"/>
        <v>30</v>
      </c>
      <c r="G277" s="11" t="str">
        <f t="shared" si="8"/>
        <v>'mtassubsdatainitregfetchdelay ' NVARCHAR2(50)</v>
      </c>
    </row>
    <row r="278" spans="1:7" x14ac:dyDescent="0.3">
      <c r="A278" s="7" t="s">
        <v>731</v>
      </c>
      <c r="B278" s="2" t="s">
        <v>2</v>
      </c>
      <c r="C278" s="2">
        <v>50</v>
      </c>
      <c r="E278">
        <f t="shared" si="9"/>
        <v>29</v>
      </c>
      <c r="G278" s="11" t="str">
        <f t="shared" si="8"/>
        <v>'mtassubsdatacachecontactdata ' NVARCHAR2(50)</v>
      </c>
    </row>
    <row r="279" spans="1:7" x14ac:dyDescent="0.3">
      <c r="A279" s="7" t="s">
        <v>732</v>
      </c>
      <c r="B279" s="2" t="s">
        <v>2</v>
      </c>
      <c r="C279" s="2">
        <v>50</v>
      </c>
      <c r="E279">
        <f t="shared" si="9"/>
        <v>30</v>
      </c>
      <c r="G279" s="11" t="str">
        <f t="shared" si="8"/>
        <v>'mtassubsdataservicerecordlmit ' NVARCHAR2(50)</v>
      </c>
    </row>
    <row r="280" spans="1:7" x14ac:dyDescent="0.3">
      <c r="A280" s="7" t="s">
        <v>733</v>
      </c>
      <c r="B280" s="2" t="s">
        <v>2</v>
      </c>
      <c r="C280" s="2">
        <v>50</v>
      </c>
      <c r="E280">
        <f t="shared" si="9"/>
        <v>28</v>
      </c>
      <c r="G280" s="11" t="str">
        <f t="shared" si="8"/>
        <v>'mtassubsdatadefaultregtimer ' NVARCHAR2(50)</v>
      </c>
    </row>
    <row r="281" spans="1:7" x14ac:dyDescent="0.3">
      <c r="A281" s="7" t="s">
        <v>734</v>
      </c>
      <c r="B281" s="2" t="s">
        <v>2</v>
      </c>
      <c r="C281" s="2">
        <v>50</v>
      </c>
      <c r="E281">
        <f t="shared" si="9"/>
        <v>23</v>
      </c>
      <c r="G281" s="11" t="str">
        <f t="shared" si="8"/>
        <v>'mtassubsdataderegtimer ' NVARCHAR2(50)</v>
      </c>
    </row>
    <row r="282" spans="1:7" x14ac:dyDescent="0.3">
      <c r="A282" s="7" t="s">
        <v>735</v>
      </c>
      <c r="B282" s="2" t="s">
        <v>2</v>
      </c>
      <c r="C282" s="2">
        <v>50</v>
      </c>
      <c r="E282">
        <f t="shared" si="9"/>
        <v>24</v>
      </c>
      <c r="G282" s="11" t="str">
        <f t="shared" si="8"/>
        <v>'mtassubsdatamobileclass ' NVARCHAR2(50)</v>
      </c>
    </row>
    <row r="283" spans="1:7" x14ac:dyDescent="0.3">
      <c r="A283" s="7" t="s">
        <v>736</v>
      </c>
      <c r="B283" s="2" t="s">
        <v>2</v>
      </c>
      <c r="C283" s="2">
        <v>50</v>
      </c>
      <c r="E283">
        <f t="shared" si="9"/>
        <v>29</v>
      </c>
      <c r="G283" s="11" t="str">
        <f t="shared" si="8"/>
        <v>'mtassubsdataregistrationmode ' NVARCHAR2(50)</v>
      </c>
    </row>
    <row r="284" spans="1:7" x14ac:dyDescent="0.3">
      <c r="A284" s="7" t="s">
        <v>737</v>
      </c>
      <c r="B284" s="2" t="s">
        <v>2</v>
      </c>
      <c r="C284" s="2">
        <v>50</v>
      </c>
      <c r="E284">
        <f t="shared" si="9"/>
        <v>22</v>
      </c>
      <c r="G284" s="11" t="str">
        <f t="shared" si="8"/>
        <v>'mtassubsdatapinformat ' NVARCHAR2(50)</v>
      </c>
    </row>
    <row r="285" spans="1:7" x14ac:dyDescent="0.3">
      <c r="A285" s="7" t="s">
        <v>738</v>
      </c>
      <c r="B285" s="2" t="s">
        <v>2</v>
      </c>
      <c r="C285" s="2">
        <v>50</v>
      </c>
      <c r="E285">
        <f t="shared" si="9"/>
        <v>22</v>
      </c>
      <c r="G285" s="11" t="str">
        <f t="shared" si="8"/>
        <v>'mtassubsdatacachepani ' NVARCHAR2(50)</v>
      </c>
    </row>
    <row r="286" spans="1:7" x14ac:dyDescent="0.3">
      <c r="A286" s="7" t="s">
        <v>739</v>
      </c>
      <c r="B286" s="2" t="s">
        <v>2</v>
      </c>
      <c r="C286" s="2">
        <v>50</v>
      </c>
      <c r="E286">
        <f t="shared" si="9"/>
        <v>13</v>
      </c>
      <c r="G286" s="11" t="str">
        <f t="shared" si="8"/>
        <v>'mtassubsdata ' NVARCHAR2(50)</v>
      </c>
    </row>
    <row r="287" spans="1:7" x14ac:dyDescent="0.3">
      <c r="A287" s="7" t="s">
        <v>740</v>
      </c>
      <c r="B287" s="2" t="s">
        <v>2</v>
      </c>
      <c r="C287" s="2">
        <v>50</v>
      </c>
      <c r="E287">
        <f t="shared" si="9"/>
        <v>29</v>
      </c>
      <c r="G287" s="11" t="str">
        <f t="shared" si="8"/>
        <v>'mtassubsdatahssoverloadtimer ' NVARCHAR2(50)</v>
      </c>
    </row>
    <row r="288" spans="1:7" x14ac:dyDescent="0.3">
      <c r="A288" s="7" t="s">
        <v>741</v>
      </c>
      <c r="B288" s="2" t="s">
        <v>2</v>
      </c>
      <c r="C288" s="2">
        <v>50</v>
      </c>
      <c r="E288">
        <f t="shared" si="9"/>
        <v>26</v>
      </c>
      <c r="G288" s="11" t="str">
        <f t="shared" si="8"/>
        <v>'mtassubsdatavoltecasename ' NVARCHAR2(50)</v>
      </c>
    </row>
    <row r="289" spans="1:7" x14ac:dyDescent="0.3">
      <c r="A289" s="7" t="s">
        <v>742</v>
      </c>
      <c r="B289" s="2" t="s">
        <v>2</v>
      </c>
      <c r="C289" s="2">
        <v>50</v>
      </c>
      <c r="E289">
        <f t="shared" si="9"/>
        <v>10</v>
      </c>
      <c r="G289" s="11" t="str">
        <f t="shared" si="8"/>
        <v>'mtastrace ' NVARCHAR2(50)</v>
      </c>
    </row>
    <row r="290" spans="1:7" x14ac:dyDescent="0.3">
      <c r="A290" s="7" t="s">
        <v>743</v>
      </c>
      <c r="B290" s="2" t="s">
        <v>2</v>
      </c>
      <c r="C290" s="2">
        <v>50</v>
      </c>
      <c r="E290">
        <f t="shared" si="9"/>
        <v>30</v>
      </c>
      <c r="G290" s="11" t="str">
        <f t="shared" si="8"/>
        <v>'mtastracedeftrceprintsubsckey ' NVARCHAR2(50)</v>
      </c>
    </row>
    <row r="291" spans="1:7" x14ac:dyDescent="0.3">
      <c r="A291" s="7" t="s">
        <v>744</v>
      </c>
      <c r="B291" s="2" t="s">
        <v>2</v>
      </c>
      <c r="C291" s="2">
        <v>50</v>
      </c>
      <c r="E291">
        <f t="shared" si="9"/>
        <v>30</v>
      </c>
      <c r="G291" s="11" t="str">
        <f t="shared" si="8"/>
        <v>'mtastracedefcritconfgprminute ' NVARCHAR2(50)</v>
      </c>
    </row>
    <row r="292" spans="1:7" x14ac:dyDescent="0.3">
      <c r="A292" s="7" t="s">
        <v>745</v>
      </c>
      <c r="B292" s="2" t="s">
        <v>2</v>
      </c>
      <c r="C292" s="2">
        <v>50</v>
      </c>
      <c r="E292">
        <f t="shared" si="9"/>
        <v>22</v>
      </c>
      <c r="G292" s="11" t="str">
        <f t="shared" si="8"/>
        <v>'mtastracedisableehser ' NVARCHAR2(50)</v>
      </c>
    </row>
    <row r="293" spans="1:7" x14ac:dyDescent="0.3">
      <c r="A293" s="7" t="s">
        <v>746</v>
      </c>
      <c r="B293" s="2" t="s">
        <v>2</v>
      </c>
      <c r="C293" s="2">
        <v>50</v>
      </c>
      <c r="E293">
        <f t="shared" si="9"/>
        <v>28</v>
      </c>
      <c r="G293" s="11" t="str">
        <f t="shared" si="8"/>
        <v>'mtastracedefwarningprminute ' NVARCHAR2(50)</v>
      </c>
    </row>
    <row r="294" spans="1:7" x14ac:dyDescent="0.3">
      <c r="A294" s="7" t="s">
        <v>747</v>
      </c>
      <c r="B294" s="2" t="s">
        <v>2</v>
      </c>
      <c r="C294" s="2">
        <v>50</v>
      </c>
      <c r="E294">
        <f t="shared" si="9"/>
        <v>15</v>
      </c>
      <c r="G294" s="11" t="str">
        <f t="shared" si="8"/>
        <v>'mtascommondata ' NVARCHAR2(50)</v>
      </c>
    </row>
    <row r="295" spans="1:7" x14ac:dyDescent="0.3">
      <c r="A295" s="7" t="s">
        <v>748</v>
      </c>
      <c r="B295" s="2" t="s">
        <v>2</v>
      </c>
      <c r="C295" s="2">
        <v>50</v>
      </c>
      <c r="E295">
        <f t="shared" si="9"/>
        <v>13</v>
      </c>
      <c r="G295" s="11" t="str">
        <f t="shared" si="8"/>
        <v>'mtaswsnamedb ' NVARCHAR2(50)</v>
      </c>
    </row>
    <row r="296" spans="1:7" x14ac:dyDescent="0.3">
      <c r="A296" s="7" t="s">
        <v>749</v>
      </c>
      <c r="B296" s="2" t="s">
        <v>2</v>
      </c>
      <c r="C296" s="2">
        <v>50</v>
      </c>
      <c r="E296">
        <f t="shared" si="9"/>
        <v>8</v>
      </c>
      <c r="G296" s="11" t="str">
        <f t="shared" si="8"/>
        <v>'mtassip ' NVARCHAR2(50)</v>
      </c>
    </row>
    <row r="297" spans="1:7" x14ac:dyDescent="0.3">
      <c r="A297" s="7" t="s">
        <v>750</v>
      </c>
      <c r="B297" s="2" t="s">
        <v>2</v>
      </c>
      <c r="C297" s="2">
        <v>50</v>
      </c>
      <c r="E297">
        <f t="shared" si="9"/>
        <v>15</v>
      </c>
      <c r="G297" s="11" t="str">
        <f t="shared" si="8"/>
        <v>'mtassiptimert2 ' NVARCHAR2(50)</v>
      </c>
    </row>
    <row r="298" spans="1:7" x14ac:dyDescent="0.3">
      <c r="A298" s="7" t="s">
        <v>751</v>
      </c>
      <c r="B298" s="2" t="s">
        <v>2</v>
      </c>
      <c r="C298" s="2">
        <v>50</v>
      </c>
      <c r="E298">
        <f t="shared" si="9"/>
        <v>29</v>
      </c>
      <c r="G298" s="11" t="str">
        <f t="shared" si="8"/>
        <v>'mtassipsteppingolinesesionvr ' NVARCHAR2(50)</v>
      </c>
    </row>
    <row r="299" spans="1:7" x14ac:dyDescent="0.3">
      <c r="A299" s="7" t="s">
        <v>752</v>
      </c>
      <c r="B299" s="2" t="s">
        <v>2</v>
      </c>
      <c r="C299" s="2">
        <v>50</v>
      </c>
      <c r="E299">
        <f t="shared" si="9"/>
        <v>14</v>
      </c>
      <c r="G299" s="11" t="str">
        <f t="shared" si="8"/>
        <v>'mtassiptimerf ' NVARCHAR2(50)</v>
      </c>
    </row>
    <row r="300" spans="1:7" x14ac:dyDescent="0.3">
      <c r="A300" s="7" t="s">
        <v>753</v>
      </c>
      <c r="B300" s="2" t="s">
        <v>2</v>
      </c>
      <c r="C300" s="2">
        <v>50</v>
      </c>
      <c r="E300">
        <f t="shared" si="9"/>
        <v>15</v>
      </c>
      <c r="G300" s="11" t="str">
        <f t="shared" si="8"/>
        <v>'mtassiptimert1 ' NVARCHAR2(50)</v>
      </c>
    </row>
    <row r="301" spans="1:7" x14ac:dyDescent="0.3">
      <c r="A301" s="7" t="s">
        <v>754</v>
      </c>
      <c r="B301" s="2" t="s">
        <v>2</v>
      </c>
      <c r="C301" s="2">
        <v>50</v>
      </c>
      <c r="E301">
        <f t="shared" si="9"/>
        <v>28</v>
      </c>
      <c r="G301" s="11" t="str">
        <f t="shared" si="8"/>
        <v>'mtassiptcpconnectiontimeout ' NVARCHAR2(50)</v>
      </c>
    </row>
    <row r="302" spans="1:7" x14ac:dyDescent="0.3">
      <c r="A302" s="7" t="s">
        <v>755</v>
      </c>
      <c r="B302" s="2" t="s">
        <v>2</v>
      </c>
      <c r="C302" s="2">
        <v>50</v>
      </c>
      <c r="E302">
        <f t="shared" si="9"/>
        <v>19</v>
      </c>
      <c r="G302" s="11" t="str">
        <f t="shared" si="8"/>
        <v>'mtassipscctermport ' NVARCHAR2(50)</v>
      </c>
    </row>
    <row r="303" spans="1:7" x14ac:dyDescent="0.3">
      <c r="A303" s="7" t="s">
        <v>756</v>
      </c>
      <c r="B303" s="2" t="s">
        <v>2</v>
      </c>
      <c r="C303" s="2">
        <v>50</v>
      </c>
      <c r="E303">
        <f t="shared" si="9"/>
        <v>17</v>
      </c>
      <c r="G303" s="11" t="str">
        <f t="shared" si="8"/>
        <v>'mtassipicscfname ' NVARCHAR2(50)</v>
      </c>
    </row>
    <row r="304" spans="1:7" x14ac:dyDescent="0.3">
      <c r="A304" s="7" t="s">
        <v>757</v>
      </c>
      <c r="B304" s="2" t="s">
        <v>2</v>
      </c>
      <c r="C304" s="2">
        <v>50</v>
      </c>
      <c r="E304">
        <f t="shared" si="9"/>
        <v>20</v>
      </c>
      <c r="G304" s="11" t="str">
        <f t="shared" si="8"/>
        <v>'mtassippresenceport ' NVARCHAR2(50)</v>
      </c>
    </row>
    <row r="305" spans="1:7" x14ac:dyDescent="0.3">
      <c r="A305" s="7" t="s">
        <v>758</v>
      </c>
      <c r="B305" s="2" t="s">
        <v>2</v>
      </c>
      <c r="C305" s="2">
        <v>50</v>
      </c>
      <c r="E305">
        <f t="shared" si="9"/>
        <v>28</v>
      </c>
      <c r="G305" s="11" t="str">
        <f t="shared" si="8"/>
        <v>'mtassipsuperviseallsessions ' NVARCHAR2(50)</v>
      </c>
    </row>
    <row r="306" spans="1:7" x14ac:dyDescent="0.3">
      <c r="A306" s="7" t="s">
        <v>759</v>
      </c>
      <c r="B306" s="2" t="s">
        <v>2</v>
      </c>
      <c r="C306" s="2">
        <v>50</v>
      </c>
      <c r="E306">
        <f t="shared" si="9"/>
        <v>28</v>
      </c>
      <c r="G306" s="11" t="str">
        <f t="shared" si="8"/>
        <v>'mtassipdisablelargemsgcheck ' NVARCHAR2(50)</v>
      </c>
    </row>
    <row r="307" spans="1:7" x14ac:dyDescent="0.3">
      <c r="A307" s="7" t="s">
        <v>760</v>
      </c>
      <c r="B307" s="2" t="s">
        <v>2</v>
      </c>
      <c r="C307" s="2">
        <v>50</v>
      </c>
      <c r="E307">
        <f t="shared" si="9"/>
        <v>14</v>
      </c>
      <c r="G307" s="11" t="str">
        <f t="shared" si="8"/>
        <v>'mtassiprsport ' NVARCHAR2(50)</v>
      </c>
    </row>
    <row r="308" spans="1:7" x14ac:dyDescent="0.3">
      <c r="A308" s="7" t="s">
        <v>761</v>
      </c>
      <c r="B308" s="2" t="s">
        <v>2</v>
      </c>
      <c r="C308" s="2">
        <v>50</v>
      </c>
      <c r="E308">
        <f t="shared" si="9"/>
        <v>30</v>
      </c>
      <c r="G308" s="11" t="str">
        <f t="shared" si="8"/>
        <v>'mtassiptrafficorigunregipport ' NVARCHAR2(50)</v>
      </c>
    </row>
    <row r="309" spans="1:7" x14ac:dyDescent="0.3">
      <c r="A309" s="7" t="s">
        <v>436</v>
      </c>
      <c r="B309" s="2" t="s">
        <v>2</v>
      </c>
      <c r="C309" s="2">
        <v>50</v>
      </c>
      <c r="E309">
        <f t="shared" si="9"/>
        <v>16</v>
      </c>
      <c r="G309" s="11" t="str">
        <f t="shared" si="8"/>
        <v>'mtassipipversion' NVARCHAR2(50)</v>
      </c>
    </row>
    <row r="310" spans="1:7" x14ac:dyDescent="0.3">
      <c r="A310" s="7" t="s">
        <v>437</v>
      </c>
      <c r="B310" s="2" t="s">
        <v>2</v>
      </c>
      <c r="C310" s="2">
        <v>100</v>
      </c>
      <c r="E310">
        <f t="shared" si="9"/>
        <v>17</v>
      </c>
      <c r="G310" s="11" t="str">
        <f t="shared" si="8"/>
        <v>'mtassipoptionsuri' NVARCHAR2(100)</v>
      </c>
    </row>
    <row r="311" spans="1:7" x14ac:dyDescent="0.3">
      <c r="A311" s="7" t="s">
        <v>438</v>
      </c>
      <c r="B311" s="2" t="s">
        <v>2</v>
      </c>
      <c r="C311" s="2">
        <v>50</v>
      </c>
      <c r="E311">
        <f t="shared" si="9"/>
        <v>18</v>
      </c>
      <c r="G311" s="11" t="str">
        <f t="shared" si="8"/>
        <v>'mtassipsccorigport' NVARCHAR2(50)</v>
      </c>
    </row>
    <row r="312" spans="1:7" x14ac:dyDescent="0.3">
      <c r="A312" s="7" t="s">
        <v>439</v>
      </c>
      <c r="B312" s="2" t="s">
        <v>2</v>
      </c>
      <c r="C312" s="2">
        <v>50</v>
      </c>
      <c r="E312">
        <f t="shared" si="9"/>
        <v>28</v>
      </c>
      <c r="G312" s="11" t="str">
        <f t="shared" si="8"/>
        <v>'mtassipserveruseragentheader' NVARCHAR2(50)</v>
      </c>
    </row>
    <row r="313" spans="1:7" x14ac:dyDescent="0.3">
      <c r="A313" s="7" t="s">
        <v>440</v>
      </c>
      <c r="B313" s="2" t="s">
        <v>2</v>
      </c>
      <c r="C313" s="2">
        <v>50</v>
      </c>
      <c r="E313">
        <f t="shared" si="9"/>
        <v>16</v>
      </c>
      <c r="G313" s="11" t="str">
        <f t="shared" si="8"/>
        <v>'mtassipcnameport' NVARCHAR2(50)</v>
      </c>
    </row>
    <row r="314" spans="1:7" x14ac:dyDescent="0.3">
      <c r="A314" s="7" t="s">
        <v>441</v>
      </c>
      <c r="B314" s="2" t="s">
        <v>2</v>
      </c>
      <c r="C314" s="2">
        <v>50</v>
      </c>
      <c r="E314">
        <f t="shared" si="9"/>
        <v>28</v>
      </c>
      <c r="G314" s="11" t="str">
        <f t="shared" si="8"/>
        <v>'mtassipuesessiontimersupport' NVARCHAR2(50)</v>
      </c>
    </row>
    <row r="315" spans="1:7" x14ac:dyDescent="0.3">
      <c r="A315" s="7" t="s">
        <v>442</v>
      </c>
      <c r="B315" s="2" t="s">
        <v>2</v>
      </c>
      <c r="C315" s="2">
        <v>50</v>
      </c>
      <c r="E315">
        <f t="shared" si="9"/>
        <v>25</v>
      </c>
      <c r="G315" s="11" t="str">
        <f t="shared" si="8"/>
        <v>'mtassipfailovertimeinvite' NVARCHAR2(50)</v>
      </c>
    </row>
    <row r="316" spans="1:7" x14ac:dyDescent="0.3">
      <c r="A316" s="7" t="s">
        <v>443</v>
      </c>
      <c r="B316" s="2" t="s">
        <v>2</v>
      </c>
      <c r="C316" s="2">
        <v>50</v>
      </c>
      <c r="E316">
        <f t="shared" si="9"/>
        <v>16</v>
      </c>
      <c r="G316" s="11" t="str">
        <f t="shared" si="8"/>
        <v>'mtassipsdpans200' NVARCHAR2(50)</v>
      </c>
    </row>
    <row r="317" spans="1:7" x14ac:dyDescent="0.3">
      <c r="A317" s="7" t="s">
        <v>774</v>
      </c>
      <c r="B317" s="2" t="s">
        <v>2</v>
      </c>
      <c r="C317" s="2">
        <v>50</v>
      </c>
      <c r="E317">
        <f t="shared" si="9"/>
        <v>27</v>
      </c>
      <c r="G317" s="11" t="str">
        <f t="shared" si="8"/>
        <v>'mtassipcalloutofbluerouting' NVARCHAR2(50)</v>
      </c>
    </row>
    <row r="318" spans="1:7" x14ac:dyDescent="0.3">
      <c r="A318" s="7" t="s">
        <v>444</v>
      </c>
      <c r="B318" s="2" t="s">
        <v>2</v>
      </c>
      <c r="C318" s="2">
        <v>50</v>
      </c>
      <c r="E318">
        <f t="shared" si="9"/>
        <v>28</v>
      </c>
      <c r="G318" s="11" t="str">
        <f t="shared" si="8"/>
        <v>'mtassiporiginatingaschaining' NVARCHAR2(50)</v>
      </c>
    </row>
    <row r="319" spans="1:7" x14ac:dyDescent="0.3">
      <c r="A319" s="7" t="s">
        <v>773</v>
      </c>
      <c r="B319" s="2" t="s">
        <v>2</v>
      </c>
      <c r="C319" s="2">
        <v>50</v>
      </c>
      <c r="E319">
        <f t="shared" si="9"/>
        <v>29</v>
      </c>
      <c r="G319" s="11" t="str">
        <f t="shared" si="8"/>
        <v>'mtassiptraficterminatingiport' NVARCHAR2(50)</v>
      </c>
    </row>
    <row r="320" spans="1:7" x14ac:dyDescent="0.3">
      <c r="A320" s="7" t="s">
        <v>772</v>
      </c>
      <c r="B320" s="2" t="s">
        <v>2</v>
      </c>
      <c r="C320" s="2">
        <v>50</v>
      </c>
      <c r="E320">
        <f t="shared" si="9"/>
        <v>29</v>
      </c>
      <c r="G320" s="11" t="str">
        <f t="shared" si="8"/>
        <v>'mtassiptraficoriginatingiport' NVARCHAR2(50)</v>
      </c>
    </row>
    <row r="321" spans="1:7" x14ac:dyDescent="0.3">
      <c r="A321" s="7" t="s">
        <v>445</v>
      </c>
      <c r="B321" s="2" t="s">
        <v>2</v>
      </c>
      <c r="C321" s="2">
        <v>50</v>
      </c>
      <c r="E321">
        <f t="shared" si="9"/>
        <v>23</v>
      </c>
      <c r="G321" s="11" t="str">
        <f t="shared" si="8"/>
        <v>'mtassipsccorigunregport' NVARCHAR2(50)</v>
      </c>
    </row>
    <row r="322" spans="1:7" x14ac:dyDescent="0.3">
      <c r="A322" s="7" t="s">
        <v>446</v>
      </c>
      <c r="B322" s="2" t="s">
        <v>2</v>
      </c>
      <c r="C322" s="2">
        <v>50</v>
      </c>
      <c r="E322">
        <f t="shared" si="9"/>
        <v>28</v>
      </c>
      <c r="G322" s="11" t="str">
        <f t="shared" si="8"/>
        <v>'mtassipfailovertimenoninvite' NVARCHAR2(50)</v>
      </c>
    </row>
    <row r="323" spans="1:7" x14ac:dyDescent="0.3">
      <c r="A323" s="7" t="s">
        <v>447</v>
      </c>
      <c r="B323" s="2" t="s">
        <v>2</v>
      </c>
      <c r="C323" s="2">
        <v>50</v>
      </c>
      <c r="E323">
        <f t="shared" si="9"/>
        <v>23</v>
      </c>
      <c r="G323" s="11" t="str">
        <f t="shared" ref="G323:G386" si="10">_xlfn.CONCAT("'",A323,"'"," NVARCHAR2","(",C323,")","")</f>
        <v>'mtassipscctermunregport' NVARCHAR2(50)</v>
      </c>
    </row>
    <row r="324" spans="1:7" x14ac:dyDescent="0.3">
      <c r="A324" s="7" t="s">
        <v>448</v>
      </c>
      <c r="B324" s="2" t="s">
        <v>2</v>
      </c>
      <c r="C324" s="2">
        <v>50</v>
      </c>
      <c r="E324">
        <f t="shared" si="9"/>
        <v>25</v>
      </c>
      <c r="G324" s="11" t="str">
        <f t="shared" si="10"/>
        <v>'mtassiptransportincontact' NVARCHAR2(50)</v>
      </c>
    </row>
    <row r="325" spans="1:7" x14ac:dyDescent="0.3">
      <c r="A325" s="7" t="s">
        <v>449</v>
      </c>
      <c r="B325" s="2" t="s">
        <v>2</v>
      </c>
      <c r="C325" s="2">
        <v>50</v>
      </c>
      <c r="E325">
        <f t="shared" si="9"/>
        <v>27</v>
      </c>
      <c r="G325" s="11" t="str">
        <f t="shared" si="10"/>
        <v>'mtassipdefaultsessionexpiry' NVARCHAR2(50)</v>
      </c>
    </row>
    <row r="326" spans="1:7" x14ac:dyDescent="0.3">
      <c r="A326" s="7" t="s">
        <v>450</v>
      </c>
      <c r="B326" s="2" t="s">
        <v>2</v>
      </c>
      <c r="C326" s="2">
        <v>50</v>
      </c>
      <c r="E326">
        <f t="shared" ref="E326:E385" si="11">LEN(A326)</f>
        <v>19</v>
      </c>
      <c r="G326" s="11" t="str">
        <f t="shared" si="10"/>
        <v>'mtassipdefaultminse' NVARCHAR2(50)</v>
      </c>
    </row>
    <row r="327" spans="1:7" x14ac:dyDescent="0.3">
      <c r="A327" s="7" t="s">
        <v>451</v>
      </c>
      <c r="B327" s="2" t="s">
        <v>2</v>
      </c>
      <c r="C327" s="2">
        <v>50</v>
      </c>
      <c r="E327">
        <f t="shared" si="11"/>
        <v>14</v>
      </c>
      <c r="G327" s="11" t="str">
        <f t="shared" si="10"/>
        <v>'mtassippsiport' NVARCHAR2(50)</v>
      </c>
    </row>
    <row r="328" spans="1:7" x14ac:dyDescent="0.3">
      <c r="A328" s="7" t="s">
        <v>452</v>
      </c>
      <c r="B328" s="2" t="s">
        <v>2</v>
      </c>
      <c r="C328" s="2">
        <v>50</v>
      </c>
      <c r="E328">
        <f t="shared" si="11"/>
        <v>27</v>
      </c>
      <c r="G328" s="11" t="str">
        <f t="shared" si="10"/>
        <v>'mtassipprotocolmtasorigcall' NVARCHAR2(50)</v>
      </c>
    </row>
    <row r="329" spans="1:7" x14ac:dyDescent="0.3">
      <c r="A329" s="7" t="s">
        <v>453</v>
      </c>
      <c r="B329" s="2" t="s">
        <v>2</v>
      </c>
      <c r="C329" s="2">
        <v>50</v>
      </c>
      <c r="E329">
        <f t="shared" si="11"/>
        <v>13</v>
      </c>
      <c r="G329" s="11" t="str">
        <f t="shared" si="10"/>
        <v>'mtassiptimerb' NVARCHAR2(50)</v>
      </c>
    </row>
    <row r="330" spans="1:7" x14ac:dyDescent="0.3">
      <c r="A330" s="7" t="s">
        <v>454</v>
      </c>
      <c r="B330" s="2" t="s">
        <v>2</v>
      </c>
      <c r="C330" s="2">
        <v>50</v>
      </c>
      <c r="E330">
        <f t="shared" si="11"/>
        <v>13</v>
      </c>
      <c r="G330" s="11" t="str">
        <f t="shared" si="10"/>
        <v>'mtassipstport' NVARCHAR2(50)</v>
      </c>
    </row>
    <row r="331" spans="1:7" x14ac:dyDescent="0.3">
      <c r="A331" s="7" t="s">
        <v>389</v>
      </c>
      <c r="B331" s="2" t="s">
        <v>2</v>
      </c>
      <c r="C331" s="2">
        <v>50</v>
      </c>
      <c r="D331" t="s">
        <v>389</v>
      </c>
      <c r="E331">
        <f t="shared" si="11"/>
        <v>28</v>
      </c>
      <c r="G331" s="11" t="str">
        <f t="shared" si="10"/>
        <v>'mtassipcancel2finalresptimer' NVARCHAR2(50)</v>
      </c>
    </row>
    <row r="332" spans="1:7" x14ac:dyDescent="0.3">
      <c r="A332" s="7" t="s">
        <v>455</v>
      </c>
      <c r="B332" s="2" t="s">
        <v>2</v>
      </c>
      <c r="C332" s="2">
        <v>50</v>
      </c>
      <c r="E332">
        <f t="shared" si="11"/>
        <v>20</v>
      </c>
      <c r="G332" s="11" t="str">
        <f t="shared" si="10"/>
        <v>'mtassipipdscpmarking' NVARCHAR2(50)</v>
      </c>
    </row>
    <row r="333" spans="1:7" x14ac:dyDescent="0.3">
      <c r="A333" s="7" t="s">
        <v>390</v>
      </c>
      <c r="B333" s="2" t="s">
        <v>2</v>
      </c>
      <c r="C333" s="2">
        <v>50</v>
      </c>
      <c r="D333" t="s">
        <v>390</v>
      </c>
      <c r="E333">
        <f t="shared" si="11"/>
        <v>28</v>
      </c>
      <c r="G333" s="11" t="str">
        <f t="shared" si="10"/>
        <v>'mtassipinvite2finalresptimer' NVARCHAR2(50)</v>
      </c>
    </row>
    <row r="334" spans="1:7" x14ac:dyDescent="0.3">
      <c r="A334" s="7" t="s">
        <v>456</v>
      </c>
      <c r="B334" s="2" t="s">
        <v>2</v>
      </c>
      <c r="C334" s="2">
        <v>50</v>
      </c>
      <c r="E334">
        <f t="shared" si="11"/>
        <v>18</v>
      </c>
      <c r="G334" s="11" t="str">
        <f t="shared" si="10"/>
        <v>'mtasmediaframework' NVARCHAR2(50)</v>
      </c>
    </row>
    <row r="335" spans="1:7" x14ac:dyDescent="0.3">
      <c r="A335" s="7" t="s">
        <v>771</v>
      </c>
      <c r="B335" s="2" t="s">
        <v>2</v>
      </c>
      <c r="C335" s="2">
        <v>50</v>
      </c>
      <c r="E335">
        <f t="shared" si="11"/>
        <v>27</v>
      </c>
      <c r="G335" s="11" t="str">
        <f t="shared" si="10"/>
        <v>'mtascomdetailslclstormxtime' NVARCHAR2(50)</v>
      </c>
    </row>
    <row r="336" spans="1:7" x14ac:dyDescent="0.3">
      <c r="A336" s="7" t="s">
        <v>457</v>
      </c>
      <c r="B336" s="2" t="s">
        <v>2</v>
      </c>
      <c r="C336" s="2">
        <v>50</v>
      </c>
      <c r="E336">
        <f t="shared" si="11"/>
        <v>29</v>
      </c>
      <c r="G336" s="11" t="str">
        <f t="shared" si="10"/>
        <v>'mtascomdetailsprimecdsaddress' NVARCHAR2(50)</v>
      </c>
    </row>
    <row r="337" spans="1:7" x14ac:dyDescent="0.3">
      <c r="A337" s="7" t="s">
        <v>770</v>
      </c>
      <c r="B337" s="2" t="s">
        <v>2</v>
      </c>
      <c r="C337" s="2">
        <v>50</v>
      </c>
      <c r="E337">
        <f t="shared" si="11"/>
        <v>29</v>
      </c>
      <c r="G337" s="11" t="str">
        <f t="shared" si="10"/>
        <v>'mtascomdetailsinterfacevrsion' NVARCHAR2(50)</v>
      </c>
    </row>
    <row r="338" spans="1:7" x14ac:dyDescent="0.3">
      <c r="A338" s="7" t="s">
        <v>769</v>
      </c>
      <c r="B338" s="2" t="s">
        <v>2</v>
      </c>
      <c r="C338" s="2">
        <v>50</v>
      </c>
      <c r="E338">
        <f t="shared" si="11"/>
        <v>29</v>
      </c>
      <c r="G338" s="11" t="str">
        <f t="shared" si="10"/>
        <v>'mtascomdetailssecondcdsadress' NVARCHAR2(50)</v>
      </c>
    </row>
    <row r="339" spans="1:7" x14ac:dyDescent="0.3">
      <c r="A339" s="7" t="s">
        <v>768</v>
      </c>
      <c r="B339" s="2" t="s">
        <v>2</v>
      </c>
      <c r="C339" s="2">
        <v>50</v>
      </c>
      <c r="E339">
        <f t="shared" si="11"/>
        <v>29</v>
      </c>
      <c r="G339" s="11" t="str">
        <f t="shared" si="10"/>
        <v>'mtascomdetilslclstormaxnbracr' NVARCHAR2(50)</v>
      </c>
    </row>
    <row r="340" spans="1:7" x14ac:dyDescent="0.3">
      <c r="A340" s="7" t="s">
        <v>458</v>
      </c>
      <c r="B340" s="2" t="s">
        <v>2</v>
      </c>
      <c r="C340" s="2">
        <v>50</v>
      </c>
      <c r="E340">
        <f t="shared" si="11"/>
        <v>27</v>
      </c>
      <c r="G340" s="11" t="str">
        <f t="shared" si="10"/>
        <v>'mtascondetailsreportingtype' NVARCHAR2(50)</v>
      </c>
    </row>
    <row r="341" spans="1:7" x14ac:dyDescent="0.3">
      <c r="A341" s="7" t="s">
        <v>459</v>
      </c>
      <c r="B341" s="2" t="s">
        <v>2</v>
      </c>
      <c r="C341" s="2">
        <v>50</v>
      </c>
      <c r="E341">
        <f t="shared" si="11"/>
        <v>14</v>
      </c>
      <c r="G341" s="11" t="str">
        <f t="shared" si="10"/>
        <v>'mtascomdetails' NVARCHAR2(50)</v>
      </c>
    </row>
    <row r="342" spans="1:7" x14ac:dyDescent="0.3">
      <c r="A342" s="7" t="s">
        <v>767</v>
      </c>
      <c r="B342" s="2" t="s">
        <v>2</v>
      </c>
      <c r="C342" s="2">
        <v>50</v>
      </c>
      <c r="E342">
        <f t="shared" si="11"/>
        <v>29</v>
      </c>
      <c r="G342" s="11" t="str">
        <f t="shared" si="10"/>
        <v>'mtascomdeetslclstormaxfilsize' NVARCHAR2(50)</v>
      </c>
    </row>
    <row r="343" spans="1:7" x14ac:dyDescent="0.3">
      <c r="A343" s="7" t="s">
        <v>460</v>
      </c>
      <c r="B343" s="2" t="s">
        <v>2</v>
      </c>
      <c r="C343" s="2">
        <v>50</v>
      </c>
      <c r="E343">
        <f t="shared" si="11"/>
        <v>25</v>
      </c>
      <c r="G343" s="11" t="str">
        <f t="shared" si="10"/>
        <v>'mtascomdetailsservcontext' NVARCHAR2(50)</v>
      </c>
    </row>
    <row r="344" spans="1:7" x14ac:dyDescent="0.3">
      <c r="A344" s="7" t="s">
        <v>461</v>
      </c>
      <c r="B344" s="2" t="s">
        <v>2</v>
      </c>
      <c r="C344" s="2">
        <v>50</v>
      </c>
      <c r="E344">
        <f t="shared" si="11"/>
        <v>24</v>
      </c>
      <c r="G344" s="11" t="str">
        <f t="shared" si="10"/>
        <v>'mtaswebserviceslocalport' NVARCHAR2(50)</v>
      </c>
    </row>
    <row r="345" spans="1:7" x14ac:dyDescent="0.3">
      <c r="A345" s="7" t="s">
        <v>462</v>
      </c>
      <c r="B345" s="2" t="s">
        <v>2</v>
      </c>
      <c r="C345" s="2">
        <v>50</v>
      </c>
      <c r="E345">
        <f t="shared" si="11"/>
        <v>15</v>
      </c>
      <c r="G345" s="11" t="str">
        <f t="shared" si="10"/>
        <v>'mtaswebservices' NVARCHAR2(50)</v>
      </c>
    </row>
    <row r="346" spans="1:7" x14ac:dyDescent="0.3">
      <c r="A346" s="7" t="s">
        <v>463</v>
      </c>
      <c r="B346" s="2" t="s">
        <v>2</v>
      </c>
      <c r="C346" s="2">
        <v>50</v>
      </c>
      <c r="E346">
        <f t="shared" si="11"/>
        <v>7</v>
      </c>
      <c r="G346" s="11" t="str">
        <f t="shared" si="10"/>
        <v>'mtasgls' NVARCHAR2(50)</v>
      </c>
    </row>
    <row r="347" spans="1:7" x14ac:dyDescent="0.3">
      <c r="A347" s="7" t="s">
        <v>464</v>
      </c>
      <c r="B347" s="2" t="s">
        <v>2</v>
      </c>
      <c r="C347" s="2">
        <v>50</v>
      </c>
      <c r="E347">
        <f t="shared" si="11"/>
        <v>22</v>
      </c>
      <c r="G347" s="11" t="str">
        <f t="shared" si="10"/>
        <v>'mtassupportfunctionsid' NVARCHAR2(50)</v>
      </c>
    </row>
    <row r="348" spans="1:7" x14ac:dyDescent="0.3">
      <c r="A348" s="7" t="s">
        <v>465</v>
      </c>
      <c r="B348" s="2" t="s">
        <v>2</v>
      </c>
      <c r="C348" s="2">
        <v>50</v>
      </c>
      <c r="E348">
        <f t="shared" si="11"/>
        <v>8</v>
      </c>
      <c r="G348" s="11" t="str">
        <f t="shared" si="10"/>
        <v>'mtasmrfc' NVARCHAR2(50)</v>
      </c>
    </row>
    <row r="349" spans="1:7" x14ac:dyDescent="0.3">
      <c r="A349" s="7" t="s">
        <v>766</v>
      </c>
      <c r="B349" s="2" t="s">
        <v>2</v>
      </c>
      <c r="C349" s="2">
        <v>50</v>
      </c>
      <c r="E349">
        <f t="shared" si="11"/>
        <v>29</v>
      </c>
      <c r="G349" s="11" t="str">
        <f t="shared" si="10"/>
        <v>'mtasxdmscai3ginactivitytimout' NVARCHAR2(50)</v>
      </c>
    </row>
    <row r="350" spans="1:7" x14ac:dyDescent="0.3">
      <c r="A350" s="7" t="s">
        <v>394</v>
      </c>
      <c r="B350" s="2" t="s">
        <v>2</v>
      </c>
      <c r="C350" s="2">
        <v>50</v>
      </c>
      <c r="D350" t="s">
        <v>394</v>
      </c>
      <c r="E350">
        <f t="shared" si="11"/>
        <v>27</v>
      </c>
      <c r="G350" s="11" t="str">
        <f t="shared" si="10"/>
        <v>'mtasxdmsxcaprespcontenttype' NVARCHAR2(50)</v>
      </c>
    </row>
    <row r="351" spans="1:7" x14ac:dyDescent="0.3">
      <c r="A351" s="7" t="s">
        <v>466</v>
      </c>
      <c r="B351" s="2" t="s">
        <v>2</v>
      </c>
      <c r="C351" s="2">
        <v>50</v>
      </c>
      <c r="E351">
        <f t="shared" si="11"/>
        <v>25</v>
      </c>
      <c r="G351" s="11" t="str">
        <f t="shared" si="10"/>
        <v>'mtasxdmsretryafterminimum' NVARCHAR2(50)</v>
      </c>
    </row>
    <row r="352" spans="1:7" x14ac:dyDescent="0.3">
      <c r="A352" s="7" t="s">
        <v>395</v>
      </c>
      <c r="B352" s="2" t="s">
        <v>2</v>
      </c>
      <c r="C352" s="2">
        <v>50</v>
      </c>
      <c r="D352" t="s">
        <v>395</v>
      </c>
      <c r="E352">
        <f t="shared" si="11"/>
        <v>23</v>
      </c>
      <c r="G352" s="11" t="str">
        <f t="shared" si="10"/>
        <v>'mtasxdmscai3gadminstate' NVARCHAR2(50)</v>
      </c>
    </row>
    <row r="353" spans="1:7" x14ac:dyDescent="0.3">
      <c r="A353" s="7" t="s">
        <v>396</v>
      </c>
      <c r="B353" s="2" t="s">
        <v>2</v>
      </c>
      <c r="C353" s="2">
        <v>50</v>
      </c>
      <c r="D353" t="s">
        <v>396</v>
      </c>
      <c r="E353">
        <f t="shared" si="11"/>
        <v>22</v>
      </c>
      <c r="G353" s="11" t="str">
        <f t="shared" si="10"/>
        <v>'mtasxdmsccmpadminstate' NVARCHAR2(50)</v>
      </c>
    </row>
    <row r="354" spans="1:7" x14ac:dyDescent="0.3">
      <c r="A354" s="7" t="s">
        <v>467</v>
      </c>
      <c r="B354" s="2" t="s">
        <v>2</v>
      </c>
      <c r="C354" s="2">
        <v>50</v>
      </c>
      <c r="E354">
        <f t="shared" si="11"/>
        <v>25</v>
      </c>
      <c r="G354" s="11" t="str">
        <f t="shared" si="10"/>
        <v>'mtasdxmsretryaftermaximum' NVARCHAR2(50)</v>
      </c>
    </row>
    <row r="355" spans="1:7" x14ac:dyDescent="0.3">
      <c r="A355" s="7" t="s">
        <v>468</v>
      </c>
      <c r="B355" s="2" t="s">
        <v>2</v>
      </c>
      <c r="C355" s="2">
        <v>50</v>
      </c>
      <c r="E355">
        <f t="shared" si="11"/>
        <v>28</v>
      </c>
      <c r="G355" s="11" t="str">
        <f t="shared" si="10"/>
        <v>'mtasxdmscai3gmaximumsessions' NVARCHAR2(50)</v>
      </c>
    </row>
    <row r="356" spans="1:7" x14ac:dyDescent="0.3">
      <c r="A356" s="7" t="s">
        <v>469</v>
      </c>
      <c r="B356" s="2" t="s">
        <v>2</v>
      </c>
      <c r="C356" s="2">
        <v>50</v>
      </c>
      <c r="E356">
        <f t="shared" si="11"/>
        <v>27</v>
      </c>
      <c r="G356" s="11" t="str">
        <f t="shared" si="10"/>
        <v>'mtasxdmsutinterfacepriority' NVARCHAR2(50)</v>
      </c>
    </row>
    <row r="357" spans="1:7" x14ac:dyDescent="0.3">
      <c r="A357" s="7" t="s">
        <v>765</v>
      </c>
      <c r="B357" s="2" t="s">
        <v>2</v>
      </c>
      <c r="C357" s="2">
        <v>50</v>
      </c>
      <c r="E357">
        <f t="shared" si="11"/>
        <v>29</v>
      </c>
      <c r="G357" s="11" t="str">
        <f t="shared" si="10"/>
        <v>'mtasxdmscai3ginterfacepriorty' NVARCHAR2(50)</v>
      </c>
    </row>
    <row r="358" spans="1:7" x14ac:dyDescent="0.3">
      <c r="A358" s="7" t="s">
        <v>470</v>
      </c>
      <c r="B358" s="2" t="s">
        <v>2</v>
      </c>
      <c r="C358" s="2">
        <v>50</v>
      </c>
      <c r="E358">
        <f t="shared" si="11"/>
        <v>29</v>
      </c>
      <c r="G358" s="11" t="str">
        <f t="shared" si="10"/>
        <v>'mtasxdmsutadministrativestate' NVARCHAR2(50)</v>
      </c>
    </row>
    <row r="359" spans="1:7" x14ac:dyDescent="0.3">
      <c r="A359" s="7" t="s">
        <v>471</v>
      </c>
      <c r="B359" s="2" t="s">
        <v>2</v>
      </c>
      <c r="C359" s="2">
        <v>50</v>
      </c>
      <c r="E359">
        <f t="shared" si="11"/>
        <v>29</v>
      </c>
      <c r="G359" s="11" t="str">
        <f t="shared" si="10"/>
        <v>'mtasxdmsccmpinterfacepriority' NVARCHAR2(50)</v>
      </c>
    </row>
    <row r="360" spans="1:7" x14ac:dyDescent="0.3">
      <c r="A360" s="7" t="s">
        <v>472</v>
      </c>
      <c r="B360" s="2" t="s">
        <v>2</v>
      </c>
      <c r="C360" s="2">
        <v>50</v>
      </c>
      <c r="E360">
        <f t="shared" si="11"/>
        <v>8</v>
      </c>
      <c r="G360" s="11" t="str">
        <f t="shared" si="10"/>
        <v>'mtasxdms' NVARCHAR2(50)</v>
      </c>
    </row>
    <row r="361" spans="1:7" x14ac:dyDescent="0.3">
      <c r="A361" s="7" t="s">
        <v>473</v>
      </c>
      <c r="B361" s="2" t="s">
        <v>2</v>
      </c>
      <c r="C361" s="2">
        <v>50</v>
      </c>
      <c r="E361">
        <f t="shared" si="11"/>
        <v>20</v>
      </c>
      <c r="G361" s="11" t="str">
        <f t="shared" si="10"/>
        <v>'mtasxdmscai3glogging' NVARCHAR2(50)</v>
      </c>
    </row>
    <row r="362" spans="1:7" x14ac:dyDescent="0.3">
      <c r="A362" s="7" t="s">
        <v>474</v>
      </c>
      <c r="B362" s="2" t="s">
        <v>2</v>
      </c>
      <c r="C362" s="2">
        <v>50</v>
      </c>
      <c r="E362">
        <f t="shared" si="11"/>
        <v>24</v>
      </c>
      <c r="G362" s="11" t="str">
        <f t="shared" si="10"/>
        <v>'referencetolicenseserver' NVARCHAR2(50)</v>
      </c>
    </row>
    <row r="363" spans="1:7" x14ac:dyDescent="0.3">
      <c r="A363" s="7" t="s">
        <v>51</v>
      </c>
      <c r="B363" s="2" t="s">
        <v>2</v>
      </c>
      <c r="C363" s="2">
        <v>50</v>
      </c>
      <c r="E363">
        <f t="shared" si="11"/>
        <v>2</v>
      </c>
      <c r="G363" s="11" t="str">
        <f t="shared" si="10"/>
        <v>'id' NVARCHAR2(50)</v>
      </c>
    </row>
    <row r="364" spans="1:7" x14ac:dyDescent="0.3">
      <c r="A364" s="7" t="s">
        <v>475</v>
      </c>
      <c r="B364" s="2" t="s">
        <v>2</v>
      </c>
      <c r="C364" s="2">
        <v>50</v>
      </c>
      <c r="E364">
        <f t="shared" si="11"/>
        <v>29</v>
      </c>
      <c r="G364" s="11" t="str">
        <f t="shared" si="10"/>
        <v>'imsakaremovedialogunprotrereg' NVARCHAR2(50)</v>
      </c>
    </row>
    <row r="365" spans="1:7" x14ac:dyDescent="0.3">
      <c r="A365" s="7" t="s">
        <v>476</v>
      </c>
      <c r="B365" s="2" t="s">
        <v>2</v>
      </c>
      <c r="C365" s="2">
        <v>50</v>
      </c>
      <c r="E365">
        <f t="shared" si="11"/>
        <v>22</v>
      </c>
      <c r="G365" s="11" t="str">
        <f t="shared" si="10"/>
        <v>'imsakareusetcptermcall' NVARCHAR2(50)</v>
      </c>
    </row>
    <row r="366" spans="1:7" x14ac:dyDescent="0.3">
      <c r="A366" s="7" t="s">
        <v>477</v>
      </c>
      <c r="B366" s="2" t="s">
        <v>2</v>
      </c>
      <c r="C366" s="2">
        <v>50</v>
      </c>
      <c r="E366">
        <f t="shared" si="11"/>
        <v>23</v>
      </c>
      <c r="G366" s="11" t="str">
        <f t="shared" si="10"/>
        <v>'imsakaregistrarusesrcip' NVARCHAR2(50)</v>
      </c>
    </row>
    <row r="367" spans="1:7" x14ac:dyDescent="0.3">
      <c r="A367" s="7" t="s">
        <v>478</v>
      </c>
      <c r="B367" s="2" t="s">
        <v>2</v>
      </c>
      <c r="C367" s="2">
        <v>50</v>
      </c>
      <c r="E367">
        <f t="shared" si="11"/>
        <v>8</v>
      </c>
      <c r="G367" s="11" t="str">
        <f t="shared" si="10"/>
        <v>'smmstate' NVARCHAR2(50)</v>
      </c>
    </row>
    <row r="368" spans="1:7" x14ac:dyDescent="0.3">
      <c r="A368" s="7" t="s">
        <v>479</v>
      </c>
      <c r="B368" s="2" t="s">
        <v>2</v>
      </c>
      <c r="C368" s="2">
        <v>50</v>
      </c>
      <c r="E368">
        <f t="shared" si="11"/>
        <v>17</v>
      </c>
      <c r="G368" s="11" t="str">
        <f t="shared" si="10"/>
        <v>'transferlogstatus' NVARCHAR2(50)</v>
      </c>
    </row>
    <row r="369" spans="1:7" x14ac:dyDescent="0.3">
      <c r="A369" s="7" t="s">
        <v>423</v>
      </c>
      <c r="B369" s="2" t="s">
        <v>2</v>
      </c>
      <c r="C369" s="2">
        <v>200</v>
      </c>
      <c r="E369">
        <f t="shared" si="11"/>
        <v>18</v>
      </c>
      <c r="G369" s="11" t="str">
        <f t="shared" si="10"/>
        <v>'lasttransferresult' NVARCHAR2(200)</v>
      </c>
    </row>
    <row r="370" spans="1:7" x14ac:dyDescent="0.3">
      <c r="A370" s="7" t="s">
        <v>763</v>
      </c>
      <c r="B370" s="2" t="s">
        <v>2</v>
      </c>
      <c r="C370" s="2">
        <v>50</v>
      </c>
      <c r="E370">
        <f t="shared" si="11"/>
        <v>29</v>
      </c>
      <c r="G370" s="11" t="str">
        <f t="shared" si="10"/>
        <v>'nonregisteredusersallowedforc' NVARCHAR2(50)</v>
      </c>
    </row>
    <row r="371" spans="1:7" x14ac:dyDescent="0.3">
      <c r="A371" s="7" t="s">
        <v>762</v>
      </c>
      <c r="B371" s="2" t="s">
        <v>2</v>
      </c>
      <c r="C371" s="2">
        <v>50</v>
      </c>
      <c r="E371">
        <f t="shared" si="11"/>
        <v>29</v>
      </c>
      <c r="G371" s="11" t="str">
        <f t="shared" si="10"/>
        <v>'nonreguserallowforecnrmlberer' NVARCHAR2(50)</v>
      </c>
    </row>
    <row r="372" spans="1:7" x14ac:dyDescent="0.3">
      <c r="A372" s="7" t="s">
        <v>480</v>
      </c>
      <c r="B372" s="2" t="s">
        <v>2</v>
      </c>
      <c r="C372" s="2">
        <v>50</v>
      </c>
      <c r="E372">
        <f t="shared" si="11"/>
        <v>20</v>
      </c>
      <c r="G372" s="11" t="str">
        <f t="shared" si="10"/>
        <v>'forcedsipuriescaping' NVARCHAR2(50)</v>
      </c>
    </row>
    <row r="373" spans="1:7" x14ac:dyDescent="0.3">
      <c r="A373" t="s">
        <v>781</v>
      </c>
      <c r="B373" s="2" t="s">
        <v>2</v>
      </c>
      <c r="C373" s="2">
        <v>50</v>
      </c>
      <c r="E373">
        <f t="shared" si="11"/>
        <v>4</v>
      </c>
      <c r="G373" s="11" t="str">
        <f t="shared" si="10"/>
        <v>'a2ea' NVARCHAR2(50)</v>
      </c>
    </row>
    <row r="374" spans="1:7" x14ac:dyDescent="0.3">
      <c r="A374" t="s">
        <v>782</v>
      </c>
      <c r="B374" s="2" t="s">
        <v>2</v>
      </c>
      <c r="C374" s="2">
        <v>50</v>
      </c>
      <c r="E374">
        <f t="shared" si="11"/>
        <v>8</v>
      </c>
      <c r="G374" s="11" t="str">
        <f t="shared" si="10"/>
        <v>'aal2spid' NVARCHAR2(50)</v>
      </c>
    </row>
    <row r="375" spans="1:7" x14ac:dyDescent="0.3">
      <c r="A375" t="s">
        <v>783</v>
      </c>
      <c r="B375" s="2" t="s">
        <v>2</v>
      </c>
      <c r="C375" s="2">
        <v>50</v>
      </c>
      <c r="E375">
        <f t="shared" si="11"/>
        <v>23</v>
      </c>
      <c r="G375" s="11" t="str">
        <f t="shared" si="10"/>
        <v>'activegcptransportlayer' NVARCHAR2(50)</v>
      </c>
    </row>
    <row r="376" spans="1:7" x14ac:dyDescent="0.3">
      <c r="A376" t="s">
        <v>406</v>
      </c>
      <c r="B376" s="2" t="s">
        <v>2</v>
      </c>
      <c r="C376" s="2">
        <v>400</v>
      </c>
      <c r="E376">
        <f t="shared" si="11"/>
        <v>15</v>
      </c>
      <c r="G376" s="11" t="str">
        <f t="shared" si="10"/>
        <v>'activeswversion' NVARCHAR2(400)</v>
      </c>
    </row>
    <row r="377" spans="1:7" x14ac:dyDescent="0.3">
      <c r="A377" t="s">
        <v>412</v>
      </c>
      <c r="B377" s="2" t="s">
        <v>2</v>
      </c>
      <c r="C377" s="2">
        <v>400</v>
      </c>
      <c r="E377">
        <f t="shared" si="11"/>
        <v>12</v>
      </c>
      <c r="G377" s="11" t="str">
        <f t="shared" si="10"/>
        <v>'admclasspath' NVARCHAR2(400)</v>
      </c>
    </row>
    <row r="378" spans="1:7" x14ac:dyDescent="0.3">
      <c r="A378" t="s">
        <v>784</v>
      </c>
      <c r="B378" s="2" t="s">
        <v>2</v>
      </c>
      <c r="C378" s="2">
        <v>50</v>
      </c>
      <c r="E378">
        <f t="shared" si="11"/>
        <v>7</v>
      </c>
      <c r="G378" s="11" t="str">
        <f t="shared" si="10"/>
        <v>'admmain' NVARCHAR2(50)</v>
      </c>
    </row>
    <row r="379" spans="1:7" x14ac:dyDescent="0.3">
      <c r="A379" t="s">
        <v>785</v>
      </c>
      <c r="B379" s="2" t="s">
        <v>2</v>
      </c>
      <c r="C379" s="2">
        <v>100</v>
      </c>
      <c r="E379">
        <f t="shared" si="11"/>
        <v>10</v>
      </c>
      <c r="G379" s="11" t="str">
        <f t="shared" si="10"/>
        <v>'admoptions' NVARCHAR2(100)</v>
      </c>
    </row>
    <row r="380" spans="1:7" x14ac:dyDescent="0.3">
      <c r="A380" t="s">
        <v>786</v>
      </c>
      <c r="B380" s="2" t="s">
        <v>2</v>
      </c>
      <c r="C380" s="2">
        <v>50</v>
      </c>
      <c r="E380">
        <f t="shared" si="11"/>
        <v>12</v>
      </c>
      <c r="G380" s="11" t="str">
        <f t="shared" si="10"/>
        <v>'amrserviceid' NVARCHAR2(50)</v>
      </c>
    </row>
    <row r="381" spans="1:7" x14ac:dyDescent="0.3">
      <c r="A381" t="s">
        <v>787</v>
      </c>
      <c r="B381" s="2" t="s">
        <v>2</v>
      </c>
      <c r="C381" s="2">
        <v>50</v>
      </c>
      <c r="E381">
        <f t="shared" si="11"/>
        <v>10</v>
      </c>
      <c r="G381" s="11" t="str">
        <f t="shared" si="10"/>
        <v>'autoconfig' NVARCHAR2(50)</v>
      </c>
    </row>
    <row r="382" spans="1:7" x14ac:dyDescent="0.3">
      <c r="A382" t="s">
        <v>788</v>
      </c>
      <c r="B382" s="2" t="s">
        <v>2</v>
      </c>
      <c r="C382" s="2">
        <v>50</v>
      </c>
      <c r="E382">
        <f t="shared" si="11"/>
        <v>18</v>
      </c>
      <c r="G382" s="11" t="str">
        <f t="shared" si="10"/>
        <v>'autoconfigidentity' NVARCHAR2(50)</v>
      </c>
    </row>
    <row r="383" spans="1:7" x14ac:dyDescent="0.3">
      <c r="A383" t="s">
        <v>789</v>
      </c>
      <c r="B383" s="2" t="s">
        <v>2</v>
      </c>
      <c r="C383" s="2">
        <v>50</v>
      </c>
      <c r="E383">
        <f t="shared" si="11"/>
        <v>19</v>
      </c>
      <c r="G383" s="11" t="str">
        <f t="shared" si="10"/>
        <v>'autoconfigidentity2' NVARCHAR2(50)</v>
      </c>
    </row>
    <row r="384" spans="1:7" x14ac:dyDescent="0.3">
      <c r="A384" t="s">
        <v>790</v>
      </c>
      <c r="B384" s="2" t="s">
        <v>2</v>
      </c>
      <c r="C384" s="2">
        <v>50</v>
      </c>
      <c r="E384">
        <f t="shared" si="11"/>
        <v>18</v>
      </c>
      <c r="G384" s="11" t="str">
        <f t="shared" si="10"/>
        <v>'availabilitystatus' NVARCHAR2(50)</v>
      </c>
    </row>
    <row r="385" spans="1:7" x14ac:dyDescent="0.3">
      <c r="A385" t="s">
        <v>791</v>
      </c>
      <c r="B385" s="2" t="s">
        <v>2</v>
      </c>
      <c r="C385" s="2">
        <v>50</v>
      </c>
      <c r="E385">
        <f t="shared" si="11"/>
        <v>10</v>
      </c>
      <c r="G385" s="11" t="str">
        <f t="shared" si="10"/>
        <v>'baudrateul' NVARCHAR2(50)</v>
      </c>
    </row>
    <row r="386" spans="1:7" x14ac:dyDescent="0.3">
      <c r="A386" t="s">
        <v>792</v>
      </c>
      <c r="B386" s="2" t="s">
        <v>2</v>
      </c>
      <c r="C386" s="2">
        <v>50</v>
      </c>
      <c r="E386">
        <f t="shared" ref="E386:E447" si="12">LEN(A386)</f>
        <v>16</v>
      </c>
      <c r="G386" s="11" t="str">
        <f t="shared" si="10"/>
        <v>'bgfapplicationid' NVARCHAR2(50)</v>
      </c>
    </row>
    <row r="387" spans="1:7" x14ac:dyDescent="0.3">
      <c r="A387" t="s">
        <v>793</v>
      </c>
      <c r="B387" s="2" t="s">
        <v>2</v>
      </c>
      <c r="C387" s="2">
        <v>50</v>
      </c>
      <c r="E387">
        <f t="shared" si="12"/>
        <v>15</v>
      </c>
      <c r="G387" s="11" t="str">
        <f t="shared" ref="G387:G448" si="13">_xlfn.CONCAT("'",A387,"'"," NVARCHAR2","(",C387,")","")</f>
        <v>'cabinetposition' NVARCHAR2(50)</v>
      </c>
    </row>
    <row r="388" spans="1:7" x14ac:dyDescent="0.3">
      <c r="A388" t="s">
        <v>794</v>
      </c>
      <c r="B388" s="2" t="s">
        <v>2</v>
      </c>
      <c r="C388" s="2">
        <v>50</v>
      </c>
      <c r="E388">
        <f t="shared" si="12"/>
        <v>18</v>
      </c>
      <c r="G388" s="11" t="str">
        <f t="shared" si="13"/>
        <v>'ccauagentuserlimit' NVARCHAR2(50)</v>
      </c>
    </row>
    <row r="389" spans="1:7" x14ac:dyDescent="0.3">
      <c r="A389" t="s">
        <v>795</v>
      </c>
      <c r="B389" s="2" t="s">
        <v>2</v>
      </c>
      <c r="C389" s="2">
        <v>50</v>
      </c>
      <c r="E389">
        <f t="shared" si="12"/>
        <v>6</v>
      </c>
      <c r="G389" s="11" t="str">
        <f t="shared" si="13"/>
        <v>'ccauid' NVARCHAR2(50)</v>
      </c>
    </row>
    <row r="390" spans="1:7" x14ac:dyDescent="0.3">
      <c r="A390" t="s">
        <v>796</v>
      </c>
      <c r="B390" s="2" t="s">
        <v>2</v>
      </c>
      <c r="C390" s="2">
        <v>50</v>
      </c>
      <c r="E390">
        <f t="shared" si="12"/>
        <v>19</v>
      </c>
      <c r="G390" s="11" t="str">
        <f t="shared" si="13"/>
        <v>'ccaureportingperiod' NVARCHAR2(50)</v>
      </c>
    </row>
    <row r="391" spans="1:7" x14ac:dyDescent="0.3">
      <c r="A391" t="s">
        <v>797</v>
      </c>
      <c r="B391" s="2" t="s">
        <v>2</v>
      </c>
      <c r="C391" s="2">
        <v>50</v>
      </c>
      <c r="E391">
        <f t="shared" si="12"/>
        <v>19</v>
      </c>
      <c r="G391" s="11" t="str">
        <f t="shared" si="13"/>
        <v>'ccauserveruserlimit' NVARCHAR2(50)</v>
      </c>
    </row>
    <row r="392" spans="1:7" x14ac:dyDescent="0.3">
      <c r="A392" t="s">
        <v>798</v>
      </c>
      <c r="B392" s="2" t="s">
        <v>2</v>
      </c>
      <c r="C392" s="2">
        <v>50</v>
      </c>
      <c r="E392">
        <f t="shared" si="12"/>
        <v>14</v>
      </c>
      <c r="G392" s="11" t="str">
        <f t="shared" si="13"/>
        <v>'ccauuoiaddress' NVARCHAR2(50)</v>
      </c>
    </row>
    <row r="393" spans="1:7" x14ac:dyDescent="0.3">
      <c r="A393" t="s">
        <v>799</v>
      </c>
      <c r="B393" s="2" t="s">
        <v>2</v>
      </c>
      <c r="C393" s="2">
        <v>50</v>
      </c>
      <c r="E393">
        <f t="shared" si="12"/>
        <v>11</v>
      </c>
      <c r="G393" s="11" t="str">
        <f t="shared" si="13"/>
        <v>'ccauuoiport' NVARCHAR2(50)</v>
      </c>
    </row>
    <row r="394" spans="1:7" x14ac:dyDescent="0.3">
      <c r="A394" t="s">
        <v>800</v>
      </c>
      <c r="B394" s="2" t="s">
        <v>2</v>
      </c>
      <c r="C394" s="2">
        <v>50</v>
      </c>
      <c r="E394">
        <f t="shared" si="12"/>
        <v>19</v>
      </c>
      <c r="G394" s="11" t="str">
        <f t="shared" si="13"/>
        <v>'ccauuoiretrytimeout' NVARCHAR2(50)</v>
      </c>
    </row>
    <row r="395" spans="1:7" x14ac:dyDescent="0.3">
      <c r="A395" t="s">
        <v>801</v>
      </c>
      <c r="B395" s="2" t="s">
        <v>2</v>
      </c>
      <c r="C395" s="2">
        <v>50</v>
      </c>
      <c r="E395">
        <f t="shared" si="12"/>
        <v>14</v>
      </c>
      <c r="G395" s="11" t="str">
        <f t="shared" si="13"/>
        <v>'ccauuoitlsport' NVARCHAR2(50)</v>
      </c>
    </row>
    <row r="396" spans="1:7" x14ac:dyDescent="0.3">
      <c r="A396" t="s">
        <v>802</v>
      </c>
      <c r="B396" s="2" t="s">
        <v>2</v>
      </c>
      <c r="C396" s="2">
        <v>50</v>
      </c>
      <c r="E396">
        <f t="shared" si="12"/>
        <v>4</v>
      </c>
      <c r="G396" s="11" t="str">
        <f t="shared" si="13"/>
        <v>'cdvt' NVARCHAR2(50)</v>
      </c>
    </row>
    <row r="397" spans="1:7" x14ac:dyDescent="0.3">
      <c r="A397" t="s">
        <v>803</v>
      </c>
      <c r="B397" s="2" t="s">
        <v>2</v>
      </c>
      <c r="C397" s="2">
        <v>50</v>
      </c>
      <c r="E397">
        <f t="shared" si="12"/>
        <v>10</v>
      </c>
      <c r="G397" s="11" t="str">
        <f t="shared" si="13"/>
        <v>'classnames' NVARCHAR2(50)</v>
      </c>
    </row>
    <row r="398" spans="1:7" x14ac:dyDescent="0.3">
      <c r="A398" t="s">
        <v>805</v>
      </c>
      <c r="B398" s="2" t="s">
        <v>2</v>
      </c>
      <c r="C398" s="2">
        <v>50</v>
      </c>
      <c r="E398">
        <f t="shared" si="12"/>
        <v>23</v>
      </c>
      <c r="G398" s="11" t="str">
        <f t="shared" si="13"/>
        <v>'cscfispoperationalstate' NVARCHAR2(50)</v>
      </c>
    </row>
    <row r="399" spans="1:7" x14ac:dyDescent="0.3">
      <c r="A399" t="s">
        <v>806</v>
      </c>
      <c r="B399" s="2" t="s">
        <v>2</v>
      </c>
      <c r="C399" s="2">
        <v>50</v>
      </c>
      <c r="E399">
        <f t="shared" si="12"/>
        <v>15</v>
      </c>
      <c r="G399" s="11" t="str">
        <f t="shared" si="13"/>
        <v>'cscftimerdvalue' NVARCHAR2(50)</v>
      </c>
    </row>
    <row r="400" spans="1:7" x14ac:dyDescent="0.3">
      <c r="A400" t="s">
        <v>807</v>
      </c>
      <c r="B400" s="2" t="s">
        <v>2</v>
      </c>
      <c r="C400" s="2">
        <v>50</v>
      </c>
      <c r="E400">
        <f t="shared" si="12"/>
        <v>29</v>
      </c>
      <c r="G400" s="11" t="str">
        <f t="shared" si="13"/>
        <v>'cscfunallocatedroutingenabled' NVARCHAR2(50)</v>
      </c>
    </row>
    <row r="401" spans="1:7" x14ac:dyDescent="0.3">
      <c r="A401" t="s">
        <v>808</v>
      </c>
      <c r="B401" s="2" t="s">
        <v>2</v>
      </c>
      <c r="C401" s="2">
        <v>50</v>
      </c>
      <c r="E401">
        <f t="shared" si="12"/>
        <v>19</v>
      </c>
      <c r="G401" s="11" t="str">
        <f t="shared" si="13"/>
        <v>'csddigitalserviceid' NVARCHAR2(50)</v>
      </c>
    </row>
    <row r="402" spans="1:7" x14ac:dyDescent="0.3">
      <c r="A402" t="s">
        <v>809</v>
      </c>
      <c r="B402" s="2" t="s">
        <v>2</v>
      </c>
      <c r="C402" s="2">
        <v>50</v>
      </c>
      <c r="E402">
        <f t="shared" si="12"/>
        <v>18</v>
      </c>
      <c r="G402" s="11" t="str">
        <f t="shared" si="13"/>
        <v>'csdgsmfaxserviceid' NVARCHAR2(50)</v>
      </c>
    </row>
    <row r="403" spans="1:7" x14ac:dyDescent="0.3">
      <c r="A403" t="s">
        <v>810</v>
      </c>
      <c r="B403" s="2" t="s">
        <v>2</v>
      </c>
      <c r="C403" s="2">
        <v>50</v>
      </c>
      <c r="E403">
        <f t="shared" si="12"/>
        <v>5</v>
      </c>
      <c r="G403" s="11" t="str">
        <f t="shared" si="13"/>
        <v>'dasid' NVARCHAR2(50)</v>
      </c>
    </row>
    <row r="404" spans="1:7" x14ac:dyDescent="0.3">
      <c r="A404" t="s">
        <v>811</v>
      </c>
      <c r="B404" s="2" t="s">
        <v>2</v>
      </c>
      <c r="C404" s="2">
        <v>50</v>
      </c>
      <c r="E404">
        <f t="shared" si="12"/>
        <v>15</v>
      </c>
      <c r="G404" s="11" t="str">
        <f t="shared" si="13"/>
        <v>'datadirectories' NVARCHAR2(50)</v>
      </c>
    </row>
    <row r="405" spans="1:7" x14ac:dyDescent="0.3">
      <c r="A405" t="s">
        <v>812</v>
      </c>
      <c r="B405" s="2" t="s">
        <v>2</v>
      </c>
      <c r="C405" s="2">
        <v>50</v>
      </c>
      <c r="E405">
        <f t="shared" si="12"/>
        <v>11</v>
      </c>
      <c r="G405" s="11" t="str">
        <f t="shared" si="13"/>
        <v>'degcausemsp' NVARCHAR2(50)</v>
      </c>
    </row>
    <row r="406" spans="1:7" x14ac:dyDescent="0.3">
      <c r="A406" t="s">
        <v>813</v>
      </c>
      <c r="B406" s="2" t="s">
        <v>2</v>
      </c>
      <c r="C406" s="2">
        <v>50</v>
      </c>
      <c r="E406">
        <f t="shared" si="12"/>
        <v>25</v>
      </c>
      <c r="G406" s="11" t="str">
        <f t="shared" si="13"/>
        <v>'delayaftericmpdestunreach' NVARCHAR2(50)</v>
      </c>
    </row>
    <row r="407" spans="1:7" x14ac:dyDescent="0.3">
      <c r="A407" t="s">
        <v>814</v>
      </c>
      <c r="B407" s="2" t="s">
        <v>2</v>
      </c>
      <c r="C407" s="2">
        <v>50</v>
      </c>
      <c r="E407">
        <f t="shared" si="12"/>
        <v>17</v>
      </c>
      <c r="G407" s="11" t="str">
        <f t="shared" si="13"/>
        <v>'delayafterrtcpbye' NVARCHAR2(50)</v>
      </c>
    </row>
    <row r="408" spans="1:7" x14ac:dyDescent="0.3">
      <c r="A408" t="s">
        <v>815</v>
      </c>
      <c r="B408" s="2" t="s">
        <v>2</v>
      </c>
      <c r="C408" s="2">
        <v>50</v>
      </c>
      <c r="E408">
        <f t="shared" si="12"/>
        <v>10</v>
      </c>
      <c r="G408" s="11" t="str">
        <f t="shared" si="13"/>
        <v>'devicename' NVARCHAR2(50)</v>
      </c>
    </row>
    <row r="409" spans="1:7" x14ac:dyDescent="0.3">
      <c r="A409" t="s">
        <v>816</v>
      </c>
      <c r="B409" s="2" t="s">
        <v>2</v>
      </c>
      <c r="C409" s="2">
        <v>50</v>
      </c>
      <c r="E409">
        <f t="shared" si="12"/>
        <v>13</v>
      </c>
      <c r="G409" s="11" t="str">
        <f t="shared" si="13"/>
        <v>'dnsclient1ref' NVARCHAR2(50)</v>
      </c>
    </row>
    <row r="410" spans="1:7" x14ac:dyDescent="0.3">
      <c r="A410" t="s">
        <v>817</v>
      </c>
      <c r="B410" s="2" t="s">
        <v>2</v>
      </c>
      <c r="C410" s="2">
        <v>50</v>
      </c>
      <c r="E410">
        <f t="shared" si="12"/>
        <v>13</v>
      </c>
      <c r="G410" s="11" t="str">
        <f t="shared" si="13"/>
        <v>'dnsclient2ref' NVARCHAR2(50)</v>
      </c>
    </row>
    <row r="411" spans="1:7" x14ac:dyDescent="0.3">
      <c r="A411" t="s">
        <v>398</v>
      </c>
      <c r="B411" s="2" t="s">
        <v>2</v>
      </c>
      <c r="C411" s="2">
        <v>400</v>
      </c>
      <c r="E411">
        <f t="shared" si="12"/>
        <v>11</v>
      </c>
      <c r="G411" s="11" t="str">
        <f t="shared" si="13"/>
        <v>'ds0bundleid' NVARCHAR2(400)</v>
      </c>
    </row>
    <row r="412" spans="1:7" x14ac:dyDescent="0.3">
      <c r="A412" t="s">
        <v>399</v>
      </c>
      <c r="B412" s="2" t="s">
        <v>2</v>
      </c>
      <c r="C412" s="2">
        <v>400</v>
      </c>
      <c r="E412">
        <f t="shared" si="12"/>
        <v>14</v>
      </c>
      <c r="G412" s="11" t="str">
        <f t="shared" si="13"/>
        <v>'ds0bundlemoref' NVARCHAR2(400)</v>
      </c>
    </row>
    <row r="413" spans="1:7" x14ac:dyDescent="0.3">
      <c r="A413" t="s">
        <v>818</v>
      </c>
      <c r="B413" s="2" t="s">
        <v>2</v>
      </c>
      <c r="C413" s="2">
        <v>50</v>
      </c>
      <c r="E413">
        <f t="shared" si="12"/>
        <v>19</v>
      </c>
      <c r="G413" s="11" t="str">
        <f t="shared" si="13"/>
        <v>'dtmfsenderserviceid' NVARCHAR2(50)</v>
      </c>
    </row>
    <row r="414" spans="1:7" x14ac:dyDescent="0.3">
      <c r="A414" t="s">
        <v>819</v>
      </c>
      <c r="B414" s="2" t="s">
        <v>2</v>
      </c>
      <c r="C414" s="2">
        <v>50</v>
      </c>
      <c r="E414">
        <f t="shared" si="12"/>
        <v>10</v>
      </c>
      <c r="G414" s="11" t="str">
        <f t="shared" si="13"/>
        <v>'dtxsupport' NVARCHAR2(50)</v>
      </c>
    </row>
    <row r="415" spans="1:7" x14ac:dyDescent="0.3">
      <c r="A415" t="s">
        <v>820</v>
      </c>
      <c r="B415" s="2" t="s">
        <v>2</v>
      </c>
      <c r="C415" s="2">
        <v>50</v>
      </c>
      <c r="E415">
        <f t="shared" si="12"/>
        <v>8</v>
      </c>
      <c r="G415" s="11" t="str">
        <f t="shared" si="13"/>
        <v>'duration' NVARCHAR2(50)</v>
      </c>
    </row>
    <row r="416" spans="1:7" x14ac:dyDescent="0.3">
      <c r="A416" t="s">
        <v>821</v>
      </c>
      <c r="B416" s="2" t="s">
        <v>2</v>
      </c>
      <c r="C416" s="2">
        <v>50</v>
      </c>
      <c r="E416">
        <f t="shared" si="12"/>
        <v>11</v>
      </c>
      <c r="G416" s="11" t="str">
        <f t="shared" si="13"/>
        <v>'ecserviceid' NVARCHAR2(50)</v>
      </c>
    </row>
    <row r="417" spans="1:7" x14ac:dyDescent="0.3">
      <c r="A417" t="s">
        <v>822</v>
      </c>
      <c r="B417" s="2" t="s">
        <v>2</v>
      </c>
      <c r="C417" s="2">
        <v>50</v>
      </c>
      <c r="E417">
        <f t="shared" si="12"/>
        <v>21</v>
      </c>
      <c r="G417" s="11" t="str">
        <f t="shared" si="13"/>
        <v>'emergencycallpriority' NVARCHAR2(50)</v>
      </c>
    </row>
    <row r="418" spans="1:7" x14ac:dyDescent="0.3">
      <c r="A418" t="s">
        <v>823</v>
      </c>
      <c r="B418" s="2" t="s">
        <v>2</v>
      </c>
      <c r="C418" s="2">
        <v>50</v>
      </c>
      <c r="E418">
        <f t="shared" si="12"/>
        <v>23</v>
      </c>
      <c r="G418" s="11" t="str">
        <f t="shared" si="13"/>
        <v>'emergencycapacitymargin' NVARCHAR2(50)</v>
      </c>
    </row>
    <row r="419" spans="1:7" x14ac:dyDescent="0.3">
      <c r="A419" t="s">
        <v>824</v>
      </c>
      <c r="B419" s="2" t="s">
        <v>2</v>
      </c>
      <c r="C419" s="2">
        <v>50</v>
      </c>
      <c r="E419">
        <f t="shared" si="12"/>
        <v>12</v>
      </c>
      <c r="G419" s="11" t="str">
        <f t="shared" si="13"/>
        <v>'endpathdelay' NVARCHAR2(50)</v>
      </c>
    </row>
    <row r="420" spans="1:7" x14ac:dyDescent="0.3">
      <c r="A420" t="s">
        <v>825</v>
      </c>
      <c r="B420" s="2" t="s">
        <v>2</v>
      </c>
      <c r="C420" s="2">
        <v>50</v>
      </c>
      <c r="E420">
        <f t="shared" si="12"/>
        <v>12</v>
      </c>
      <c r="G420" s="11" t="str">
        <f t="shared" si="13"/>
        <v>'entitydataid' NVARCHAR2(50)</v>
      </c>
    </row>
    <row r="421" spans="1:7" x14ac:dyDescent="0.3">
      <c r="A421" t="s">
        <v>826</v>
      </c>
      <c r="B421" s="2" t="s">
        <v>2</v>
      </c>
      <c r="C421" s="2">
        <v>50</v>
      </c>
      <c r="E421">
        <f t="shared" si="12"/>
        <v>26</v>
      </c>
      <c r="G421" s="11" t="str">
        <f t="shared" si="13"/>
        <v>'featurestateipmultiplexing' NVARCHAR2(50)</v>
      </c>
    </row>
    <row r="422" spans="1:7" x14ac:dyDescent="0.3">
      <c r="A422" t="s">
        <v>827</v>
      </c>
      <c r="B422" s="2" t="s">
        <v>2</v>
      </c>
      <c r="C422" s="2">
        <v>50</v>
      </c>
      <c r="E422">
        <f t="shared" si="12"/>
        <v>24</v>
      </c>
      <c r="G422" s="11" t="str">
        <f t="shared" si="13"/>
        <v>'featurestateipmuxextsipi' NVARCHAR2(50)</v>
      </c>
    </row>
    <row r="423" spans="1:7" x14ac:dyDescent="0.3">
      <c r="A423" t="s">
        <v>828</v>
      </c>
      <c r="B423" s="2" t="s">
        <v>2</v>
      </c>
      <c r="C423" s="2">
        <v>50</v>
      </c>
      <c r="E423">
        <f t="shared" si="12"/>
        <v>8</v>
      </c>
      <c r="G423" s="11" t="str">
        <f t="shared" si="13"/>
        <v>'filename' NVARCHAR2(50)</v>
      </c>
    </row>
    <row r="424" spans="1:7" x14ac:dyDescent="0.3">
      <c r="A424" t="s">
        <v>829</v>
      </c>
      <c r="B424" s="2" t="s">
        <v>2</v>
      </c>
      <c r="C424" s="2">
        <v>50</v>
      </c>
      <c r="E424">
        <f t="shared" si="12"/>
        <v>8</v>
      </c>
      <c r="G424" s="11" t="str">
        <f t="shared" si="13"/>
        <v>'filepath' NVARCHAR2(50)</v>
      </c>
    </row>
    <row r="425" spans="1:7" x14ac:dyDescent="0.3">
      <c r="A425" t="s">
        <v>830</v>
      </c>
      <c r="B425" s="2" t="s">
        <v>2</v>
      </c>
      <c r="C425" s="2">
        <v>50</v>
      </c>
      <c r="E425">
        <f t="shared" si="12"/>
        <v>16</v>
      </c>
      <c r="G425" s="11" t="str">
        <f t="shared" si="13"/>
        <v>'firmwarerevision' NVARCHAR2(50)</v>
      </c>
    </row>
    <row r="426" spans="1:7" x14ac:dyDescent="0.3">
      <c r="A426" t="s">
        <v>831</v>
      </c>
      <c r="B426" s="2" t="s">
        <v>2</v>
      </c>
      <c r="C426" s="2">
        <v>50</v>
      </c>
      <c r="E426">
        <f t="shared" si="12"/>
        <v>18</v>
      </c>
      <c r="G426" s="11" t="str">
        <f t="shared" si="13"/>
        <v>'flexiblediameterid' NVARCHAR2(50)</v>
      </c>
    </row>
    <row r="427" spans="1:7" x14ac:dyDescent="0.3">
      <c r="A427" t="s">
        <v>832</v>
      </c>
      <c r="B427" s="2" t="s">
        <v>2</v>
      </c>
      <c r="C427" s="2">
        <v>50</v>
      </c>
      <c r="E427">
        <f t="shared" si="12"/>
        <v>28</v>
      </c>
      <c r="G427" s="11" t="str">
        <f t="shared" si="13"/>
        <v>'g711packetlossconcealmentext' NVARCHAR2(50)</v>
      </c>
    </row>
    <row r="428" spans="1:7" x14ac:dyDescent="0.3">
      <c r="A428" t="s">
        <v>833</v>
      </c>
      <c r="B428" s="2" t="s">
        <v>2</v>
      </c>
      <c r="C428" s="2">
        <v>50</v>
      </c>
      <c r="E428">
        <f t="shared" si="12"/>
        <v>27</v>
      </c>
      <c r="G428" s="11" t="str">
        <f t="shared" si="13"/>
        <v>'g711packetlossconcealmentmb' NVARCHAR2(50)</v>
      </c>
    </row>
    <row r="429" spans="1:7" x14ac:dyDescent="0.3">
      <c r="A429" t="s">
        <v>834</v>
      </c>
      <c r="B429" s="2" t="s">
        <v>2</v>
      </c>
      <c r="C429" s="2">
        <v>50</v>
      </c>
      <c r="E429">
        <f t="shared" si="12"/>
        <v>27</v>
      </c>
      <c r="G429" s="11" t="str">
        <f t="shared" si="13"/>
        <v>'g711packetlossconcealmentnb' NVARCHAR2(50)</v>
      </c>
    </row>
    <row r="430" spans="1:7" x14ac:dyDescent="0.3">
      <c r="A430" t="s">
        <v>835</v>
      </c>
      <c r="B430" s="2" t="s">
        <v>2</v>
      </c>
      <c r="C430" s="2">
        <v>50</v>
      </c>
      <c r="E430">
        <f t="shared" si="12"/>
        <v>29</v>
      </c>
      <c r="G430" s="11" t="str">
        <f t="shared" si="13"/>
        <v>'g711packetlossconcealmentunid' NVARCHAR2(50)</v>
      </c>
    </row>
    <row r="431" spans="1:7" x14ac:dyDescent="0.3">
      <c r="A431" t="s">
        <v>836</v>
      </c>
      <c r="B431" s="2" t="s">
        <v>2</v>
      </c>
      <c r="C431" s="2">
        <v>50</v>
      </c>
      <c r="E431">
        <f t="shared" si="12"/>
        <v>13</v>
      </c>
      <c r="G431" s="11" t="str">
        <f t="shared" si="13"/>
        <v>'g719serviceid' NVARCHAR2(50)</v>
      </c>
    </row>
    <row r="432" spans="1:7" x14ac:dyDescent="0.3">
      <c r="A432" t="s">
        <v>837</v>
      </c>
      <c r="B432" s="2" t="s">
        <v>2</v>
      </c>
      <c r="C432" s="2">
        <v>50</v>
      </c>
      <c r="E432">
        <f t="shared" si="12"/>
        <v>13</v>
      </c>
      <c r="G432" s="11" t="str">
        <f t="shared" si="13"/>
        <v>'g729serviceid' NVARCHAR2(50)</v>
      </c>
    </row>
    <row r="433" spans="1:7" x14ac:dyDescent="0.3">
      <c r="A433" t="s">
        <v>838</v>
      </c>
      <c r="B433" s="2" t="s">
        <v>2</v>
      </c>
      <c r="C433" s="2">
        <v>50</v>
      </c>
      <c r="E433">
        <f t="shared" si="12"/>
        <v>19</v>
      </c>
      <c r="G433" s="11" t="str">
        <f t="shared" si="13"/>
        <v>'gcpassociationmoref' NVARCHAR2(50)</v>
      </c>
    </row>
    <row r="434" spans="1:7" x14ac:dyDescent="0.3">
      <c r="A434" t="s">
        <v>839</v>
      </c>
      <c r="B434" s="2" t="s">
        <v>2</v>
      </c>
      <c r="C434" s="2">
        <v>50</v>
      </c>
      <c r="E434">
        <f t="shared" si="12"/>
        <v>10</v>
      </c>
      <c r="G434" s="11" t="str">
        <f t="shared" si="13"/>
        <v>'gcpprofile' NVARCHAR2(50)</v>
      </c>
    </row>
    <row r="435" spans="1:7" x14ac:dyDescent="0.3">
      <c r="A435" t="s">
        <v>405</v>
      </c>
      <c r="B435" s="2" t="s">
        <v>2</v>
      </c>
      <c r="C435" s="2">
        <v>400</v>
      </c>
      <c r="E435">
        <f t="shared" si="12"/>
        <v>22</v>
      </c>
      <c r="G435" s="11" t="str">
        <f t="shared" si="13"/>
        <v>'generalprocessorunitid' NVARCHAR2(400)</v>
      </c>
    </row>
    <row r="436" spans="1:7" x14ac:dyDescent="0.3">
      <c r="A436" t="s">
        <v>840</v>
      </c>
      <c r="B436" s="2" t="s">
        <v>2</v>
      </c>
      <c r="C436" s="2">
        <v>50</v>
      </c>
      <c r="E436">
        <f t="shared" si="12"/>
        <v>14</v>
      </c>
      <c r="G436" s="11" t="str">
        <f t="shared" si="13"/>
        <v>'gsmfrserviceid' NVARCHAR2(50)</v>
      </c>
    </row>
    <row r="437" spans="1:7" x14ac:dyDescent="0.3">
      <c r="A437" t="s">
        <v>841</v>
      </c>
      <c r="B437" s="2" t="s">
        <v>2</v>
      </c>
      <c r="C437" s="2">
        <v>50</v>
      </c>
      <c r="E437">
        <f t="shared" si="12"/>
        <v>14</v>
      </c>
      <c r="G437" s="11" t="str">
        <f t="shared" si="13"/>
        <v>'gsmhrserviceid' NVARCHAR2(50)</v>
      </c>
    </row>
    <row r="438" spans="1:7" x14ac:dyDescent="0.3">
      <c r="A438" t="s">
        <v>842</v>
      </c>
      <c r="B438" s="2" t="s">
        <v>2</v>
      </c>
      <c r="C438" s="2">
        <v>50</v>
      </c>
      <c r="E438">
        <f t="shared" si="12"/>
        <v>12</v>
      </c>
      <c r="G438" s="11" t="str">
        <f t="shared" si="13"/>
        <v>'gttserviceid' NVARCHAR2(50)</v>
      </c>
    </row>
    <row r="439" spans="1:7" x14ac:dyDescent="0.3">
      <c r="A439" t="s">
        <v>843</v>
      </c>
      <c r="B439" s="2" t="s">
        <v>2</v>
      </c>
      <c r="C439" s="2">
        <v>50</v>
      </c>
      <c r="E439">
        <f t="shared" si="12"/>
        <v>12</v>
      </c>
      <c r="G439" s="11" t="str">
        <f t="shared" si="13"/>
        <v>'handoffmgcid' NVARCHAR2(50)</v>
      </c>
    </row>
    <row r="440" spans="1:7" x14ac:dyDescent="0.3">
      <c r="A440" t="s">
        <v>844</v>
      </c>
      <c r="B440" s="2" t="s">
        <v>2</v>
      </c>
      <c r="C440" s="2">
        <v>50</v>
      </c>
      <c r="E440">
        <f t="shared" si="12"/>
        <v>10</v>
      </c>
      <c r="G440" s="11" t="str">
        <f t="shared" si="13"/>
        <v>'hdfilename' NVARCHAR2(50)</v>
      </c>
    </row>
    <row r="441" spans="1:7" x14ac:dyDescent="0.3">
      <c r="A441" t="s">
        <v>845</v>
      </c>
      <c r="B441" s="2" t="s">
        <v>2</v>
      </c>
      <c r="C441" s="2">
        <v>50</v>
      </c>
      <c r="E441">
        <f t="shared" si="12"/>
        <v>10</v>
      </c>
      <c r="G441" s="11" t="str">
        <f t="shared" si="13"/>
        <v>'hdfilepath' NVARCHAR2(50)</v>
      </c>
    </row>
    <row r="442" spans="1:7" x14ac:dyDescent="0.3">
      <c r="A442" t="s">
        <v>846</v>
      </c>
      <c r="B442" s="2" t="s">
        <v>2</v>
      </c>
      <c r="C442" s="2">
        <v>50</v>
      </c>
      <c r="E442">
        <f t="shared" si="12"/>
        <v>14</v>
      </c>
      <c r="G442" s="11" t="str">
        <f t="shared" si="13"/>
        <v>'healthcheckmid' NVARCHAR2(50)</v>
      </c>
    </row>
    <row r="443" spans="1:7" x14ac:dyDescent="0.3">
      <c r="A443" t="s">
        <v>847</v>
      </c>
      <c r="B443" s="2" t="s">
        <v>2</v>
      </c>
      <c r="C443" s="2">
        <v>50</v>
      </c>
      <c r="E443">
        <f t="shared" si="12"/>
        <v>13</v>
      </c>
      <c r="G443" s="11" t="str">
        <f t="shared" si="13"/>
        <v>'highfreqlevel' NVARCHAR2(50)</v>
      </c>
    </row>
    <row r="444" spans="1:7" x14ac:dyDescent="0.3">
      <c r="A444" t="s">
        <v>1288</v>
      </c>
      <c r="B444" s="2" t="s">
        <v>2</v>
      </c>
      <c r="C444" s="2">
        <v>50</v>
      </c>
      <c r="D444" t="s">
        <v>848</v>
      </c>
      <c r="E444">
        <f t="shared" si="12"/>
        <v>23</v>
      </c>
      <c r="G444" s="11" t="str">
        <f t="shared" si="13"/>
        <v>'hss_administrativestate' NVARCHAR2(50)</v>
      </c>
    </row>
    <row r="445" spans="1:7" x14ac:dyDescent="0.3">
      <c r="A445" t="s">
        <v>1289</v>
      </c>
      <c r="B445" s="2" t="s">
        <v>2</v>
      </c>
      <c r="C445" s="2">
        <v>50</v>
      </c>
      <c r="D445" t="s">
        <v>849</v>
      </c>
      <c r="E445">
        <f t="shared" si="12"/>
        <v>29</v>
      </c>
      <c r="G445" s="11" t="str">
        <f t="shared" si="13"/>
        <v>'hss_commonfeaturenodeidentity' NVARCHAR2(50)</v>
      </c>
    </row>
    <row r="446" spans="1:7" x14ac:dyDescent="0.3">
      <c r="A446" t="s">
        <v>1290</v>
      </c>
      <c r="B446" s="2" t="s">
        <v>2</v>
      </c>
      <c r="C446" s="2">
        <v>50</v>
      </c>
      <c r="D446" t="s">
        <v>850</v>
      </c>
      <c r="E446">
        <f t="shared" si="12"/>
        <v>22</v>
      </c>
      <c r="G446" s="11" t="str">
        <f t="shared" si="13"/>
        <v>'hss_erewildcardsupport' NVARCHAR2(50)</v>
      </c>
    </row>
    <row r="447" spans="1:7" x14ac:dyDescent="0.3">
      <c r="A447" t="s">
        <v>1286</v>
      </c>
      <c r="B447" s="2" t="s">
        <v>2</v>
      </c>
      <c r="C447" s="2">
        <v>50</v>
      </c>
      <c r="D447" t="s">
        <v>851</v>
      </c>
      <c r="E447">
        <f t="shared" si="12"/>
        <v>19</v>
      </c>
      <c r="G447" s="11" t="str">
        <f t="shared" si="13"/>
        <v>'hss_esmnodeidentity' NVARCHAR2(50)</v>
      </c>
    </row>
    <row r="448" spans="1:7" x14ac:dyDescent="0.3">
      <c r="A448" t="s">
        <v>1287</v>
      </c>
      <c r="B448" s="2" t="s">
        <v>2</v>
      </c>
      <c r="C448" s="2">
        <v>50</v>
      </c>
      <c r="D448" t="s">
        <v>852</v>
      </c>
      <c r="E448">
        <f t="shared" ref="E448:E510" si="14">LEN(A448)</f>
        <v>24</v>
      </c>
      <c r="G448" s="11" t="str">
        <f t="shared" si="13"/>
        <v>'hss_extdbconfiglogactive' NVARCHAR2(50)</v>
      </c>
    </row>
    <row r="449" spans="1:7" x14ac:dyDescent="0.3">
      <c r="A449" t="s">
        <v>1291</v>
      </c>
      <c r="B449" s="2" t="s">
        <v>2</v>
      </c>
      <c r="C449" s="2">
        <v>100</v>
      </c>
      <c r="D449" t="s">
        <v>853</v>
      </c>
      <c r="E449">
        <f t="shared" si="14"/>
        <v>25</v>
      </c>
      <c r="G449" s="11" t="str">
        <f t="shared" ref="G449:G511" si="15">_xlfn.CONCAT("'",A449,"'"," NVARCHAR2","(",C449,")","")</f>
        <v>'hss_extdbconfigrootdnlist' NVARCHAR2(100)</v>
      </c>
    </row>
    <row r="450" spans="1:7" x14ac:dyDescent="0.3">
      <c r="A450" t="s">
        <v>1292</v>
      </c>
      <c r="B450" s="2" t="s">
        <v>2</v>
      </c>
      <c r="C450" s="2">
        <v>200</v>
      </c>
      <c r="D450" t="s">
        <v>422</v>
      </c>
      <c r="E450">
        <f t="shared" si="14"/>
        <v>22</v>
      </c>
      <c r="G450" s="11" t="str">
        <f t="shared" si="15"/>
        <v>'hss_extdbconfigurllist' NVARCHAR2(200)</v>
      </c>
    </row>
    <row r="451" spans="1:7" x14ac:dyDescent="0.3">
      <c r="A451" t="s">
        <v>1293</v>
      </c>
      <c r="B451" s="2" t="s">
        <v>2</v>
      </c>
      <c r="C451" s="2">
        <v>50</v>
      </c>
      <c r="D451" t="s">
        <v>854</v>
      </c>
      <c r="E451">
        <f t="shared" si="14"/>
        <v>29</v>
      </c>
      <c r="G451" s="11" t="str">
        <f t="shared" si="15"/>
        <v>'hss_extdbmaxconcurrentclients' NVARCHAR2(50)</v>
      </c>
    </row>
    <row r="452" spans="1:7" x14ac:dyDescent="0.3">
      <c r="A452" t="s">
        <v>1294</v>
      </c>
      <c r="B452" s="2" t="s">
        <v>2</v>
      </c>
      <c r="C452" s="2">
        <v>50</v>
      </c>
      <c r="D452" t="s">
        <v>855</v>
      </c>
      <c r="E452">
        <f t="shared" si="14"/>
        <v>24</v>
      </c>
      <c r="G452" s="11" t="str">
        <f t="shared" si="15"/>
        <v>'hss_extdburlpasswordlist' NVARCHAR2(50)</v>
      </c>
    </row>
    <row r="453" spans="1:7" x14ac:dyDescent="0.3">
      <c r="A453" t="s">
        <v>1295</v>
      </c>
      <c r="B453" s="2" t="s">
        <v>2</v>
      </c>
      <c r="C453" s="2">
        <v>50</v>
      </c>
      <c r="D453" t="s">
        <v>856</v>
      </c>
      <c r="E453">
        <f t="shared" si="14"/>
        <v>19</v>
      </c>
      <c r="G453" s="11" t="str">
        <f t="shared" si="15"/>
        <v>'hss_isdatacacheused' NVARCHAR2(50)</v>
      </c>
    </row>
    <row r="454" spans="1:7" x14ac:dyDescent="0.3">
      <c r="A454" t="s">
        <v>1296</v>
      </c>
      <c r="B454" s="2" t="s">
        <v>2</v>
      </c>
      <c r="C454" s="2">
        <v>50</v>
      </c>
      <c r="D454" t="s">
        <v>857</v>
      </c>
      <c r="E454">
        <f t="shared" si="14"/>
        <v>16</v>
      </c>
      <c r="G454" s="11" t="str">
        <f t="shared" si="15"/>
        <v>'hss_nodeidentity' NVARCHAR2(50)</v>
      </c>
    </row>
    <row r="455" spans="1:7" x14ac:dyDescent="0.3">
      <c r="A455" t="s">
        <v>1297</v>
      </c>
      <c r="B455" s="2" t="s">
        <v>2</v>
      </c>
      <c r="C455" s="2">
        <v>50</v>
      </c>
      <c r="D455" t="s">
        <v>858</v>
      </c>
      <c r="E455">
        <f t="shared" si="14"/>
        <v>18</v>
      </c>
      <c r="G455" s="11" t="str">
        <f t="shared" si="15"/>
        <v>'hss_smnodeidentity' NVARCHAR2(50)</v>
      </c>
    </row>
    <row r="456" spans="1:7" x14ac:dyDescent="0.3">
      <c r="A456" t="s">
        <v>859</v>
      </c>
      <c r="B456" s="2" t="s">
        <v>2</v>
      </c>
      <c r="C456" s="2">
        <v>50</v>
      </c>
      <c r="E456">
        <f t="shared" si="14"/>
        <v>25</v>
      </c>
      <c r="G456" s="11" t="str">
        <f t="shared" si="15"/>
        <v>'ignoreicmpdestunreachable' NVARCHAR2(50)</v>
      </c>
    </row>
    <row r="457" spans="1:7" x14ac:dyDescent="0.3">
      <c r="A457" t="s">
        <v>860</v>
      </c>
      <c r="B457" s="2" t="s">
        <v>2</v>
      </c>
      <c r="C457" s="2">
        <v>50</v>
      </c>
      <c r="E457">
        <f t="shared" si="14"/>
        <v>13</v>
      </c>
      <c r="G457" s="11" t="str">
        <f t="shared" si="15"/>
        <v>'ignorertcpbye' NVARCHAR2(50)</v>
      </c>
    </row>
    <row r="458" spans="1:7" x14ac:dyDescent="0.3">
      <c r="A458" t="s">
        <v>861</v>
      </c>
      <c r="B458" s="2" t="s">
        <v>2</v>
      </c>
      <c r="C458" s="2">
        <v>50</v>
      </c>
      <c r="E458">
        <f t="shared" si="14"/>
        <v>16</v>
      </c>
      <c r="G458" s="11" t="str">
        <f t="shared" si="15"/>
        <v>'imbasicmessageid' NVARCHAR2(50)</v>
      </c>
    </row>
    <row r="459" spans="1:7" x14ac:dyDescent="0.3">
      <c r="A459" t="s">
        <v>862</v>
      </c>
      <c r="B459" s="2" t="s">
        <v>2</v>
      </c>
      <c r="C459" s="2">
        <v>50</v>
      </c>
      <c r="E459">
        <f t="shared" si="14"/>
        <v>22</v>
      </c>
      <c r="G459" s="11" t="str">
        <f t="shared" si="15"/>
        <v>'immessagecompositionid' NVARCHAR2(50)</v>
      </c>
    </row>
    <row r="460" spans="1:7" x14ac:dyDescent="0.3">
      <c r="A460" t="s">
        <v>863</v>
      </c>
      <c r="B460" s="2" t="s">
        <v>2</v>
      </c>
      <c r="C460" s="2">
        <v>50</v>
      </c>
      <c r="E460">
        <f t="shared" si="14"/>
        <v>11</v>
      </c>
      <c r="G460" s="11" t="str">
        <f t="shared" si="15"/>
        <v>'imserviceid' NVARCHAR2(50)</v>
      </c>
    </row>
    <row r="461" spans="1:7" x14ac:dyDescent="0.3">
      <c r="A461" t="s">
        <v>415</v>
      </c>
      <c r="B461" s="2" t="s">
        <v>2</v>
      </c>
      <c r="C461" s="2">
        <v>400</v>
      </c>
      <c r="E461">
        <f t="shared" si="14"/>
        <v>10</v>
      </c>
      <c r="G461" s="11" t="str">
        <f t="shared" si="15"/>
        <v>'imstreamer' NVARCHAR2(400)</v>
      </c>
    </row>
    <row r="462" spans="1:7" x14ac:dyDescent="0.3">
      <c r="A462" t="s">
        <v>402</v>
      </c>
      <c r="B462" s="2" t="s">
        <v>2</v>
      </c>
      <c r="C462" s="2">
        <v>400</v>
      </c>
      <c r="E462">
        <f t="shared" si="14"/>
        <v>10</v>
      </c>
      <c r="G462" s="11" t="str">
        <f t="shared" si="15"/>
        <v>'interface1' NVARCHAR2(400)</v>
      </c>
    </row>
    <row r="463" spans="1:7" x14ac:dyDescent="0.3">
      <c r="A463" t="s">
        <v>401</v>
      </c>
      <c r="B463" s="2" t="s">
        <v>2</v>
      </c>
      <c r="C463" s="2">
        <v>400</v>
      </c>
      <c r="E463">
        <f t="shared" si="14"/>
        <v>10</v>
      </c>
      <c r="G463" s="11" t="str">
        <f t="shared" si="15"/>
        <v>'interface2' NVARCHAR2(400)</v>
      </c>
    </row>
    <row r="464" spans="1:7" x14ac:dyDescent="0.3">
      <c r="A464" t="s">
        <v>864</v>
      </c>
      <c r="B464" s="2" t="s">
        <v>2</v>
      </c>
      <c r="C464" s="2">
        <v>50</v>
      </c>
      <c r="E464">
        <f t="shared" si="14"/>
        <v>19</v>
      </c>
      <c r="G464" s="11" t="str">
        <f t="shared" si="15"/>
        <v>'internallinkgroupid' NVARCHAR2(50)</v>
      </c>
    </row>
    <row r="465" spans="1:7" x14ac:dyDescent="0.3">
      <c r="A465" t="s">
        <v>865</v>
      </c>
      <c r="B465" s="2" t="s">
        <v>2</v>
      </c>
      <c r="C465" s="2">
        <v>50</v>
      </c>
      <c r="E465">
        <f t="shared" si="14"/>
        <v>16</v>
      </c>
      <c r="G465" s="11" t="str">
        <f t="shared" si="15"/>
        <v>'ipaccesshostetid' NVARCHAR2(50)</v>
      </c>
    </row>
    <row r="466" spans="1:7" x14ac:dyDescent="0.3">
      <c r="A466" t="s">
        <v>866</v>
      </c>
      <c r="B466" s="2" t="s">
        <v>2</v>
      </c>
      <c r="C466" s="2">
        <v>100</v>
      </c>
      <c r="E466">
        <f t="shared" si="14"/>
        <v>17</v>
      </c>
      <c r="G466" s="11" t="str">
        <f t="shared" si="15"/>
        <v>'ipaccesshostgpbid' NVARCHAR2(100)</v>
      </c>
    </row>
    <row r="467" spans="1:7" x14ac:dyDescent="0.3">
      <c r="A467" t="s">
        <v>867</v>
      </c>
      <c r="B467" s="2" t="s">
        <v>2</v>
      </c>
      <c r="C467" s="2">
        <v>50</v>
      </c>
      <c r="E467">
        <f t="shared" si="14"/>
        <v>20</v>
      </c>
      <c r="G467" s="11" t="str">
        <f t="shared" si="15"/>
        <v>'ipaccesshostgpbmoref' NVARCHAR2(50)</v>
      </c>
    </row>
    <row r="468" spans="1:7" x14ac:dyDescent="0.3">
      <c r="A468" t="s">
        <v>37</v>
      </c>
      <c r="B468" s="2" t="s">
        <v>2</v>
      </c>
      <c r="C468" s="2">
        <v>50</v>
      </c>
      <c r="E468">
        <f t="shared" si="14"/>
        <v>9</v>
      </c>
      <c r="G468" s="11" t="str">
        <f t="shared" si="15"/>
        <v>'ipaddress' NVARCHAR2(50)</v>
      </c>
    </row>
    <row r="469" spans="1:7" x14ac:dyDescent="0.3">
      <c r="A469" t="s">
        <v>868</v>
      </c>
      <c r="B469" s="2" t="s">
        <v>2</v>
      </c>
      <c r="C469" s="2">
        <v>50</v>
      </c>
      <c r="E469">
        <f t="shared" si="14"/>
        <v>10</v>
      </c>
      <c r="G469" s="11" t="str">
        <f t="shared" si="15"/>
        <v>'ipaddress1' NVARCHAR2(50)</v>
      </c>
    </row>
    <row r="470" spans="1:7" x14ac:dyDescent="0.3">
      <c r="A470" t="s">
        <v>869</v>
      </c>
      <c r="B470" s="2" t="s">
        <v>2</v>
      </c>
      <c r="C470" s="2">
        <v>50</v>
      </c>
      <c r="E470">
        <f t="shared" si="14"/>
        <v>10</v>
      </c>
      <c r="G470" s="11" t="str">
        <f t="shared" si="15"/>
        <v>'ipaddress2' NVARCHAR2(50)</v>
      </c>
    </row>
    <row r="471" spans="1:7" x14ac:dyDescent="0.3">
      <c r="A471" t="s">
        <v>870</v>
      </c>
      <c r="B471" s="2" t="s">
        <v>2</v>
      </c>
      <c r="C471" s="2">
        <v>50</v>
      </c>
      <c r="E471">
        <f t="shared" si="14"/>
        <v>12</v>
      </c>
      <c r="G471" s="11" t="str">
        <f t="shared" si="15"/>
        <v>'ipdefaultttl' NVARCHAR2(50)</v>
      </c>
    </row>
    <row r="472" spans="1:7" x14ac:dyDescent="0.3">
      <c r="A472" t="s">
        <v>400</v>
      </c>
      <c r="B472" s="2" t="s">
        <v>2</v>
      </c>
      <c r="C472" s="2">
        <v>400</v>
      </c>
      <c r="E472">
        <f t="shared" si="14"/>
        <v>16</v>
      </c>
      <c r="G472" s="11" t="str">
        <f t="shared" si="15"/>
        <v>'ipinterfacemoref' NVARCHAR2(400)</v>
      </c>
    </row>
    <row r="473" spans="1:7" x14ac:dyDescent="0.3">
      <c r="A473" t="s">
        <v>871</v>
      </c>
      <c r="B473" s="2" t="s">
        <v>2</v>
      </c>
      <c r="C473" s="2">
        <v>50</v>
      </c>
      <c r="E473">
        <f t="shared" si="14"/>
        <v>19</v>
      </c>
      <c r="G473" s="11" t="str">
        <f t="shared" si="15"/>
        <v>'ipmuxcollectiontime' NVARCHAR2(50)</v>
      </c>
    </row>
    <row r="474" spans="1:7" x14ac:dyDescent="0.3">
      <c r="A474" t="s">
        <v>872</v>
      </c>
      <c r="B474" s="2" t="s">
        <v>2</v>
      </c>
      <c r="C474" s="2">
        <v>50</v>
      </c>
      <c r="E474">
        <f t="shared" si="14"/>
        <v>17</v>
      </c>
      <c r="G474" s="11" t="str">
        <f t="shared" si="15"/>
        <v>'ipmuxlocaludpport' NVARCHAR2(50)</v>
      </c>
    </row>
    <row r="475" spans="1:7" x14ac:dyDescent="0.3">
      <c r="A475" t="s">
        <v>873</v>
      </c>
      <c r="B475" s="2" t="s">
        <v>2</v>
      </c>
      <c r="C475" s="2">
        <v>50</v>
      </c>
      <c r="E475">
        <f t="shared" si="14"/>
        <v>25</v>
      </c>
      <c r="G475" s="11" t="str">
        <f t="shared" si="15"/>
        <v>'ipmuxrtpheadercompression' NVARCHAR2(50)</v>
      </c>
    </row>
    <row r="476" spans="1:7" x14ac:dyDescent="0.3">
      <c r="A476" t="s">
        <v>874</v>
      </c>
      <c r="B476" s="2" t="s">
        <v>2</v>
      </c>
      <c r="C476" s="2">
        <v>50</v>
      </c>
      <c r="E476">
        <f t="shared" si="14"/>
        <v>11</v>
      </c>
      <c r="G476" s="11" t="str">
        <f t="shared" si="15"/>
        <v>'ipnetworkid' NVARCHAR2(50)</v>
      </c>
    </row>
    <row r="477" spans="1:7" x14ac:dyDescent="0.3">
      <c r="A477" t="s">
        <v>875</v>
      </c>
      <c r="B477" s="2" t="s">
        <v>2</v>
      </c>
      <c r="C477" s="2">
        <v>50</v>
      </c>
      <c r="E477">
        <f t="shared" si="14"/>
        <v>8</v>
      </c>
      <c r="G477" s="11" t="str">
        <f t="shared" si="15"/>
        <v>'ipsubnet' NVARCHAR2(50)</v>
      </c>
    </row>
    <row r="478" spans="1:7" x14ac:dyDescent="0.3">
      <c r="A478" t="s">
        <v>876</v>
      </c>
      <c r="B478" s="2" t="s">
        <v>2</v>
      </c>
      <c r="C478" s="2">
        <v>50</v>
      </c>
      <c r="E478">
        <f t="shared" si="14"/>
        <v>19</v>
      </c>
      <c r="G478" s="11" t="str">
        <f t="shared" si="15"/>
        <v>'isdnv110resynctimer' NVARCHAR2(50)</v>
      </c>
    </row>
    <row r="479" spans="1:7" x14ac:dyDescent="0.3">
      <c r="A479" t="s">
        <v>877</v>
      </c>
      <c r="B479" s="2" t="s">
        <v>2</v>
      </c>
      <c r="C479" s="2">
        <v>50</v>
      </c>
      <c r="E479">
        <f t="shared" si="14"/>
        <v>17</v>
      </c>
      <c r="G479" s="11" t="str">
        <f t="shared" si="15"/>
        <v>'isdnv110synctimer' NVARCHAR2(50)</v>
      </c>
    </row>
    <row r="480" spans="1:7" x14ac:dyDescent="0.3">
      <c r="A480" t="s">
        <v>878</v>
      </c>
      <c r="B480" s="2" t="s">
        <v>2</v>
      </c>
      <c r="C480" s="2">
        <v>50</v>
      </c>
      <c r="E480">
        <f t="shared" si="14"/>
        <v>9</v>
      </c>
      <c r="G480" s="11" t="str">
        <f t="shared" si="15"/>
        <v>'iteration' NVARCHAR2(50)</v>
      </c>
    </row>
    <row r="481" spans="1:7" x14ac:dyDescent="0.3">
      <c r="A481" t="s">
        <v>879</v>
      </c>
      <c r="B481" s="2" t="s">
        <v>2</v>
      </c>
      <c r="C481" s="2">
        <v>50</v>
      </c>
      <c r="E481">
        <f t="shared" si="14"/>
        <v>12</v>
      </c>
      <c r="G481" s="11" t="str">
        <f t="shared" si="15"/>
        <v>'javacafappid' NVARCHAR2(50)</v>
      </c>
    </row>
    <row r="482" spans="1:7" x14ac:dyDescent="0.3">
      <c r="A482" t="s">
        <v>880</v>
      </c>
      <c r="B482" s="2" t="s">
        <v>2</v>
      </c>
      <c r="C482" s="2">
        <v>50</v>
      </c>
      <c r="E482">
        <f t="shared" si="14"/>
        <v>5</v>
      </c>
      <c r="G482" s="11" t="str">
        <f t="shared" si="15"/>
        <v>'jvmid' NVARCHAR2(50)</v>
      </c>
    </row>
    <row r="483" spans="1:7" x14ac:dyDescent="0.3">
      <c r="A483" t="s">
        <v>881</v>
      </c>
      <c r="B483" s="2" t="s">
        <v>2</v>
      </c>
      <c r="C483" s="2">
        <v>50</v>
      </c>
      <c r="E483">
        <f t="shared" si="14"/>
        <v>12</v>
      </c>
      <c r="G483" s="11" t="str">
        <f t="shared" si="15"/>
        <v>'languagecode' NVARCHAR2(50)</v>
      </c>
    </row>
    <row r="484" spans="1:7" x14ac:dyDescent="0.3">
      <c r="A484" t="s">
        <v>409</v>
      </c>
      <c r="B484" s="2" t="s">
        <v>2</v>
      </c>
      <c r="C484" s="2">
        <v>400</v>
      </c>
      <c r="E484">
        <f t="shared" si="14"/>
        <v>15</v>
      </c>
      <c r="G484" s="11" t="str">
        <f t="shared" si="15"/>
        <v>'lastexecutedjob' NVARCHAR2(400)</v>
      </c>
    </row>
    <row r="485" spans="1:7" x14ac:dyDescent="0.3">
      <c r="A485" t="s">
        <v>882</v>
      </c>
      <c r="B485" s="2" t="s">
        <v>2</v>
      </c>
      <c r="C485" s="2">
        <v>50</v>
      </c>
      <c r="E485">
        <f t="shared" si="14"/>
        <v>14</v>
      </c>
      <c r="G485" s="11" t="str">
        <f t="shared" si="15"/>
        <v>'lastupdatetime' NVARCHAR2(50)</v>
      </c>
    </row>
    <row r="486" spans="1:7" x14ac:dyDescent="0.3">
      <c r="A486" t="s">
        <v>883</v>
      </c>
      <c r="B486" s="2" t="s">
        <v>2</v>
      </c>
      <c r="C486" s="2">
        <v>50</v>
      </c>
      <c r="E486">
        <f t="shared" si="14"/>
        <v>17</v>
      </c>
      <c r="G486" s="11" t="str">
        <f t="shared" si="15"/>
        <v>'linespeechleveldl' NVARCHAR2(50)</v>
      </c>
    </row>
    <row r="487" spans="1:7" x14ac:dyDescent="0.3">
      <c r="A487" t="s">
        <v>884</v>
      </c>
      <c r="B487" s="2" t="s">
        <v>2</v>
      </c>
      <c r="C487" s="2">
        <v>50</v>
      </c>
      <c r="E487">
        <f t="shared" si="14"/>
        <v>17</v>
      </c>
      <c r="G487" s="11" t="str">
        <f t="shared" si="15"/>
        <v>'linespeechlevelul' NVARCHAR2(50)</v>
      </c>
    </row>
    <row r="488" spans="1:7" x14ac:dyDescent="0.3">
      <c r="A488" t="s">
        <v>413</v>
      </c>
      <c r="B488" s="2" t="s">
        <v>2</v>
      </c>
      <c r="C488" s="2">
        <v>400</v>
      </c>
      <c r="E488">
        <f t="shared" si="14"/>
        <v>14</v>
      </c>
      <c r="G488" s="11" t="str">
        <f t="shared" si="15"/>
        <v>'listofmessages' NVARCHAR2(400)</v>
      </c>
    </row>
    <row r="489" spans="1:7" x14ac:dyDescent="0.3">
      <c r="A489" t="s">
        <v>885</v>
      </c>
      <c r="B489" s="2" t="s">
        <v>2</v>
      </c>
      <c r="C489" s="2">
        <v>50</v>
      </c>
      <c r="E489">
        <f t="shared" si="14"/>
        <v>13</v>
      </c>
      <c r="G489" s="11" t="str">
        <f t="shared" si="15"/>
        <v>'localserverid' NVARCHAR2(50)</v>
      </c>
    </row>
    <row r="490" spans="1:7" x14ac:dyDescent="0.3">
      <c r="A490" t="s">
        <v>886</v>
      </c>
      <c r="B490" s="2" t="s">
        <v>2</v>
      </c>
      <c r="C490" s="2">
        <v>50</v>
      </c>
      <c r="E490">
        <f t="shared" si="14"/>
        <v>7</v>
      </c>
      <c r="G490" s="11" t="str">
        <f t="shared" si="15"/>
        <v>'lockout' NVARCHAR2(50)</v>
      </c>
    </row>
    <row r="491" spans="1:7" x14ac:dyDescent="0.3">
      <c r="A491" t="s">
        <v>887</v>
      </c>
      <c r="B491" s="2" t="s">
        <v>2</v>
      </c>
      <c r="C491" s="2">
        <v>50</v>
      </c>
      <c r="E491">
        <f t="shared" si="14"/>
        <v>9</v>
      </c>
      <c r="G491" s="11" t="str">
        <f t="shared" si="15"/>
        <v>'logactive' NVARCHAR2(50)</v>
      </c>
    </row>
    <row r="492" spans="1:7" x14ac:dyDescent="0.3">
      <c r="A492" t="s">
        <v>888</v>
      </c>
      <c r="B492" s="2" t="s">
        <v>2</v>
      </c>
      <c r="C492" s="2">
        <v>50</v>
      </c>
      <c r="E492">
        <f t="shared" si="14"/>
        <v>6</v>
      </c>
      <c r="G492" s="11" t="str">
        <f t="shared" si="15"/>
        <v>'logmid' NVARCHAR2(50)</v>
      </c>
    </row>
    <row r="493" spans="1:7" x14ac:dyDescent="0.3">
      <c r="A493" t="s">
        <v>889</v>
      </c>
      <c r="B493" s="2" t="s">
        <v>2</v>
      </c>
      <c r="C493" s="2">
        <v>50</v>
      </c>
      <c r="E493">
        <f t="shared" si="14"/>
        <v>12</v>
      </c>
      <c r="G493" s="11" t="str">
        <f t="shared" si="15"/>
        <v>'lowfreqlevel' NVARCHAR2(50)</v>
      </c>
    </row>
    <row r="494" spans="1:7" x14ac:dyDescent="0.3">
      <c r="A494" t="s">
        <v>890</v>
      </c>
      <c r="B494" s="2" t="s">
        <v>2</v>
      </c>
      <c r="C494" s="2">
        <v>50</v>
      </c>
      <c r="E494">
        <f t="shared" si="14"/>
        <v>22</v>
      </c>
      <c r="G494" s="11" t="str">
        <f t="shared" si="15"/>
        <v>'m3uanoofattempsofdauds' NVARCHAR2(50)</v>
      </c>
    </row>
    <row r="495" spans="1:7" x14ac:dyDescent="0.3">
      <c r="A495" t="s">
        <v>891</v>
      </c>
      <c r="B495" s="2" t="s">
        <v>2</v>
      </c>
      <c r="C495" s="2">
        <v>50</v>
      </c>
      <c r="E495">
        <f t="shared" si="14"/>
        <v>19</v>
      </c>
      <c r="G495" s="11" t="str">
        <f t="shared" si="15"/>
        <v>'maxconsecutivesrejs' NVARCHAR2(50)</v>
      </c>
    </row>
    <row r="496" spans="1:7" x14ac:dyDescent="0.3">
      <c r="A496" t="s">
        <v>892</v>
      </c>
      <c r="B496" s="2" t="s">
        <v>2</v>
      </c>
      <c r="C496" s="2">
        <v>50</v>
      </c>
      <c r="E496">
        <f t="shared" si="14"/>
        <v>11</v>
      </c>
      <c r="G496" s="11" t="str">
        <f t="shared" si="15"/>
        <v>'maxduration' NVARCHAR2(50)</v>
      </c>
    </row>
    <row r="497" spans="1:7" x14ac:dyDescent="0.3">
      <c r="A497" t="s">
        <v>893</v>
      </c>
      <c r="B497" s="2" t="s">
        <v>2</v>
      </c>
      <c r="C497" s="2">
        <v>50</v>
      </c>
      <c r="E497">
        <f t="shared" si="14"/>
        <v>18</v>
      </c>
      <c r="G497" s="11" t="str">
        <f t="shared" si="15"/>
        <v>'maxnoofreportfiles' NVARCHAR2(50)</v>
      </c>
    </row>
    <row r="498" spans="1:7" x14ac:dyDescent="0.3">
      <c r="A498" t="s">
        <v>894</v>
      </c>
      <c r="B498" s="2" t="s">
        <v>2</v>
      </c>
      <c r="C498" s="2">
        <v>50</v>
      </c>
      <c r="E498">
        <f t="shared" si="14"/>
        <v>16</v>
      </c>
      <c r="G498" s="11" t="str">
        <f t="shared" si="15"/>
        <v>'maxsizechangebuf' NVARCHAR2(50)</v>
      </c>
    </row>
    <row r="499" spans="1:7" x14ac:dyDescent="0.3">
      <c r="A499" t="s">
        <v>895</v>
      </c>
      <c r="B499" s="2" t="s">
        <v>2</v>
      </c>
      <c r="C499" s="2">
        <v>50</v>
      </c>
      <c r="E499">
        <f t="shared" si="14"/>
        <v>16</v>
      </c>
      <c r="G499" s="11" t="str">
        <f t="shared" si="15"/>
        <v>'maxsizereroutbuf' NVARCHAR2(50)</v>
      </c>
    </row>
    <row r="500" spans="1:7" x14ac:dyDescent="0.3">
      <c r="A500" t="s">
        <v>896</v>
      </c>
      <c r="B500" s="2" t="s">
        <v>2</v>
      </c>
      <c r="C500" s="2">
        <v>50</v>
      </c>
      <c r="E500">
        <f t="shared" si="14"/>
        <v>22</v>
      </c>
      <c r="G500" s="11" t="str">
        <f t="shared" si="15"/>
        <v>'maxwaittimepertcpframe' NVARCHAR2(50)</v>
      </c>
    </row>
    <row r="501" spans="1:7" x14ac:dyDescent="0.3">
      <c r="A501" t="s">
        <v>897</v>
      </c>
      <c r="B501" s="2" t="s">
        <v>2</v>
      </c>
      <c r="C501" s="2">
        <v>50</v>
      </c>
      <c r="E501">
        <f t="shared" si="14"/>
        <v>7</v>
      </c>
      <c r="G501" s="11" t="str">
        <f t="shared" si="15"/>
        <v>'mccmode' NVARCHAR2(50)</v>
      </c>
    </row>
    <row r="502" spans="1:7" x14ac:dyDescent="0.3">
      <c r="A502" t="s">
        <v>898</v>
      </c>
      <c r="B502" s="2" t="s">
        <v>2</v>
      </c>
      <c r="C502" s="2">
        <v>50</v>
      </c>
      <c r="E502">
        <f t="shared" si="14"/>
        <v>9</v>
      </c>
      <c r="G502" s="11" t="str">
        <f t="shared" si="15"/>
        <v>'messageid' NVARCHAR2(50)</v>
      </c>
    </row>
    <row r="503" spans="1:7" x14ac:dyDescent="0.3">
      <c r="A503" t="s">
        <v>899</v>
      </c>
      <c r="B503" s="2" t="s">
        <v>2</v>
      </c>
      <c r="C503" s="2">
        <v>50</v>
      </c>
      <c r="E503">
        <f t="shared" si="14"/>
        <v>8</v>
      </c>
      <c r="G503" s="11" t="str">
        <f t="shared" si="15"/>
        <v>'mgclabel' NVARCHAR2(50)</v>
      </c>
    </row>
    <row r="504" spans="1:7" x14ac:dyDescent="0.3">
      <c r="A504" t="s">
        <v>900</v>
      </c>
      <c r="B504" s="2" t="s">
        <v>2</v>
      </c>
      <c r="C504" s="2">
        <v>50</v>
      </c>
      <c r="E504">
        <f t="shared" si="14"/>
        <v>13</v>
      </c>
      <c r="G504" s="11" t="str">
        <f t="shared" si="15"/>
        <v>'mindigitpause' NVARCHAR2(50)</v>
      </c>
    </row>
    <row r="505" spans="1:7" x14ac:dyDescent="0.3">
      <c r="A505" t="s">
        <v>901</v>
      </c>
      <c r="B505" s="2" t="s">
        <v>2</v>
      </c>
      <c r="C505" s="2">
        <v>50</v>
      </c>
      <c r="E505">
        <f t="shared" si="14"/>
        <v>11</v>
      </c>
      <c r="G505" s="11" t="str">
        <f t="shared" si="15"/>
        <v>'minduration' NVARCHAR2(50)</v>
      </c>
    </row>
    <row r="506" spans="1:7" x14ac:dyDescent="0.3">
      <c r="A506" t="s">
        <v>902</v>
      </c>
      <c r="B506" s="2" t="s">
        <v>2</v>
      </c>
      <c r="C506" s="2">
        <v>50</v>
      </c>
      <c r="E506">
        <f t="shared" si="14"/>
        <v>23</v>
      </c>
      <c r="G506" s="11" t="str">
        <f t="shared" si="15"/>
        <v>'mininterworkingduration' NVARCHAR2(50)</v>
      </c>
    </row>
    <row r="507" spans="1:7" x14ac:dyDescent="0.3">
      <c r="A507" t="s">
        <v>903</v>
      </c>
      <c r="B507" s="2" t="s">
        <v>2</v>
      </c>
      <c r="C507" s="2">
        <v>50</v>
      </c>
      <c r="E507">
        <f t="shared" si="14"/>
        <v>20</v>
      </c>
      <c r="G507" s="11" t="str">
        <f t="shared" si="15"/>
        <v>'mininterworkingpause' NVARCHAR2(50)</v>
      </c>
    </row>
    <row r="508" spans="1:7" x14ac:dyDescent="0.3">
      <c r="A508" t="s">
        <v>904</v>
      </c>
      <c r="B508" s="2" t="s">
        <v>2</v>
      </c>
      <c r="C508" s="2">
        <v>50</v>
      </c>
      <c r="E508">
        <f t="shared" si="14"/>
        <v>16</v>
      </c>
      <c r="G508" s="11" t="str">
        <f t="shared" si="15"/>
        <v>'mobileaccessconn' NVARCHAR2(50)</v>
      </c>
    </row>
    <row r="509" spans="1:7" x14ac:dyDescent="0.3">
      <c r="A509" t="s">
        <v>1299</v>
      </c>
      <c r="B509" s="2" t="s">
        <v>2</v>
      </c>
      <c r="C509" s="2">
        <v>50</v>
      </c>
      <c r="D509" t="s">
        <v>905</v>
      </c>
      <c r="E509">
        <f t="shared" si="14"/>
        <v>13</v>
      </c>
      <c r="G509" s="11" t="str">
        <f t="shared" si="15"/>
        <v>'mpv_logstatus' NVARCHAR2(50)</v>
      </c>
    </row>
    <row r="510" spans="1:7" x14ac:dyDescent="0.3">
      <c r="A510" t="s">
        <v>906</v>
      </c>
      <c r="B510" s="2" t="s">
        <v>2</v>
      </c>
      <c r="C510" s="2">
        <v>50</v>
      </c>
      <c r="E510">
        <f t="shared" si="14"/>
        <v>17</v>
      </c>
      <c r="G510" s="11" t="str">
        <f t="shared" si="15"/>
        <v>'mrfcapplicationid' NVARCHAR2(50)</v>
      </c>
    </row>
    <row r="511" spans="1:7" x14ac:dyDescent="0.3">
      <c r="A511" t="s">
        <v>907</v>
      </c>
      <c r="B511" s="2" t="s">
        <v>2</v>
      </c>
      <c r="C511" s="2">
        <v>50</v>
      </c>
      <c r="E511">
        <f t="shared" ref="E511:E571" si="16">LEN(A511)</f>
        <v>6</v>
      </c>
      <c r="G511" s="11" t="str">
        <f t="shared" si="15"/>
        <v>'mspgid' NVARCHAR2(50)</v>
      </c>
    </row>
    <row r="512" spans="1:7" x14ac:dyDescent="0.3">
      <c r="A512" t="s">
        <v>908</v>
      </c>
      <c r="B512" s="2" t="s">
        <v>2</v>
      </c>
      <c r="C512" s="2">
        <v>50</v>
      </c>
      <c r="E512">
        <f t="shared" si="16"/>
        <v>29</v>
      </c>
      <c r="G512" s="11" t="str">
        <f t="shared" ref="G512:G572" si="17">_xlfn.CONCAT("'",A512,"'"," NVARCHAR2","(",C512,")","")</f>
        <v>'mtaschargingacrcachingmaxtime' NVARCHAR2(50)</v>
      </c>
    </row>
    <row r="513" spans="1:7" x14ac:dyDescent="0.3">
      <c r="A513" t="s">
        <v>909</v>
      </c>
      <c r="B513" s="2" t="s">
        <v>2</v>
      </c>
      <c r="C513" s="2">
        <v>50</v>
      </c>
      <c r="E513">
        <f t="shared" si="16"/>
        <v>29</v>
      </c>
      <c r="G513" s="11" t="str">
        <f t="shared" si="17"/>
        <v>'mtascharginganiwithouttrigger' NVARCHAR2(50)</v>
      </c>
    </row>
    <row r="514" spans="1:7" x14ac:dyDescent="0.3">
      <c r="A514" t="s">
        <v>910</v>
      </c>
      <c r="B514" s="2" t="s">
        <v>2</v>
      </c>
      <c r="C514" s="2">
        <v>50</v>
      </c>
      <c r="E514">
        <f t="shared" si="16"/>
        <v>29</v>
      </c>
      <c r="G514" s="11" t="str">
        <f t="shared" si="17"/>
        <v>'mtaschargingccrcachingmaxtime' NVARCHAR2(50)</v>
      </c>
    </row>
    <row r="515" spans="1:7" x14ac:dyDescent="0.3">
      <c r="A515" t="s">
        <v>912</v>
      </c>
      <c r="B515" s="2" t="s">
        <v>2</v>
      </c>
      <c r="C515" s="2">
        <v>50</v>
      </c>
      <c r="E515">
        <f t="shared" si="16"/>
        <v>26</v>
      </c>
      <c r="G515" s="11" t="str">
        <f t="shared" si="17"/>
        <v>'mtaschargingtimezonesource' NVARCHAR2(50)</v>
      </c>
    </row>
    <row r="516" spans="1:7" x14ac:dyDescent="0.3">
      <c r="A516" t="s">
        <v>913</v>
      </c>
      <c r="B516" s="2" t="s">
        <v>2</v>
      </c>
      <c r="C516" s="2">
        <v>50</v>
      </c>
      <c r="E516">
        <f t="shared" si="16"/>
        <v>19</v>
      </c>
      <c r="G516" s="11" t="str">
        <f t="shared" si="17"/>
        <v>'mtaschargingtxtimer' NVARCHAR2(50)</v>
      </c>
    </row>
    <row r="517" spans="1:7" x14ac:dyDescent="0.3">
      <c r="A517" t="s">
        <v>914</v>
      </c>
      <c r="B517" s="2" t="s">
        <v>2</v>
      </c>
      <c r="C517" s="2">
        <v>50</v>
      </c>
      <c r="E517">
        <f t="shared" si="16"/>
        <v>27</v>
      </c>
      <c r="G517" s="11" t="str">
        <f t="shared" si="17"/>
        <v>'mtascomdetailsreportingtype' NVARCHAR2(50)</v>
      </c>
    </row>
    <row r="518" spans="1:7" x14ac:dyDescent="0.3">
      <c r="A518" t="s">
        <v>915</v>
      </c>
      <c r="B518" s="2" t="s">
        <v>2</v>
      </c>
      <c r="C518" s="2">
        <v>50</v>
      </c>
      <c r="E518">
        <f t="shared" si="16"/>
        <v>7</v>
      </c>
      <c r="G518" s="11" t="str">
        <f t="shared" si="17"/>
        <v>'mtasdns' NVARCHAR2(50)</v>
      </c>
    </row>
    <row r="519" spans="1:7" x14ac:dyDescent="0.3">
      <c r="A519" t="s">
        <v>916</v>
      </c>
      <c r="B519" s="2" t="s">
        <v>2</v>
      </c>
      <c r="C519" s="2">
        <v>50</v>
      </c>
      <c r="E519">
        <f t="shared" si="16"/>
        <v>24</v>
      </c>
      <c r="G519" s="11" t="str">
        <f t="shared" si="17"/>
        <v>'mtasdnsmonitoringenabled' NVARCHAR2(50)</v>
      </c>
    </row>
    <row r="520" spans="1:7" x14ac:dyDescent="0.3">
      <c r="A520" t="s">
        <v>917</v>
      </c>
      <c r="B520" s="2" t="s">
        <v>2</v>
      </c>
      <c r="C520" s="2">
        <v>50</v>
      </c>
      <c r="E520">
        <f t="shared" si="16"/>
        <v>8</v>
      </c>
      <c r="G520" s="11" t="str">
        <f t="shared" si="17"/>
        <v>'mtashttp' NVARCHAR2(50)</v>
      </c>
    </row>
    <row r="521" spans="1:7" x14ac:dyDescent="0.3">
      <c r="A521" t="s">
        <v>918</v>
      </c>
      <c r="B521" s="2" t="s">
        <v>2</v>
      </c>
      <c r="C521" s="2">
        <v>50</v>
      </c>
      <c r="E521">
        <f t="shared" si="16"/>
        <v>22</v>
      </c>
      <c r="G521" s="11" t="str">
        <f t="shared" si="17"/>
        <v>'mtashttprequesttimeout' NVARCHAR2(50)</v>
      </c>
    </row>
    <row r="522" spans="1:7" x14ac:dyDescent="0.3">
      <c r="A522" t="s">
        <v>919</v>
      </c>
      <c r="B522" s="2" t="s">
        <v>2</v>
      </c>
      <c r="C522" s="2">
        <v>50</v>
      </c>
      <c r="E522">
        <f t="shared" si="16"/>
        <v>12</v>
      </c>
      <c r="G522" s="11" t="str">
        <f t="shared" si="17"/>
        <v>'mtaslicenses' NVARCHAR2(50)</v>
      </c>
    </row>
    <row r="523" spans="1:7" x14ac:dyDescent="0.3">
      <c r="A523" t="s">
        <v>920</v>
      </c>
      <c r="B523" s="2" t="s">
        <v>2</v>
      </c>
      <c r="C523" s="2">
        <v>50</v>
      </c>
      <c r="E523">
        <f t="shared" si="16"/>
        <v>11</v>
      </c>
      <c r="G523" s="11" t="str">
        <f t="shared" si="17"/>
        <v>'mtasscaling' NVARCHAR2(50)</v>
      </c>
    </row>
    <row r="524" spans="1:7" x14ac:dyDescent="0.3">
      <c r="A524" t="s">
        <v>921</v>
      </c>
      <c r="B524" s="2" t="s">
        <v>2</v>
      </c>
      <c r="C524" s="2">
        <v>50</v>
      </c>
      <c r="E524">
        <f t="shared" si="16"/>
        <v>18</v>
      </c>
      <c r="G524" s="11" t="str">
        <f t="shared" si="17"/>
        <v>'mtasscalingscalein' NVARCHAR2(50)</v>
      </c>
    </row>
    <row r="525" spans="1:7" x14ac:dyDescent="0.3">
      <c r="A525" t="s">
        <v>922</v>
      </c>
      <c r="B525" s="2" t="s">
        <v>2</v>
      </c>
      <c r="C525" s="2">
        <v>50</v>
      </c>
      <c r="E525">
        <f t="shared" si="16"/>
        <v>19</v>
      </c>
      <c r="G525" s="11" t="str">
        <f t="shared" si="17"/>
        <v>'mtasscalingscaleout' NVARCHAR2(50)</v>
      </c>
    </row>
    <row r="526" spans="1:7" x14ac:dyDescent="0.3">
      <c r="A526" t="s">
        <v>923</v>
      </c>
      <c r="B526" s="2" t="s">
        <v>2</v>
      </c>
      <c r="C526" s="2">
        <v>50</v>
      </c>
      <c r="E526">
        <f t="shared" si="16"/>
        <v>20</v>
      </c>
      <c r="G526" s="11" t="str">
        <f t="shared" si="17"/>
        <v>'mtassipasgenericport' NVARCHAR2(50)</v>
      </c>
    </row>
    <row r="527" spans="1:7" x14ac:dyDescent="0.3">
      <c r="A527" t="s">
        <v>924</v>
      </c>
      <c r="B527" s="2" t="s">
        <v>2</v>
      </c>
      <c r="C527" s="2">
        <v>50</v>
      </c>
      <c r="E527">
        <f t="shared" si="16"/>
        <v>20</v>
      </c>
      <c r="G527" s="11" t="str">
        <f t="shared" si="17"/>
        <v>'mtassipipaddresslist' NVARCHAR2(50)</v>
      </c>
    </row>
    <row r="528" spans="1:7" x14ac:dyDescent="0.3">
      <c r="A528" t="s">
        <v>925</v>
      </c>
      <c r="B528" s="2" t="s">
        <v>2</v>
      </c>
      <c r="C528" s="2">
        <v>50</v>
      </c>
      <c r="E528">
        <f t="shared" si="16"/>
        <v>28</v>
      </c>
      <c r="G528" s="11" t="str">
        <f t="shared" si="17"/>
        <v>'mtassipipdscpprioritymarking' NVARCHAR2(50)</v>
      </c>
    </row>
    <row r="529" spans="1:7" x14ac:dyDescent="0.3">
      <c r="A529" t="s">
        <v>926</v>
      </c>
      <c r="B529" s="2" t="s">
        <v>2</v>
      </c>
      <c r="C529" s="2">
        <v>50</v>
      </c>
      <c r="E529">
        <f t="shared" si="16"/>
        <v>26</v>
      </c>
      <c r="G529" s="11" t="str">
        <f t="shared" si="17"/>
        <v>'mtassipipversionpreference' NVARCHAR2(50)</v>
      </c>
    </row>
    <row r="530" spans="1:7" x14ac:dyDescent="0.3">
      <c r="A530" t="s">
        <v>927</v>
      </c>
      <c r="B530" s="2" t="s">
        <v>2</v>
      </c>
      <c r="C530" s="2">
        <v>50</v>
      </c>
      <c r="E530">
        <f t="shared" si="16"/>
        <v>24</v>
      </c>
      <c r="G530" s="11" t="str">
        <f t="shared" si="17"/>
        <v>'mtassipretryaftersupport' NVARCHAR2(50)</v>
      </c>
    </row>
    <row r="531" spans="1:7" x14ac:dyDescent="0.3">
      <c r="A531" t="s">
        <v>928</v>
      </c>
      <c r="B531" s="2" t="s">
        <v>2</v>
      </c>
      <c r="C531" s="2">
        <v>50</v>
      </c>
      <c r="E531">
        <f t="shared" si="16"/>
        <v>21</v>
      </c>
      <c r="G531" s="11" t="str">
        <f t="shared" si="17"/>
        <v>'mtassipretryaftertime' NVARCHAR2(50)</v>
      </c>
    </row>
    <row r="532" spans="1:7" x14ac:dyDescent="0.3">
      <c r="A532" t="s">
        <v>929</v>
      </c>
      <c r="B532" s="2" t="s">
        <v>2</v>
      </c>
      <c r="C532" s="2">
        <v>50</v>
      </c>
      <c r="E532">
        <f t="shared" si="16"/>
        <v>24</v>
      </c>
      <c r="G532" s="11" t="str">
        <f t="shared" si="17"/>
        <v>'mtassipsdpstrictmatching' NVARCHAR2(50)</v>
      </c>
    </row>
    <row r="533" spans="1:7" x14ac:dyDescent="0.3">
      <c r="A533" t="s">
        <v>930</v>
      </c>
      <c r="B533" s="2" t="s">
        <v>2</v>
      </c>
      <c r="C533" s="2">
        <v>50</v>
      </c>
      <c r="E533">
        <f t="shared" si="16"/>
        <v>25</v>
      </c>
      <c r="G533" s="11" t="str">
        <f t="shared" si="17"/>
        <v>'mtassiptcpsessiondelayack' NVARCHAR2(50)</v>
      </c>
    </row>
    <row r="534" spans="1:7" x14ac:dyDescent="0.3">
      <c r="A534" t="s">
        <v>931</v>
      </c>
      <c r="B534" s="2" t="s">
        <v>2</v>
      </c>
      <c r="C534" s="2">
        <v>50</v>
      </c>
      <c r="E534">
        <f t="shared" si="16"/>
        <v>24</v>
      </c>
      <c r="G534" s="11" t="str">
        <f t="shared" si="17"/>
        <v>'mtassiptcpsessionnodelay' NVARCHAR2(50)</v>
      </c>
    </row>
    <row r="535" spans="1:7" x14ac:dyDescent="0.3">
      <c r="A535" t="s">
        <v>932</v>
      </c>
      <c r="B535" s="2" t="s">
        <v>2</v>
      </c>
      <c r="C535" s="2">
        <v>50</v>
      </c>
      <c r="E535">
        <f t="shared" si="16"/>
        <v>29</v>
      </c>
      <c r="G535" s="11" t="str">
        <f t="shared" si="17"/>
        <v>'mtassiptraffictermunregipport' NVARCHAR2(50)</v>
      </c>
    </row>
    <row r="536" spans="1:7" x14ac:dyDescent="0.3">
      <c r="A536" t="s">
        <v>933</v>
      </c>
      <c r="B536" s="2" t="s">
        <v>2</v>
      </c>
      <c r="C536" s="2">
        <v>50</v>
      </c>
      <c r="E536">
        <f t="shared" si="16"/>
        <v>26</v>
      </c>
      <c r="G536" s="11" t="str">
        <f t="shared" si="17"/>
        <v>'mtassiptransparentearlybye' NVARCHAR2(50)</v>
      </c>
    </row>
    <row r="537" spans="1:7" x14ac:dyDescent="0.3">
      <c r="A537" t="s">
        <v>934</v>
      </c>
      <c r="B537" s="2" t="s">
        <v>2</v>
      </c>
      <c r="C537" s="2">
        <v>50</v>
      </c>
      <c r="E537">
        <f t="shared" si="16"/>
        <v>28</v>
      </c>
      <c r="G537" s="11" t="str">
        <f t="shared" si="17"/>
        <v>'mtassiptransparenttelcontact' NVARCHAR2(50)</v>
      </c>
    </row>
    <row r="538" spans="1:7" x14ac:dyDescent="0.3">
      <c r="A538" t="s">
        <v>935</v>
      </c>
      <c r="B538" s="2" t="s">
        <v>2</v>
      </c>
      <c r="C538" s="2">
        <v>50</v>
      </c>
      <c r="E538">
        <f t="shared" si="16"/>
        <v>28</v>
      </c>
      <c r="G538" s="11" t="str">
        <f t="shared" si="17"/>
        <v>'mtassubsdataregeventnotifier' NVARCHAR2(50)</v>
      </c>
    </row>
    <row r="539" spans="1:7" x14ac:dyDescent="0.3">
      <c r="A539" t="s">
        <v>936</v>
      </c>
      <c r="B539" s="2" t="s">
        <v>2</v>
      </c>
      <c r="C539" s="2">
        <v>50</v>
      </c>
      <c r="E539">
        <f t="shared" si="16"/>
        <v>28</v>
      </c>
      <c r="G539" s="11" t="str">
        <f t="shared" si="17"/>
        <v>'mtassubsdatasccatcfinfoinhss' NVARCHAR2(50)</v>
      </c>
    </row>
    <row r="540" spans="1:7" x14ac:dyDescent="0.3">
      <c r="A540" t="s">
        <v>937</v>
      </c>
      <c r="B540" s="2" t="s">
        <v>2</v>
      </c>
      <c r="C540" s="2">
        <v>50</v>
      </c>
      <c r="E540">
        <f t="shared" si="16"/>
        <v>22</v>
      </c>
      <c r="G540" s="11" t="str">
        <f t="shared" si="17"/>
        <v>'mtassystemconstantsc10' NVARCHAR2(50)</v>
      </c>
    </row>
    <row r="541" spans="1:7" x14ac:dyDescent="0.3">
      <c r="A541" t="s">
        <v>313</v>
      </c>
      <c r="B541" s="2" t="s">
        <v>2</v>
      </c>
      <c r="C541" s="2">
        <v>50</v>
      </c>
      <c r="E541">
        <f t="shared" si="16"/>
        <v>30</v>
      </c>
      <c r="G541" s="11" t="str">
        <f t="shared" si="17"/>
        <v>'mtasxdmscai3ginactivitytimeout' NVARCHAR2(50)</v>
      </c>
    </row>
    <row r="542" spans="1:7" x14ac:dyDescent="0.3">
      <c r="A542" t="s">
        <v>939</v>
      </c>
      <c r="B542" s="2" t="s">
        <v>2</v>
      </c>
      <c r="C542" s="2">
        <v>50</v>
      </c>
      <c r="E542">
        <f t="shared" si="16"/>
        <v>26</v>
      </c>
      <c r="G542" s="11" t="str">
        <f t="shared" si="17"/>
        <v>'mtasxdmscai3gipaddresslist' NVARCHAR2(50)</v>
      </c>
    </row>
    <row r="543" spans="1:7" x14ac:dyDescent="0.3">
      <c r="A543" t="s">
        <v>940</v>
      </c>
      <c r="B543" s="2" t="s">
        <v>2</v>
      </c>
      <c r="C543" s="2">
        <v>50</v>
      </c>
      <c r="E543">
        <f t="shared" si="16"/>
        <v>25</v>
      </c>
      <c r="G543" s="11" t="str">
        <f t="shared" si="17"/>
        <v>'mtasxdmsretryaftermaximum' NVARCHAR2(50)</v>
      </c>
    </row>
    <row r="544" spans="1:7" x14ac:dyDescent="0.3">
      <c r="A544" t="s">
        <v>941</v>
      </c>
      <c r="B544" s="2" t="s">
        <v>2</v>
      </c>
      <c r="C544" s="2">
        <v>50</v>
      </c>
      <c r="E544">
        <f t="shared" si="16"/>
        <v>16</v>
      </c>
      <c r="G544" s="11" t="str">
        <f t="shared" si="17"/>
        <v>'mtasxdmsutheader' NVARCHAR2(50)</v>
      </c>
    </row>
    <row r="545" spans="1:7" x14ac:dyDescent="0.3">
      <c r="A545" t="s">
        <v>942</v>
      </c>
      <c r="B545" s="2" t="s">
        <v>2</v>
      </c>
      <c r="C545" s="2">
        <v>50</v>
      </c>
      <c r="E545">
        <f t="shared" si="16"/>
        <v>23</v>
      </c>
      <c r="G545" s="11" t="str">
        <f t="shared" si="17"/>
        <v>'mtasxdmsutipaddresslist' NVARCHAR2(50)</v>
      </c>
    </row>
    <row r="546" spans="1:7" x14ac:dyDescent="0.3">
      <c r="A546" t="s">
        <v>943</v>
      </c>
      <c r="B546" s="2" t="s">
        <v>2</v>
      </c>
      <c r="C546" s="2">
        <v>50</v>
      </c>
      <c r="E546">
        <f t="shared" si="16"/>
        <v>20</v>
      </c>
      <c r="G546" s="11" t="str">
        <f t="shared" si="17"/>
        <v>'mtasxdmsutvalidation' NVARCHAR2(50)</v>
      </c>
    </row>
    <row r="547" spans="1:7" x14ac:dyDescent="0.3">
      <c r="A547" t="s">
        <v>416</v>
      </c>
      <c r="B547" s="2" t="s">
        <v>2</v>
      </c>
      <c r="C547" s="2">
        <v>200</v>
      </c>
      <c r="E547">
        <f t="shared" si="16"/>
        <v>16</v>
      </c>
      <c r="G547" s="11" t="str">
        <f t="shared" si="17"/>
        <v>'mtp2profileituid' NVARCHAR2(200)</v>
      </c>
    </row>
    <row r="548" spans="1:7" x14ac:dyDescent="0.3">
      <c r="A548" t="s">
        <v>944</v>
      </c>
      <c r="B548" s="2" t="s">
        <v>2</v>
      </c>
      <c r="C548" s="2">
        <v>50</v>
      </c>
      <c r="E548">
        <f t="shared" si="16"/>
        <v>11</v>
      </c>
      <c r="G548" s="11" t="str">
        <f t="shared" si="17"/>
        <v>'mtp2tpituid' NVARCHAR2(50)</v>
      </c>
    </row>
    <row r="549" spans="1:7" x14ac:dyDescent="0.3">
      <c r="A549" t="s">
        <v>410</v>
      </c>
      <c r="B549" s="2" t="s">
        <v>2</v>
      </c>
      <c r="C549" s="2">
        <v>400</v>
      </c>
      <c r="E549">
        <f t="shared" si="16"/>
        <v>12</v>
      </c>
      <c r="G549" s="11" t="str">
        <f t="shared" si="17"/>
        <v>'mtp3bapmoref' NVARCHAR2(400)</v>
      </c>
    </row>
    <row r="550" spans="1:7" x14ac:dyDescent="0.3">
      <c r="A550" t="s">
        <v>945</v>
      </c>
      <c r="B550" s="2" t="s">
        <v>2</v>
      </c>
      <c r="C550" s="2">
        <v>50</v>
      </c>
      <c r="E550">
        <f t="shared" si="16"/>
        <v>12</v>
      </c>
      <c r="G550" s="11" t="str">
        <f t="shared" si="17"/>
        <v>'mtp3bspituid' NVARCHAR2(50)</v>
      </c>
    </row>
    <row r="551" spans="1:7" x14ac:dyDescent="0.3">
      <c r="A551" t="s">
        <v>946</v>
      </c>
      <c r="B551" s="2" t="s">
        <v>2</v>
      </c>
      <c r="C551" s="2">
        <v>50</v>
      </c>
      <c r="E551">
        <f t="shared" si="16"/>
        <v>17</v>
      </c>
      <c r="G551" s="11" t="str">
        <f t="shared" si="17"/>
        <v>'networkappearance' NVARCHAR2(50)</v>
      </c>
    </row>
    <row r="552" spans="1:7" x14ac:dyDescent="0.3">
      <c r="A552" t="s">
        <v>947</v>
      </c>
      <c r="B552" s="2" t="s">
        <v>2</v>
      </c>
      <c r="C552" s="2">
        <v>50</v>
      </c>
      <c r="E552">
        <f t="shared" si="16"/>
        <v>15</v>
      </c>
      <c r="G552" s="11" t="str">
        <f t="shared" si="17"/>
        <v>'networkidentity' NVARCHAR2(50)</v>
      </c>
    </row>
    <row r="553" spans="1:7" x14ac:dyDescent="0.3">
      <c r="A553" t="s">
        <v>948</v>
      </c>
      <c r="B553" s="2" t="s">
        <v>2</v>
      </c>
      <c r="C553" s="2">
        <v>50</v>
      </c>
      <c r="E553">
        <f t="shared" si="16"/>
        <v>10</v>
      </c>
      <c r="G553" s="11" t="str">
        <f t="shared" si="17"/>
        <v>'networkind' NVARCHAR2(50)</v>
      </c>
    </row>
    <row r="554" spans="1:7" x14ac:dyDescent="0.3">
      <c r="A554" t="s">
        <v>949</v>
      </c>
      <c r="B554" s="2" t="s">
        <v>2</v>
      </c>
      <c r="C554" s="2">
        <v>50</v>
      </c>
      <c r="E554">
        <f t="shared" si="16"/>
        <v>13</v>
      </c>
      <c r="G554" s="11" t="str">
        <f t="shared" si="17"/>
        <v>'networkprefix' NVARCHAR2(50)</v>
      </c>
    </row>
    <row r="555" spans="1:7" x14ac:dyDescent="0.3">
      <c r="A555" t="s">
        <v>950</v>
      </c>
      <c r="B555" s="2" t="s">
        <v>2</v>
      </c>
      <c r="C555" s="2">
        <v>50</v>
      </c>
      <c r="E555">
        <f t="shared" si="16"/>
        <v>19</v>
      </c>
      <c r="G555" s="11" t="str">
        <f t="shared" si="17"/>
        <v>'networkprefixlength' NVARCHAR2(50)</v>
      </c>
    </row>
    <row r="556" spans="1:7" x14ac:dyDescent="0.3">
      <c r="A556" t="s">
        <v>951</v>
      </c>
      <c r="B556" s="2" t="s">
        <v>2</v>
      </c>
      <c r="C556" s="2">
        <v>50</v>
      </c>
      <c r="E556">
        <f t="shared" si="16"/>
        <v>20</v>
      </c>
      <c r="G556" s="11" t="str">
        <f t="shared" si="17"/>
        <v>'networkprefixlength1' NVARCHAR2(50)</v>
      </c>
    </row>
    <row r="557" spans="1:7" x14ac:dyDescent="0.3">
      <c r="A557" t="s">
        <v>952</v>
      </c>
      <c r="B557" s="2" t="s">
        <v>2</v>
      </c>
      <c r="C557" s="2">
        <v>50</v>
      </c>
      <c r="E557">
        <f t="shared" si="16"/>
        <v>20</v>
      </c>
      <c r="G557" s="11" t="str">
        <f t="shared" si="17"/>
        <v>'networkprefixlength2' NVARCHAR2(50)</v>
      </c>
    </row>
    <row r="558" spans="1:7" x14ac:dyDescent="0.3">
      <c r="A558" t="s">
        <v>953</v>
      </c>
      <c r="B558" s="2" t="s">
        <v>2</v>
      </c>
      <c r="C558" s="2">
        <v>50</v>
      </c>
      <c r="E558">
        <f t="shared" si="16"/>
        <v>13</v>
      </c>
      <c r="G558" s="11" t="str">
        <f t="shared" si="17"/>
        <v>'nodebehaviour' NVARCHAR2(50)</v>
      </c>
    </row>
    <row r="559" spans="1:7" x14ac:dyDescent="0.3">
      <c r="A559" t="s">
        <v>954</v>
      </c>
      <c r="B559" s="2" t="s">
        <v>2</v>
      </c>
      <c r="C559" s="2">
        <v>50</v>
      </c>
      <c r="E559">
        <f t="shared" si="16"/>
        <v>27</v>
      </c>
      <c r="G559" s="11" t="str">
        <f t="shared" si="17"/>
        <v>'noisereductionconfiguration' NVARCHAR2(50)</v>
      </c>
    </row>
    <row r="560" spans="1:7" x14ac:dyDescent="0.3">
      <c r="A560" t="s">
        <v>955</v>
      </c>
      <c r="B560" s="2" t="s">
        <v>2</v>
      </c>
      <c r="C560" s="2">
        <v>50</v>
      </c>
      <c r="E560">
        <f t="shared" si="16"/>
        <v>18</v>
      </c>
      <c r="G560" s="11" t="str">
        <f t="shared" si="17"/>
        <v>'noisereductionmode' NVARCHAR2(50)</v>
      </c>
    </row>
    <row r="561" spans="1:7" x14ac:dyDescent="0.3">
      <c r="A561" t="s">
        <v>956</v>
      </c>
      <c r="B561" s="2" t="s">
        <v>2</v>
      </c>
      <c r="C561" s="2">
        <v>50</v>
      </c>
      <c r="E561">
        <f t="shared" si="16"/>
        <v>22</v>
      </c>
      <c r="G561" s="11" t="str">
        <f t="shared" si="17"/>
        <v>'nonlinearprocessormode' NVARCHAR2(50)</v>
      </c>
    </row>
    <row r="562" spans="1:7" x14ac:dyDescent="0.3">
      <c r="A562" t="s">
        <v>957</v>
      </c>
      <c r="B562" s="2" t="s">
        <v>2</v>
      </c>
      <c r="C562" s="2">
        <v>50</v>
      </c>
      <c r="E562">
        <f t="shared" si="16"/>
        <v>21</v>
      </c>
      <c r="G562" s="11" t="str">
        <f t="shared" si="17"/>
        <v>'noofcongestlevelforni' NVARCHAR2(50)</v>
      </c>
    </row>
    <row r="563" spans="1:7" x14ac:dyDescent="0.3">
      <c r="A563" t="s">
        <v>958</v>
      </c>
      <c r="B563" s="2" t="s">
        <v>2</v>
      </c>
      <c r="C563" s="2">
        <v>50</v>
      </c>
      <c r="E563">
        <f t="shared" si="16"/>
        <v>20</v>
      </c>
      <c r="G563" s="11" t="str">
        <f t="shared" si="17"/>
        <v>'notificationconfigid' NVARCHAR2(50)</v>
      </c>
    </row>
    <row r="564" spans="1:7" x14ac:dyDescent="0.3">
      <c r="A564" t="s">
        <v>959</v>
      </c>
      <c r="B564" s="2" t="s">
        <v>2</v>
      </c>
      <c r="C564" s="2">
        <v>50</v>
      </c>
      <c r="E564">
        <f t="shared" si="16"/>
        <v>10</v>
      </c>
      <c r="G564" s="11" t="str">
        <f t="shared" si="17"/>
        <v>'nraoipmode' NVARCHAR2(50)</v>
      </c>
    </row>
    <row r="565" spans="1:7" x14ac:dyDescent="0.3">
      <c r="A565" t="s">
        <v>960</v>
      </c>
      <c r="B565" s="2" t="s">
        <v>2</v>
      </c>
      <c r="C565" s="2">
        <v>50</v>
      </c>
      <c r="E565">
        <f t="shared" si="16"/>
        <v>8</v>
      </c>
      <c r="G565" s="11" t="str">
        <f t="shared" si="17"/>
        <v>'nriumode' NVARCHAR2(50)</v>
      </c>
    </row>
    <row r="566" spans="1:7" x14ac:dyDescent="0.3">
      <c r="A566" t="s">
        <v>961</v>
      </c>
      <c r="B566" s="2" t="s">
        <v>2</v>
      </c>
      <c r="C566" s="2">
        <v>50</v>
      </c>
      <c r="E566">
        <f t="shared" si="16"/>
        <v>6</v>
      </c>
      <c r="G566" s="11" t="str">
        <f t="shared" si="17"/>
        <v>'nrmode' NVARCHAR2(50)</v>
      </c>
    </row>
    <row r="567" spans="1:7" x14ac:dyDescent="0.3">
      <c r="A567" t="s">
        <v>962</v>
      </c>
      <c r="B567" s="2" t="s">
        <v>2</v>
      </c>
      <c r="C567" s="2">
        <v>50</v>
      </c>
      <c r="E567">
        <f t="shared" si="16"/>
        <v>11</v>
      </c>
      <c r="G567" s="11" t="str">
        <f t="shared" si="17"/>
        <v>'nrserviceid' NVARCHAR2(50)</v>
      </c>
    </row>
    <row r="568" spans="1:7" x14ac:dyDescent="0.3">
      <c r="A568" t="s">
        <v>963</v>
      </c>
      <c r="B568" s="2" t="s">
        <v>2</v>
      </c>
      <c r="C568" s="2">
        <v>50</v>
      </c>
      <c r="E568">
        <f t="shared" si="16"/>
        <v>9</v>
      </c>
      <c r="G568" s="11" t="str">
        <f t="shared" si="17"/>
        <v>'nrtdmmode' NVARCHAR2(50)</v>
      </c>
    </row>
    <row r="569" spans="1:7" x14ac:dyDescent="0.3">
      <c r="A569" t="s">
        <v>964</v>
      </c>
      <c r="B569" s="2" t="s">
        <v>2</v>
      </c>
      <c r="C569" s="2">
        <v>50</v>
      </c>
      <c r="E569">
        <f t="shared" si="16"/>
        <v>7</v>
      </c>
      <c r="G569" s="11" t="str">
        <f t="shared" si="17"/>
        <v>'ntpdscp' NVARCHAR2(50)</v>
      </c>
    </row>
    <row r="570" spans="1:7" x14ac:dyDescent="0.3">
      <c r="A570" t="s">
        <v>965</v>
      </c>
      <c r="B570" s="2" t="s">
        <v>2</v>
      </c>
      <c r="C570" s="2">
        <v>50</v>
      </c>
      <c r="E570">
        <f t="shared" si="16"/>
        <v>13</v>
      </c>
      <c r="G570" s="11" t="str">
        <f t="shared" si="17"/>
        <v>'ntpservermode' NVARCHAR2(50)</v>
      </c>
    </row>
    <row r="571" spans="1:7" x14ac:dyDescent="0.3">
      <c r="A571" t="s">
        <v>966</v>
      </c>
      <c r="B571" s="2" t="s">
        <v>2</v>
      </c>
      <c r="C571" s="2">
        <v>50</v>
      </c>
      <c r="E571">
        <f t="shared" si="16"/>
        <v>13</v>
      </c>
      <c r="G571" s="11" t="str">
        <f t="shared" si="17"/>
        <v>'numberofslots' NVARCHAR2(50)</v>
      </c>
    </row>
    <row r="572" spans="1:7" x14ac:dyDescent="0.3">
      <c r="A572" t="s">
        <v>967</v>
      </c>
      <c r="B572" s="2" t="s">
        <v>2</v>
      </c>
      <c r="C572" s="2">
        <v>50</v>
      </c>
      <c r="E572">
        <f t="shared" ref="E572:E635" si="18">LEN(A572)</f>
        <v>16</v>
      </c>
      <c r="G572" s="11" t="str">
        <f t="shared" si="17"/>
        <v>'operationalstate' NVARCHAR2(50)</v>
      </c>
    </row>
    <row r="573" spans="1:7" x14ac:dyDescent="0.3">
      <c r="A573" t="s">
        <v>403</v>
      </c>
      <c r="B573" s="2" t="s">
        <v>2</v>
      </c>
      <c r="C573" s="2">
        <v>400</v>
      </c>
      <c r="E573">
        <f t="shared" si="18"/>
        <v>17</v>
      </c>
      <c r="G573" s="11" t="str">
        <f t="shared" ref="G573:G636" si="19">_xlfn.CONCAT("'",A573,"'"," NVARCHAR2","(",C573,")","")</f>
        <v>'os155spistandbyid' NVARCHAR2(400)</v>
      </c>
    </row>
    <row r="574" spans="1:7" x14ac:dyDescent="0.3">
      <c r="A574" t="s">
        <v>404</v>
      </c>
      <c r="B574" s="2" t="s">
        <v>2</v>
      </c>
      <c r="C574" s="2">
        <v>400</v>
      </c>
      <c r="E574">
        <f t="shared" si="18"/>
        <v>17</v>
      </c>
      <c r="G574" s="11" t="str">
        <f t="shared" si="19"/>
        <v>'os155spiworkingid' NVARCHAR2(400)</v>
      </c>
    </row>
    <row r="575" spans="1:7" x14ac:dyDescent="0.3">
      <c r="A575" t="s">
        <v>968</v>
      </c>
      <c r="B575" s="2" t="s">
        <v>2</v>
      </c>
      <c r="C575" s="2">
        <v>50</v>
      </c>
      <c r="E575">
        <f t="shared" si="18"/>
        <v>13</v>
      </c>
      <c r="G575" s="11" t="str">
        <f t="shared" si="19"/>
        <v>'otpdiaproduct' NVARCHAR2(50)</v>
      </c>
    </row>
    <row r="576" spans="1:7" x14ac:dyDescent="0.3">
      <c r="A576" t="s">
        <v>969</v>
      </c>
      <c r="B576" s="2" t="s">
        <v>2</v>
      </c>
      <c r="C576" s="2">
        <v>50</v>
      </c>
      <c r="E576">
        <f t="shared" si="18"/>
        <v>11</v>
      </c>
      <c r="G576" s="11" t="str">
        <f t="shared" si="19"/>
        <v>'partialfill' NVARCHAR2(50)</v>
      </c>
    </row>
    <row r="577" spans="1:7" x14ac:dyDescent="0.3">
      <c r="A577" t="s">
        <v>970</v>
      </c>
      <c r="B577" s="2" t="s">
        <v>2</v>
      </c>
      <c r="C577" s="2">
        <v>50</v>
      </c>
      <c r="E577">
        <f t="shared" si="18"/>
        <v>28</v>
      </c>
      <c r="G577" s="11" t="str">
        <f t="shared" si="19"/>
        <v>'payloadprocessorfailuretimer' NVARCHAR2(50)</v>
      </c>
    </row>
    <row r="578" spans="1:7" x14ac:dyDescent="0.3">
      <c r="A578" t="s">
        <v>971</v>
      </c>
      <c r="B578" s="2" t="s">
        <v>2</v>
      </c>
      <c r="C578" s="2">
        <v>50</v>
      </c>
      <c r="E578">
        <f t="shared" si="18"/>
        <v>11</v>
      </c>
      <c r="G578" s="11" t="str">
        <f t="shared" si="19"/>
        <v>'pcfconfigid' NVARCHAR2(50)</v>
      </c>
    </row>
    <row r="579" spans="1:7" x14ac:dyDescent="0.3">
      <c r="A579" t="s">
        <v>972</v>
      </c>
      <c r="B579" s="2" t="s">
        <v>2</v>
      </c>
      <c r="C579" s="2">
        <v>50</v>
      </c>
      <c r="E579">
        <f t="shared" si="18"/>
        <v>12</v>
      </c>
      <c r="G579" s="11" t="str">
        <f t="shared" si="19"/>
        <v>'pcmserviceid' NVARCHAR2(50)</v>
      </c>
    </row>
    <row r="580" spans="1:7" x14ac:dyDescent="0.3">
      <c r="A580" t="s">
        <v>973</v>
      </c>
      <c r="B580" s="2" t="s">
        <v>2</v>
      </c>
      <c r="C580" s="2">
        <v>50</v>
      </c>
      <c r="E580">
        <f t="shared" si="18"/>
        <v>11</v>
      </c>
      <c r="G580" s="11" t="str">
        <f t="shared" si="19"/>
        <v>'pcmsystemnr' NVARCHAR2(50)</v>
      </c>
    </row>
    <row r="581" spans="1:7" x14ac:dyDescent="0.3">
      <c r="A581" t="s">
        <v>974</v>
      </c>
      <c r="B581" s="2" t="s">
        <v>2</v>
      </c>
      <c r="C581" s="2">
        <v>50</v>
      </c>
      <c r="E581">
        <f t="shared" si="18"/>
        <v>20</v>
      </c>
      <c r="G581" s="11" t="str">
        <f t="shared" si="19"/>
        <v>'pcscfdomainnameentry' NVARCHAR2(50)</v>
      </c>
    </row>
    <row r="582" spans="1:7" x14ac:dyDescent="0.3">
      <c r="A582" t="s">
        <v>411</v>
      </c>
      <c r="B582" s="2" t="s">
        <v>2</v>
      </c>
      <c r="C582" s="2">
        <v>400</v>
      </c>
      <c r="E582">
        <f t="shared" si="18"/>
        <v>12</v>
      </c>
      <c r="G582" s="11" t="str">
        <f t="shared" si="19"/>
        <v>'pluginunitid' NVARCHAR2(400)</v>
      </c>
    </row>
    <row r="583" spans="1:7" x14ac:dyDescent="0.3">
      <c r="A583" t="s">
        <v>975</v>
      </c>
      <c r="B583" s="2" t="s">
        <v>2</v>
      </c>
      <c r="C583" s="2">
        <v>50</v>
      </c>
      <c r="E583">
        <f t="shared" si="18"/>
        <v>4</v>
      </c>
      <c r="G583" s="11" t="str">
        <f t="shared" si="19"/>
        <v>'pool' NVARCHAR2(50)</v>
      </c>
    </row>
    <row r="584" spans="1:7" x14ac:dyDescent="0.3">
      <c r="A584" t="s">
        <v>976</v>
      </c>
      <c r="B584" s="2" t="s">
        <v>2</v>
      </c>
      <c r="C584" s="2">
        <v>50</v>
      </c>
      <c r="E584">
        <f t="shared" si="18"/>
        <v>6</v>
      </c>
      <c r="G584" s="11" t="str">
        <f t="shared" si="19"/>
        <v>'poolid' NVARCHAR2(50)</v>
      </c>
    </row>
    <row r="585" spans="1:7" x14ac:dyDescent="0.3">
      <c r="A585" t="s">
        <v>977</v>
      </c>
      <c r="B585" s="2" t="s">
        <v>2</v>
      </c>
      <c r="C585" s="2">
        <v>50</v>
      </c>
      <c r="E585">
        <f t="shared" si="18"/>
        <v>8</v>
      </c>
      <c r="G585" s="11" t="str">
        <f t="shared" si="19"/>
        <v>'priority' NVARCHAR2(50)</v>
      </c>
    </row>
    <row r="586" spans="1:7" x14ac:dyDescent="0.3">
      <c r="A586" t="s">
        <v>978</v>
      </c>
      <c r="B586" s="2" t="s">
        <v>2</v>
      </c>
      <c r="C586" s="2">
        <v>50</v>
      </c>
      <c r="E586">
        <f t="shared" si="18"/>
        <v>20</v>
      </c>
      <c r="G586" s="11" t="str">
        <f t="shared" si="19"/>
        <v>'prioritycallssupport' NVARCHAR2(50)</v>
      </c>
    </row>
    <row r="587" spans="1:7" x14ac:dyDescent="0.3">
      <c r="A587" t="s">
        <v>110</v>
      </c>
      <c r="B587" s="2" t="s">
        <v>2</v>
      </c>
      <c r="C587" s="2">
        <v>50</v>
      </c>
      <c r="E587">
        <f t="shared" si="18"/>
        <v>11</v>
      </c>
      <c r="G587" s="11" t="str">
        <f t="shared" si="19"/>
        <v>'productname' NVARCHAR2(50)</v>
      </c>
    </row>
    <row r="588" spans="1:7" x14ac:dyDescent="0.3">
      <c r="A588" t="s">
        <v>1300</v>
      </c>
      <c r="B588" s="2" t="s">
        <v>2</v>
      </c>
      <c r="C588" s="2">
        <v>50</v>
      </c>
      <c r="D588" t="s">
        <v>979</v>
      </c>
      <c r="E588">
        <f t="shared" si="18"/>
        <v>13</v>
      </c>
      <c r="G588" s="11" t="str">
        <f t="shared" si="19"/>
        <v>'rad_logstatus' NVARCHAR2(50)</v>
      </c>
    </row>
    <row r="589" spans="1:7" x14ac:dyDescent="0.3">
      <c r="A589" t="s">
        <v>980</v>
      </c>
      <c r="B589" s="2" t="s">
        <v>2</v>
      </c>
      <c r="C589" s="2">
        <v>50</v>
      </c>
      <c r="E589">
        <f t="shared" si="18"/>
        <v>14</v>
      </c>
      <c r="G589" s="11" t="str">
        <f t="shared" si="19"/>
        <v>'rdisecondarysf' NVARCHAR2(50)</v>
      </c>
    </row>
    <row r="590" spans="1:7" x14ac:dyDescent="0.3">
      <c r="A590" t="s">
        <v>981</v>
      </c>
      <c r="B590" s="2" t="s">
        <v>2</v>
      </c>
      <c r="C590" s="2">
        <v>50</v>
      </c>
      <c r="E590">
        <f t="shared" si="18"/>
        <v>18</v>
      </c>
      <c r="G590" s="11" t="str">
        <f t="shared" si="19"/>
        <v>'readonlyclassnames' NVARCHAR2(50)</v>
      </c>
    </row>
    <row r="591" spans="1:7" x14ac:dyDescent="0.3">
      <c r="A591" t="s">
        <v>982</v>
      </c>
      <c r="B591" s="2" t="s">
        <v>2</v>
      </c>
      <c r="C591" s="2">
        <v>50</v>
      </c>
      <c r="E591">
        <f t="shared" si="18"/>
        <v>17</v>
      </c>
      <c r="G591" s="11" t="str">
        <f t="shared" si="19"/>
        <v>'reassemblytimeout' NVARCHAR2(50)</v>
      </c>
    </row>
    <row r="592" spans="1:7" x14ac:dyDescent="0.3">
      <c r="A592" t="s">
        <v>983</v>
      </c>
      <c r="B592" s="2" t="s">
        <v>2</v>
      </c>
      <c r="C592" s="2">
        <v>50</v>
      </c>
      <c r="E592">
        <f t="shared" si="18"/>
        <v>16</v>
      </c>
      <c r="G592" s="11" t="str">
        <f t="shared" si="19"/>
        <v>'remotesiteprefix' NVARCHAR2(50)</v>
      </c>
    </row>
    <row r="593" spans="1:7" x14ac:dyDescent="0.3">
      <c r="A593" t="s">
        <v>984</v>
      </c>
      <c r="B593" s="2" t="s">
        <v>2</v>
      </c>
      <c r="C593" s="2">
        <v>50</v>
      </c>
      <c r="E593">
        <f t="shared" si="18"/>
        <v>16</v>
      </c>
      <c r="G593" s="11" t="str">
        <f t="shared" si="19"/>
        <v>'replicationgroup' NVARCHAR2(50)</v>
      </c>
    </row>
    <row r="594" spans="1:7" x14ac:dyDescent="0.3">
      <c r="A594" t="s">
        <v>985</v>
      </c>
      <c r="B594" s="2" t="s">
        <v>2</v>
      </c>
      <c r="C594" s="2">
        <v>50</v>
      </c>
      <c r="E594">
        <f t="shared" si="18"/>
        <v>12</v>
      </c>
      <c r="G594" s="11" t="str">
        <f t="shared" si="19"/>
        <v>'reportperiod' NVARCHAR2(50)</v>
      </c>
    </row>
    <row r="595" spans="1:7" x14ac:dyDescent="0.3">
      <c r="A595" t="s">
        <v>986</v>
      </c>
      <c r="B595" s="2" t="s">
        <v>2</v>
      </c>
      <c r="C595" s="2">
        <v>50</v>
      </c>
      <c r="E595">
        <f t="shared" si="18"/>
        <v>14</v>
      </c>
      <c r="G595" s="11" t="str">
        <f t="shared" si="19"/>
        <v>'reportprogress' NVARCHAR2(50)</v>
      </c>
    </row>
    <row r="596" spans="1:7" x14ac:dyDescent="0.3">
      <c r="A596" t="s">
        <v>987</v>
      </c>
      <c r="B596" s="2" t="s">
        <v>2</v>
      </c>
      <c r="C596" s="2">
        <v>50</v>
      </c>
      <c r="E596">
        <f t="shared" si="18"/>
        <v>17</v>
      </c>
      <c r="G596" s="11" t="str">
        <f t="shared" si="19"/>
        <v>'resendtfcinterval' NVARCHAR2(50)</v>
      </c>
    </row>
    <row r="597" spans="1:7" x14ac:dyDescent="0.3">
      <c r="A597" t="s">
        <v>421</v>
      </c>
      <c r="B597" s="2" t="s">
        <v>2</v>
      </c>
      <c r="C597" s="2">
        <v>200</v>
      </c>
      <c r="E597">
        <f t="shared" si="18"/>
        <v>10</v>
      </c>
      <c r="G597" s="11" t="str">
        <f t="shared" si="19"/>
        <v>'reservedby' NVARCHAR2(200)</v>
      </c>
    </row>
    <row r="598" spans="1:7" x14ac:dyDescent="0.3">
      <c r="A598" t="s">
        <v>988</v>
      </c>
      <c r="B598" s="2" t="s">
        <v>2</v>
      </c>
      <c r="C598" s="2">
        <v>50</v>
      </c>
      <c r="E598">
        <f t="shared" si="18"/>
        <v>25</v>
      </c>
      <c r="G598" s="11" t="str">
        <f t="shared" si="19"/>
        <v>'resourceaccesscontainerid' NVARCHAR2(50)</v>
      </c>
    </row>
    <row r="599" spans="1:7" x14ac:dyDescent="0.3">
      <c r="A599" t="s">
        <v>989</v>
      </c>
      <c r="B599" s="2" t="s">
        <v>2</v>
      </c>
      <c r="C599" s="2">
        <v>50</v>
      </c>
      <c r="E599">
        <f t="shared" si="18"/>
        <v>20</v>
      </c>
      <c r="G599" s="11" t="str">
        <f t="shared" si="19"/>
        <v>'rlpmaxretransmission' NVARCHAR2(50)</v>
      </c>
    </row>
    <row r="600" spans="1:7" x14ac:dyDescent="0.3">
      <c r="A600" t="s">
        <v>990</v>
      </c>
      <c r="B600" s="2" t="s">
        <v>2</v>
      </c>
      <c r="C600" s="2">
        <v>50</v>
      </c>
      <c r="E600">
        <f t="shared" si="18"/>
        <v>27</v>
      </c>
      <c r="G600" s="11" t="str">
        <f t="shared" si="19"/>
        <v>'rlpmultilinkwindowsizeiwfms' NVARCHAR2(50)</v>
      </c>
    </row>
    <row r="601" spans="1:7" x14ac:dyDescent="0.3">
      <c r="A601" t="s">
        <v>991</v>
      </c>
      <c r="B601" s="2" t="s">
        <v>2</v>
      </c>
      <c r="C601" s="2">
        <v>50</v>
      </c>
      <c r="E601">
        <f t="shared" si="18"/>
        <v>27</v>
      </c>
      <c r="G601" s="11" t="str">
        <f t="shared" si="19"/>
        <v>'rlpmultilinkwindowsizemsiwf' NVARCHAR2(50)</v>
      </c>
    </row>
    <row r="602" spans="1:7" x14ac:dyDescent="0.3">
      <c r="A602" t="s">
        <v>992</v>
      </c>
      <c r="B602" s="2" t="s">
        <v>2</v>
      </c>
      <c r="C602" s="2">
        <v>50</v>
      </c>
      <c r="E602">
        <f t="shared" si="18"/>
        <v>16</v>
      </c>
      <c r="G602" s="11" t="str">
        <f t="shared" si="19"/>
        <v>'rlpreseqtimert4a' NVARCHAR2(50)</v>
      </c>
    </row>
    <row r="603" spans="1:7" x14ac:dyDescent="0.3">
      <c r="A603" t="s">
        <v>993</v>
      </c>
      <c r="B603" s="2" t="s">
        <v>2</v>
      </c>
      <c r="C603" s="2">
        <v>50</v>
      </c>
      <c r="E603">
        <f t="shared" si="18"/>
        <v>16</v>
      </c>
      <c r="G603" s="11" t="str">
        <f t="shared" si="19"/>
        <v>'rlpreseqtimert4b' NVARCHAR2(50)</v>
      </c>
    </row>
    <row r="604" spans="1:7" x14ac:dyDescent="0.3">
      <c r="A604" t="s">
        <v>994</v>
      </c>
      <c r="B604" s="2" t="s">
        <v>2</v>
      </c>
      <c r="C604" s="2">
        <v>50</v>
      </c>
      <c r="E604">
        <f t="shared" si="18"/>
        <v>17</v>
      </c>
      <c r="G604" s="11" t="str">
        <f t="shared" si="19"/>
        <v>'rlpretranstimert1' NVARCHAR2(50)</v>
      </c>
    </row>
    <row r="605" spans="1:7" x14ac:dyDescent="0.3">
      <c r="A605" t="s">
        <v>995</v>
      </c>
      <c r="B605" s="2" t="s">
        <v>2</v>
      </c>
      <c r="C605" s="2">
        <v>50</v>
      </c>
      <c r="E605">
        <f t="shared" si="18"/>
        <v>11</v>
      </c>
      <c r="G605" s="11" t="str">
        <f t="shared" si="19"/>
        <v>'rlptimert1a' NVARCHAR2(50)</v>
      </c>
    </row>
    <row r="606" spans="1:7" x14ac:dyDescent="0.3">
      <c r="A606" t="s">
        <v>996</v>
      </c>
      <c r="B606" s="2" t="s">
        <v>2</v>
      </c>
      <c r="C606" s="2">
        <v>50</v>
      </c>
      <c r="E606">
        <f t="shared" si="18"/>
        <v>11</v>
      </c>
      <c r="G606" s="11" t="str">
        <f t="shared" si="19"/>
        <v>'rlptimert1b' NVARCHAR2(50)</v>
      </c>
    </row>
    <row r="607" spans="1:7" x14ac:dyDescent="0.3">
      <c r="A607" t="s">
        <v>997</v>
      </c>
      <c r="B607" s="2" t="s">
        <v>2</v>
      </c>
      <c r="C607" s="2">
        <v>50</v>
      </c>
      <c r="E607">
        <f t="shared" si="18"/>
        <v>18</v>
      </c>
      <c r="G607" s="11" t="str">
        <f t="shared" si="19"/>
        <v>'rlpwindowsizeiwfms' NVARCHAR2(50)</v>
      </c>
    </row>
    <row r="608" spans="1:7" x14ac:dyDescent="0.3">
      <c r="A608" t="s">
        <v>998</v>
      </c>
      <c r="B608" s="2" t="s">
        <v>2</v>
      </c>
      <c r="C608" s="2">
        <v>50</v>
      </c>
      <c r="E608">
        <f t="shared" si="18"/>
        <v>18</v>
      </c>
      <c r="G608" s="11" t="str">
        <f t="shared" si="19"/>
        <v>'rlpwindowsizemsiwf' NVARCHAR2(50)</v>
      </c>
    </row>
    <row r="609" spans="1:7" x14ac:dyDescent="0.3">
      <c r="A609" t="s">
        <v>999</v>
      </c>
      <c r="B609" s="2" t="s">
        <v>2</v>
      </c>
      <c r="C609" s="2">
        <v>50</v>
      </c>
      <c r="E609">
        <f t="shared" si="18"/>
        <v>18</v>
      </c>
      <c r="G609" s="11" t="str">
        <f t="shared" si="19"/>
        <v>'routeparamgrpmoref' NVARCHAR2(50)</v>
      </c>
    </row>
    <row r="610" spans="1:7" x14ac:dyDescent="0.3">
      <c r="A610" t="s">
        <v>1000</v>
      </c>
      <c r="B610" s="2" t="s">
        <v>2</v>
      </c>
      <c r="C610" s="2">
        <v>50</v>
      </c>
      <c r="E610">
        <f t="shared" si="18"/>
        <v>23</v>
      </c>
      <c r="G610" s="11" t="str">
        <f t="shared" si="19"/>
        <v>'routesetcongesttestflag' NVARCHAR2(50)</v>
      </c>
    </row>
    <row r="611" spans="1:7" x14ac:dyDescent="0.3">
      <c r="A611" t="s">
        <v>407</v>
      </c>
      <c r="B611" s="2" t="s">
        <v>2</v>
      </c>
      <c r="C611" s="2">
        <v>400</v>
      </c>
      <c r="E611">
        <f t="shared" si="18"/>
        <v>5</v>
      </c>
      <c r="G611" s="11" t="str">
        <f t="shared" si="19"/>
        <v>'rpuid' NVARCHAR2(400)</v>
      </c>
    </row>
    <row r="612" spans="1:7" x14ac:dyDescent="0.3">
      <c r="A612" t="s">
        <v>408</v>
      </c>
      <c r="B612" s="2" t="s">
        <v>2</v>
      </c>
      <c r="C612" s="2">
        <v>400</v>
      </c>
      <c r="E612">
        <f t="shared" si="18"/>
        <v>8</v>
      </c>
      <c r="G612" s="11" t="str">
        <f t="shared" si="19"/>
        <v>'rpumoref' NVARCHAR2(400)</v>
      </c>
    </row>
    <row r="613" spans="1:7" x14ac:dyDescent="0.3">
      <c r="A613" t="s">
        <v>1001</v>
      </c>
      <c r="B613" s="2" t="s">
        <v>2</v>
      </c>
      <c r="C613" s="2">
        <v>50</v>
      </c>
      <c r="E613">
        <f t="shared" si="18"/>
        <v>16</v>
      </c>
      <c r="G613" s="11" t="str">
        <f t="shared" si="19"/>
        <v>'rtprtcpserviceid' NVARCHAR2(50)</v>
      </c>
    </row>
    <row r="614" spans="1:7" x14ac:dyDescent="0.3">
      <c r="A614" t="s">
        <v>1002</v>
      </c>
      <c r="B614" s="2" t="s">
        <v>2</v>
      </c>
      <c r="C614" s="2">
        <v>50</v>
      </c>
      <c r="E614">
        <f t="shared" si="18"/>
        <v>19</v>
      </c>
      <c r="G614" s="11" t="str">
        <f t="shared" si="19"/>
        <v>'signallingpointcode' NVARCHAR2(50)</v>
      </c>
    </row>
    <row r="615" spans="1:7" x14ac:dyDescent="0.3">
      <c r="A615" t="s">
        <v>1003</v>
      </c>
      <c r="B615" s="2" t="s">
        <v>2</v>
      </c>
      <c r="C615" s="2">
        <v>50</v>
      </c>
      <c r="E615">
        <f t="shared" si="18"/>
        <v>8</v>
      </c>
      <c r="G615" s="11" t="str">
        <f t="shared" si="19"/>
        <v>'siospare' NVARCHAR2(50)</v>
      </c>
    </row>
    <row r="616" spans="1:7" x14ac:dyDescent="0.3">
      <c r="A616" t="s">
        <v>1004</v>
      </c>
      <c r="B616" s="2" t="s">
        <v>2</v>
      </c>
      <c r="C616" s="2">
        <v>50</v>
      </c>
      <c r="E616">
        <f t="shared" si="18"/>
        <v>19</v>
      </c>
      <c r="G616" s="11" t="str">
        <f t="shared" si="19"/>
        <v>'smsnotificationfrom' NVARCHAR2(50)</v>
      </c>
    </row>
    <row r="617" spans="1:7" x14ac:dyDescent="0.3">
      <c r="A617" t="s">
        <v>1005</v>
      </c>
      <c r="B617" s="2" t="s">
        <v>2</v>
      </c>
      <c r="C617" s="2">
        <v>50</v>
      </c>
      <c r="E617">
        <f t="shared" si="18"/>
        <v>10</v>
      </c>
      <c r="G617" s="11" t="str">
        <f t="shared" si="19"/>
        <v>'sppriority' NVARCHAR2(50)</v>
      </c>
    </row>
    <row r="618" spans="1:7" x14ac:dyDescent="0.3">
      <c r="A618" t="s">
        <v>1006</v>
      </c>
      <c r="B618" s="2" t="s">
        <v>2</v>
      </c>
      <c r="C618" s="2">
        <v>50</v>
      </c>
      <c r="E618">
        <f t="shared" si="18"/>
        <v>7</v>
      </c>
      <c r="G618" s="11" t="str">
        <f t="shared" si="19"/>
        <v>'sptimer' NVARCHAR2(50)</v>
      </c>
    </row>
    <row r="619" spans="1:7" x14ac:dyDescent="0.3">
      <c r="A619" t="s">
        <v>1007</v>
      </c>
      <c r="B619" s="2" t="s">
        <v>2</v>
      </c>
      <c r="C619" s="2">
        <v>50</v>
      </c>
      <c r="E619">
        <f t="shared" si="18"/>
        <v>20</v>
      </c>
      <c r="G619" s="11" t="str">
        <f t="shared" si="19"/>
        <v>'startupcontactpoints' NVARCHAR2(50)</v>
      </c>
    </row>
    <row r="620" spans="1:7" x14ac:dyDescent="0.3">
      <c r="A620" t="s">
        <v>1008</v>
      </c>
      <c r="B620" s="2" t="s">
        <v>2</v>
      </c>
      <c r="C620" s="2">
        <v>50</v>
      </c>
      <c r="E620">
        <f t="shared" si="18"/>
        <v>17</v>
      </c>
      <c r="G620" s="11" t="str">
        <f t="shared" si="19"/>
        <v>'statusindinterval' NVARCHAR2(50)</v>
      </c>
    </row>
    <row r="621" spans="1:7" x14ac:dyDescent="0.3">
      <c r="A621" t="s">
        <v>779</v>
      </c>
      <c r="B621" s="2" t="s">
        <v>2</v>
      </c>
      <c r="C621" s="2">
        <v>100</v>
      </c>
      <c r="E621">
        <f t="shared" si="18"/>
        <v>18</v>
      </c>
      <c r="G621" s="11" t="str">
        <f t="shared" si="19"/>
        <v>'sub_func_area_name' NVARCHAR2(100)</v>
      </c>
    </row>
    <row r="622" spans="1:7" x14ac:dyDescent="0.3">
      <c r="A622" t="s">
        <v>1009</v>
      </c>
      <c r="B622" s="2" t="s">
        <v>2</v>
      </c>
      <c r="C622" s="2">
        <v>50</v>
      </c>
      <c r="E622">
        <f t="shared" si="18"/>
        <v>9</v>
      </c>
      <c r="G622" s="11" t="str">
        <f t="shared" si="19"/>
        <v>'subrackid' NVARCHAR2(50)</v>
      </c>
    </row>
    <row r="623" spans="1:7" x14ac:dyDescent="0.3">
      <c r="A623" t="s">
        <v>1010</v>
      </c>
      <c r="B623" s="2" t="s">
        <v>2</v>
      </c>
      <c r="C623" s="2">
        <v>50</v>
      </c>
      <c r="E623">
        <f t="shared" si="18"/>
        <v>13</v>
      </c>
      <c r="G623" s="11" t="str">
        <f t="shared" si="19"/>
        <v>'subracknumber' NVARCHAR2(50)</v>
      </c>
    </row>
    <row r="624" spans="1:7" x14ac:dyDescent="0.3">
      <c r="A624" t="s">
        <v>1011</v>
      </c>
      <c r="B624" s="2" t="s">
        <v>2</v>
      </c>
      <c r="C624" s="2">
        <v>50</v>
      </c>
      <c r="E624">
        <f t="shared" si="18"/>
        <v>15</v>
      </c>
      <c r="G624" s="11" t="str">
        <f t="shared" si="19"/>
        <v>'subrackposition' NVARCHAR2(50)</v>
      </c>
    </row>
    <row r="625" spans="1:7" x14ac:dyDescent="0.3">
      <c r="A625" t="s">
        <v>414</v>
      </c>
      <c r="B625" s="2" t="s">
        <v>2</v>
      </c>
      <c r="C625" s="2">
        <v>400</v>
      </c>
      <c r="E625">
        <f t="shared" si="18"/>
        <v>18</v>
      </c>
      <c r="G625" s="11" t="str">
        <f t="shared" si="19"/>
        <v>'subrackprodtyperef' NVARCHAR2(400)</v>
      </c>
    </row>
    <row r="626" spans="1:7" x14ac:dyDescent="0.3">
      <c r="A626" t="s">
        <v>1012</v>
      </c>
      <c r="B626" s="2" t="s">
        <v>2</v>
      </c>
      <c r="C626" s="2">
        <v>50</v>
      </c>
      <c r="E626">
        <f t="shared" si="18"/>
        <v>11</v>
      </c>
      <c r="G626" s="11" t="str">
        <f t="shared" si="19"/>
        <v>'subracktype' NVARCHAR2(50)</v>
      </c>
    </row>
    <row r="627" spans="1:7" x14ac:dyDescent="0.3">
      <c r="A627" t="s">
        <v>418</v>
      </c>
      <c r="B627" s="2" t="s">
        <v>2</v>
      </c>
      <c r="C627" s="2">
        <v>200</v>
      </c>
      <c r="E627">
        <f t="shared" si="18"/>
        <v>12</v>
      </c>
      <c r="G627" s="11" t="str">
        <f t="shared" si="19"/>
        <v>'switchmodule' NVARCHAR2(200)</v>
      </c>
    </row>
    <row r="628" spans="1:7" x14ac:dyDescent="0.3">
      <c r="A628" t="s">
        <v>419</v>
      </c>
      <c r="B628" s="2" t="s">
        <v>2</v>
      </c>
      <c r="C628" s="2">
        <v>200</v>
      </c>
      <c r="E628">
        <f t="shared" si="18"/>
        <v>19</v>
      </c>
      <c r="G628" s="11" t="str">
        <f t="shared" si="19"/>
        <v>'switchmodulenumber1' NVARCHAR2(200)</v>
      </c>
    </row>
    <row r="629" spans="1:7" x14ac:dyDescent="0.3">
      <c r="A629" t="s">
        <v>420</v>
      </c>
      <c r="B629" s="2" t="s">
        <v>2</v>
      </c>
      <c r="C629" s="2">
        <v>200</v>
      </c>
      <c r="E629">
        <f t="shared" si="18"/>
        <v>19</v>
      </c>
      <c r="G629" s="11" t="str">
        <f t="shared" si="19"/>
        <v>'switchmodulenumber2' NVARCHAR2(200)</v>
      </c>
    </row>
    <row r="630" spans="1:7" x14ac:dyDescent="0.3">
      <c r="A630" t="s">
        <v>1013</v>
      </c>
      <c r="B630" s="2" t="s">
        <v>2</v>
      </c>
      <c r="C630" s="2">
        <v>50</v>
      </c>
      <c r="E630">
        <f t="shared" si="18"/>
        <v>12</v>
      </c>
      <c r="G630" s="11" t="str">
        <f t="shared" si="19"/>
        <v>'tdmtermgrpid' NVARCHAR2(50)</v>
      </c>
    </row>
    <row r="631" spans="1:7" x14ac:dyDescent="0.3">
      <c r="A631" t="s">
        <v>417</v>
      </c>
      <c r="B631" s="2" t="s">
        <v>2</v>
      </c>
      <c r="C631" s="2">
        <v>200</v>
      </c>
      <c r="E631">
        <f t="shared" si="18"/>
        <v>13</v>
      </c>
      <c r="G631" s="11" t="str">
        <f t="shared" si="19"/>
        <v>'tdmtermgrpmos' NVARCHAR2(200)</v>
      </c>
    </row>
    <row r="632" spans="1:7" x14ac:dyDescent="0.3">
      <c r="A632" t="s">
        <v>1014</v>
      </c>
      <c r="B632" s="2" t="s">
        <v>2</v>
      </c>
      <c r="C632" s="2">
        <v>50</v>
      </c>
      <c r="E632">
        <f t="shared" si="18"/>
        <v>15</v>
      </c>
      <c r="G632" s="11" t="str">
        <f t="shared" si="19"/>
        <v>'testpatternsltm' NVARCHAR2(50)</v>
      </c>
    </row>
    <row r="633" spans="1:7" x14ac:dyDescent="0.3">
      <c r="A633" t="s">
        <v>1015</v>
      </c>
      <c r="B633" s="2" t="s">
        <v>2</v>
      </c>
      <c r="C633" s="2">
        <v>50</v>
      </c>
      <c r="E633">
        <f t="shared" si="18"/>
        <v>12</v>
      </c>
      <c r="G633" s="11" t="str">
        <f t="shared" si="19"/>
        <v>'tfoserviceid' NVARCHAR2(50)</v>
      </c>
    </row>
    <row r="634" spans="1:7" x14ac:dyDescent="0.3">
      <c r="A634" t="s">
        <v>1016</v>
      </c>
      <c r="B634" s="2" t="s">
        <v>2</v>
      </c>
      <c r="C634" s="2">
        <v>50</v>
      </c>
      <c r="E634">
        <f t="shared" si="18"/>
        <v>24</v>
      </c>
      <c r="G634" s="11" t="str">
        <f t="shared" si="19"/>
        <v>'tonedisablerhangovermode' NVARCHAR2(50)</v>
      </c>
    </row>
    <row r="635" spans="1:7" x14ac:dyDescent="0.3">
      <c r="A635" t="s">
        <v>1017</v>
      </c>
      <c r="B635" s="2" t="s">
        <v>2</v>
      </c>
      <c r="C635" s="2">
        <v>50</v>
      </c>
      <c r="E635">
        <f t="shared" si="18"/>
        <v>16</v>
      </c>
      <c r="G635" s="11" t="str">
        <f t="shared" si="19"/>
        <v>'tonedisablermode' NVARCHAR2(50)</v>
      </c>
    </row>
    <row r="636" spans="1:7" x14ac:dyDescent="0.3">
      <c r="A636" t="s">
        <v>1018</v>
      </c>
      <c r="B636" s="2" t="s">
        <v>2</v>
      </c>
      <c r="C636" s="2">
        <v>50</v>
      </c>
      <c r="E636">
        <f t="shared" ref="E636:E805" si="20">LEN(A636)</f>
        <v>14</v>
      </c>
      <c r="G636" s="11" t="str">
        <f t="shared" si="19"/>
        <v>'transfrhandler' NVARCHAR2(50)</v>
      </c>
    </row>
    <row r="637" spans="1:7" x14ac:dyDescent="0.3">
      <c r="A637" t="s">
        <v>1019</v>
      </c>
      <c r="B637" s="2" t="s">
        <v>2</v>
      </c>
      <c r="C637" s="2">
        <v>50</v>
      </c>
      <c r="E637">
        <f t="shared" si="20"/>
        <v>23</v>
      </c>
      <c r="G637" s="11" t="str">
        <f t="shared" ref="G637:G646" si="21">_xlfn.CONCAT("'",A637,"'"," NVARCHAR2","(",C637,")","")</f>
        <v>'udiasynctransgsmsupport' NVARCHAR2(50)</v>
      </c>
    </row>
    <row r="638" spans="1:7" x14ac:dyDescent="0.3">
      <c r="A638" t="s">
        <v>1020</v>
      </c>
      <c r="B638" s="2" t="s">
        <v>2</v>
      </c>
      <c r="C638" s="2">
        <v>50</v>
      </c>
      <c r="E638">
        <f t="shared" si="20"/>
        <v>9</v>
      </c>
      <c r="G638" s="11" t="str">
        <f t="shared" si="21"/>
        <v>'uetraceid' NVARCHAR2(50)</v>
      </c>
    </row>
    <row r="639" spans="1:7" x14ac:dyDescent="0.3">
      <c r="A639" t="s">
        <v>1021</v>
      </c>
      <c r="B639" s="2" t="s">
        <v>2</v>
      </c>
      <c r="C639" s="2">
        <v>50</v>
      </c>
      <c r="E639">
        <f t="shared" si="20"/>
        <v>4</v>
      </c>
      <c r="G639" s="11" t="str">
        <f t="shared" si="21"/>
        <v>'user' NVARCHAR2(50)</v>
      </c>
    </row>
    <row r="640" spans="1:7" x14ac:dyDescent="0.3">
      <c r="A640" t="s">
        <v>1022</v>
      </c>
      <c r="B640" s="2" t="s">
        <v>2</v>
      </c>
      <c r="C640" s="2">
        <v>50</v>
      </c>
      <c r="E640">
        <f t="shared" si="20"/>
        <v>17</v>
      </c>
      <c r="G640" s="11" t="str">
        <f t="shared" si="21"/>
        <v>'usesgwmgmtmapping' NVARCHAR2(50)</v>
      </c>
    </row>
    <row r="641" spans="1:8" x14ac:dyDescent="0.3">
      <c r="A641" t="s">
        <v>1023</v>
      </c>
      <c r="B641" s="2" t="s">
        <v>2</v>
      </c>
      <c r="C641" s="2">
        <v>50</v>
      </c>
      <c r="E641">
        <f t="shared" si="20"/>
        <v>8</v>
      </c>
      <c r="G641" s="11" t="str">
        <f t="shared" si="21"/>
        <v>'vendorid' NVARCHAR2(50)</v>
      </c>
    </row>
    <row r="642" spans="1:8" x14ac:dyDescent="0.3">
      <c r="A642" t="s">
        <v>1024</v>
      </c>
      <c r="B642" s="2" t="s">
        <v>2</v>
      </c>
      <c r="C642" s="2">
        <v>50</v>
      </c>
      <c r="E642">
        <f t="shared" si="20"/>
        <v>7</v>
      </c>
      <c r="G642" s="11" t="str">
        <f t="shared" si="21"/>
        <v>'version' NVARCHAR2(50)</v>
      </c>
    </row>
    <row r="643" spans="1:8" x14ac:dyDescent="0.3">
      <c r="A643" t="s">
        <v>1025</v>
      </c>
      <c r="B643" s="2" t="s">
        <v>2</v>
      </c>
      <c r="C643" s="2">
        <v>50</v>
      </c>
      <c r="E643">
        <f t="shared" si="20"/>
        <v>6</v>
      </c>
      <c r="G643" s="11" t="str">
        <f t="shared" si="21"/>
        <v>'vmgwid' NVARCHAR2(50)</v>
      </c>
    </row>
    <row r="644" spans="1:8" x14ac:dyDescent="0.3">
      <c r="A644" t="s">
        <v>1026</v>
      </c>
      <c r="B644" s="2" t="s">
        <v>2</v>
      </c>
      <c r="C644" s="2">
        <v>50</v>
      </c>
      <c r="E644">
        <f t="shared" si="20"/>
        <v>25</v>
      </c>
      <c r="G644" s="11" t="str">
        <f t="shared" si="21"/>
        <v>'vmidinalarmadditionaltext' NVARCHAR2(50)</v>
      </c>
    </row>
    <row r="645" spans="1:8" x14ac:dyDescent="0.3">
      <c r="A645" t="s">
        <v>1027</v>
      </c>
      <c r="B645" s="2" t="s">
        <v>2</v>
      </c>
      <c r="C645" s="2">
        <v>50</v>
      </c>
      <c r="E645">
        <f t="shared" si="20"/>
        <v>9</v>
      </c>
      <c r="G645" s="11" t="str">
        <f t="shared" si="21"/>
        <v>'vpp1moref' NVARCHAR2(50)</v>
      </c>
    </row>
    <row r="646" spans="1:8" x14ac:dyDescent="0.3">
      <c r="A646" t="s">
        <v>1028</v>
      </c>
      <c r="B646" s="2" t="s">
        <v>2</v>
      </c>
      <c r="C646" s="2">
        <v>50</v>
      </c>
      <c r="E646">
        <f t="shared" si="20"/>
        <v>9</v>
      </c>
      <c r="G646" s="11" t="str">
        <f t="shared" si="21"/>
        <v>'vpp2moref' NVARCHAR2(50)</v>
      </c>
    </row>
    <row r="647" spans="1:8" x14ac:dyDescent="0.3">
      <c r="B647" s="2"/>
      <c r="C647" s="2"/>
      <c r="G647" s="11"/>
    </row>
    <row r="648" spans="1:8" x14ac:dyDescent="0.3">
      <c r="A648" t="s">
        <v>1329</v>
      </c>
      <c r="B648" s="2" t="s">
        <v>2</v>
      </c>
      <c r="C648" s="2">
        <v>400</v>
      </c>
      <c r="E648">
        <f t="shared" si="20"/>
        <v>15</v>
      </c>
      <c r="G648" s="11"/>
      <c r="H648" t="b">
        <f>Subfuncationarea2!K1=CONCATENATE("ALTER TABLE subfunctionarea ADD ",A648," nvarchar2(",C648,");")</f>
        <v>0</v>
      </c>
    </row>
    <row r="649" spans="1:8" x14ac:dyDescent="0.3">
      <c r="A649" t="s">
        <v>1330</v>
      </c>
      <c r="B649" s="2" t="s">
        <v>2</v>
      </c>
      <c r="C649" s="2">
        <v>400</v>
      </c>
      <c r="E649">
        <f t="shared" si="20"/>
        <v>17</v>
      </c>
      <c r="G649" s="11"/>
      <c r="H649" t="str">
        <f>CONCATENATE("ALTER TABLE subfunctionarea ADD ",A649," nvarchar2(",C649,");")</f>
        <v>ALTER TABLE subfunctionarea ADD piubackupidentity nvarchar2(400);</v>
      </c>
    </row>
    <row r="650" spans="1:8" x14ac:dyDescent="0.3">
      <c r="A650" t="s">
        <v>1331</v>
      </c>
      <c r="B650" s="2" t="s">
        <v>2</v>
      </c>
      <c r="C650" s="2">
        <v>50</v>
      </c>
      <c r="E650">
        <f t="shared" si="20"/>
        <v>12</v>
      </c>
      <c r="G650" s="11"/>
      <c r="H650" t="str">
        <f t="shared" ref="H649:H712" si="22">CONCATENATE("ALTER TABLE subfunctionarea ADD ",A650," nvarchar2(",C650,");")</f>
        <v>ALTER TABLE subfunctionarea ADD imstreamerid nvarchar2(50);</v>
      </c>
    </row>
    <row r="651" spans="1:8" x14ac:dyDescent="0.3">
      <c r="A651" t="s">
        <v>1332</v>
      </c>
      <c r="B651" s="2" t="s">
        <v>2</v>
      </c>
      <c r="C651" s="2">
        <v>400</v>
      </c>
      <c r="E651">
        <f t="shared" si="20"/>
        <v>11</v>
      </c>
      <c r="G651" s="11"/>
      <c r="H651" t="str">
        <f t="shared" si="22"/>
        <v>ALTER TABLE subfunctionarea ADD piuidentity nvarchar2(400);</v>
      </c>
    </row>
    <row r="652" spans="1:8" x14ac:dyDescent="0.3">
      <c r="A652" t="s">
        <v>1333</v>
      </c>
      <c r="B652" s="2" t="s">
        <v>2</v>
      </c>
      <c r="C652" s="2">
        <v>200</v>
      </c>
      <c r="E652">
        <f t="shared" si="20"/>
        <v>12</v>
      </c>
      <c r="G652" s="11"/>
      <c r="H652" t="str">
        <f t="shared" si="22"/>
        <v>ALTER TABLE subfunctionarea ADD lapdrpumoref nvarchar2(200);</v>
      </c>
    </row>
    <row r="653" spans="1:8" x14ac:dyDescent="0.3">
      <c r="A653" t="s">
        <v>1334</v>
      </c>
      <c r="B653" s="2" t="s">
        <v>2</v>
      </c>
      <c r="C653" s="2">
        <v>50</v>
      </c>
      <c r="E653">
        <f t="shared" si="20"/>
        <v>6</v>
      </c>
      <c r="G653" s="11"/>
      <c r="H653" t="str">
        <f t="shared" si="22"/>
        <v>ALTER TABLE subfunctionarea ADD lapdid nvarchar2(50);</v>
      </c>
    </row>
    <row r="654" spans="1:8" x14ac:dyDescent="0.3">
      <c r="A654" t="s">
        <v>1335</v>
      </c>
      <c r="B654" s="2" t="s">
        <v>2</v>
      </c>
      <c r="C654" s="2">
        <v>50</v>
      </c>
      <c r="E654">
        <f t="shared" si="20"/>
        <v>3</v>
      </c>
      <c r="G654" s="11"/>
      <c r="H654" t="str">
        <f t="shared" si="22"/>
        <v>ALTER TABLE subfunctionarea ADD vid nvarchar2(50);</v>
      </c>
    </row>
    <row r="655" spans="1:8" x14ac:dyDescent="0.3">
      <c r="A655" t="s">
        <v>1336</v>
      </c>
      <c r="B655" s="2" t="s">
        <v>2</v>
      </c>
      <c r="C655" s="2">
        <v>50</v>
      </c>
      <c r="E655">
        <f t="shared" si="20"/>
        <v>8</v>
      </c>
      <c r="G655" s="11"/>
      <c r="H655" t="str">
        <f t="shared" si="22"/>
        <v>ALTER TABLE subfunctionarea ADD vlantype nvarchar2(50);</v>
      </c>
    </row>
    <row r="656" spans="1:8" x14ac:dyDescent="0.3">
      <c r="A656" t="s">
        <v>1337</v>
      </c>
      <c r="B656" s="2" t="s">
        <v>2</v>
      </c>
      <c r="C656" s="2">
        <v>50</v>
      </c>
      <c r="E656">
        <f t="shared" si="20"/>
        <v>6</v>
      </c>
      <c r="G656" s="11"/>
      <c r="H656" t="str">
        <f t="shared" si="22"/>
        <v>ALTER TABLE subfunctionarea ADD vlanid nvarchar2(50);</v>
      </c>
    </row>
    <row r="657" spans="1:8" x14ac:dyDescent="0.3">
      <c r="A657" t="s">
        <v>1338</v>
      </c>
      <c r="B657" s="2" t="s">
        <v>2</v>
      </c>
      <c r="C657" s="2">
        <v>50</v>
      </c>
      <c r="E657">
        <f t="shared" si="20"/>
        <v>15</v>
      </c>
      <c r="G657" s="11"/>
      <c r="H657" t="str">
        <f t="shared" si="22"/>
        <v>ALTER TABLE subfunctionarea ADD otherloadername nvarchar2(50);</v>
      </c>
    </row>
    <row r="658" spans="1:8" x14ac:dyDescent="0.3">
      <c r="A658" t="s">
        <v>1339</v>
      </c>
      <c r="B658" s="2" t="s">
        <v>2</v>
      </c>
      <c r="C658" s="2">
        <v>50</v>
      </c>
      <c r="E658">
        <f t="shared" si="20"/>
        <v>16</v>
      </c>
      <c r="G658" s="11"/>
      <c r="H658" t="str">
        <f t="shared" si="22"/>
        <v>ALTER TABLE subfunctionarea ADD deviceloadername nvarchar2(50);</v>
      </c>
    </row>
    <row r="659" spans="1:8" x14ac:dyDescent="0.3">
      <c r="A659" t="s">
        <v>1340</v>
      </c>
      <c r="B659" s="2" t="s">
        <v>2</v>
      </c>
      <c r="C659" s="2">
        <v>50</v>
      </c>
      <c r="E659">
        <f t="shared" si="20"/>
        <v>12</v>
      </c>
      <c r="G659" s="11"/>
      <c r="H659" t="str">
        <f t="shared" si="22"/>
        <v>ALTER TABLE subfunctionarea ADD loadmoduleid nvarchar2(50);</v>
      </c>
    </row>
    <row r="660" spans="1:8" x14ac:dyDescent="0.3">
      <c r="A660" t="s">
        <v>1341</v>
      </c>
      <c r="B660" s="2" t="s">
        <v>2</v>
      </c>
      <c r="C660" s="2">
        <v>50</v>
      </c>
      <c r="E660">
        <f t="shared" si="20"/>
        <v>10</v>
      </c>
      <c r="G660" s="11"/>
      <c r="H660" t="str">
        <f t="shared" si="22"/>
        <v>ALTER TABLE subfunctionarea ADD issignedsw nvarchar2(50);</v>
      </c>
    </row>
    <row r="661" spans="1:8" x14ac:dyDescent="0.3">
      <c r="A661" t="s">
        <v>1342</v>
      </c>
      <c r="B661" s="2" t="s">
        <v>2</v>
      </c>
      <c r="C661" s="2">
        <v>50</v>
      </c>
      <c r="E661">
        <f t="shared" si="20"/>
        <v>11</v>
      </c>
      <c r="G661" s="11"/>
      <c r="H661" t="str">
        <f t="shared" si="22"/>
        <v>ALTER TABLE subfunctionarea ADD productdata nvarchar2(50);</v>
      </c>
    </row>
    <row r="662" spans="1:8" x14ac:dyDescent="0.3">
      <c r="A662" t="s">
        <v>1343</v>
      </c>
      <c r="B662" s="2" t="s">
        <v>2</v>
      </c>
      <c r="C662" s="2">
        <v>200</v>
      </c>
      <c r="E662">
        <f t="shared" si="20"/>
        <v>18</v>
      </c>
      <c r="G662" s="11"/>
      <c r="H662" t="str">
        <f t="shared" si="22"/>
        <v>ALTER TABLE subfunctionarea ADD loadmodulefilepath nvarchar2(200);</v>
      </c>
    </row>
    <row r="663" spans="1:8" x14ac:dyDescent="0.3">
      <c r="A663" t="s">
        <v>1344</v>
      </c>
      <c r="B663" s="2" t="s">
        <v>2</v>
      </c>
      <c r="C663" s="2">
        <v>50</v>
      </c>
      <c r="E663">
        <f t="shared" si="20"/>
        <v>22</v>
      </c>
      <c r="G663" s="11"/>
      <c r="H663" t="str">
        <f t="shared" si="22"/>
        <v>ALTER TABLE subfunctionarea ADD programmustbesingleton nvarchar2(50);</v>
      </c>
    </row>
    <row r="664" spans="1:8" x14ac:dyDescent="0.3">
      <c r="A664" t="s">
        <v>1345</v>
      </c>
      <c r="B664" s="2" t="s">
        <v>2</v>
      </c>
      <c r="C664" s="2">
        <v>200</v>
      </c>
      <c r="E664">
        <f t="shared" si="20"/>
        <v>14</v>
      </c>
      <c r="G664" s="11"/>
      <c r="H664" t="str">
        <f t="shared" si="22"/>
        <v>ALTER TABLE subfunctionarea ADD moppletentries nvarchar2(200);</v>
      </c>
    </row>
    <row r="665" spans="1:8" x14ac:dyDescent="0.3">
      <c r="A665" t="s">
        <v>1346</v>
      </c>
      <c r="B665" s="2" t="s">
        <v>2</v>
      </c>
      <c r="C665" s="2">
        <v>50</v>
      </c>
      <c r="E665">
        <f t="shared" si="20"/>
        <v>23</v>
      </c>
      <c r="G665" s="11"/>
      <c r="H665" t="str">
        <f t="shared" si="22"/>
        <v>ALTER TABLE subfunctionarea ADD deviceloaderinformation nvarchar2(50);</v>
      </c>
    </row>
    <row r="666" spans="1:8" x14ac:dyDescent="0.3">
      <c r="A666" t="s">
        <v>1347</v>
      </c>
      <c r="B666" s="2" t="s">
        <v>2</v>
      </c>
      <c r="C666" s="2">
        <v>50</v>
      </c>
      <c r="E666">
        <f t="shared" si="20"/>
        <v>9</v>
      </c>
      <c r="G666" s="11"/>
      <c r="H666" t="str">
        <f t="shared" si="22"/>
        <v>ALTER TABLE subfunctionarea ADD filestate nvarchar2(50);</v>
      </c>
    </row>
    <row r="667" spans="1:8" x14ac:dyDescent="0.3">
      <c r="A667" t="s">
        <v>1348</v>
      </c>
      <c r="B667" s="2" t="s">
        <v>2</v>
      </c>
      <c r="C667" s="2">
        <v>50</v>
      </c>
      <c r="E667">
        <f t="shared" si="20"/>
        <v>19</v>
      </c>
      <c r="G667" s="11"/>
      <c r="H667" t="str">
        <f t="shared" si="22"/>
        <v>ALTER TABLE subfunctionarea ADD oseprogramloadclass nvarchar2(50);</v>
      </c>
    </row>
    <row r="668" spans="1:8" x14ac:dyDescent="0.3">
      <c r="A668" t="s">
        <v>1349</v>
      </c>
      <c r="B668" s="2" t="s">
        <v>2</v>
      </c>
      <c r="C668" s="2">
        <v>50</v>
      </c>
      <c r="E668">
        <f t="shared" si="20"/>
        <v>20</v>
      </c>
      <c r="G668" s="11"/>
      <c r="H668" t="str">
        <f t="shared" si="22"/>
        <v>ALTER TABLE subfunctionarea ADD reliableprogramlabel nvarchar2(50);</v>
      </c>
    </row>
    <row r="669" spans="1:8" x14ac:dyDescent="0.3">
      <c r="A669" t="s">
        <v>1350</v>
      </c>
      <c r="B669" s="2" t="s">
        <v>2</v>
      </c>
      <c r="C669" s="2">
        <v>50</v>
      </c>
      <c r="E669">
        <f t="shared" si="20"/>
        <v>18</v>
      </c>
      <c r="G669" s="11"/>
      <c r="H669" t="str">
        <f t="shared" si="22"/>
        <v>ALTER TABLE subfunctionarea ADD oseprogramheapsize nvarchar2(50);</v>
      </c>
    </row>
    <row r="670" spans="1:8" x14ac:dyDescent="0.3">
      <c r="A670" t="s">
        <v>1351</v>
      </c>
      <c r="B670" s="2" t="s">
        <v>2</v>
      </c>
      <c r="C670" s="2">
        <v>50</v>
      </c>
      <c r="E670">
        <f t="shared" si="20"/>
        <v>7</v>
      </c>
      <c r="G670" s="11"/>
      <c r="H670" t="str">
        <f t="shared" si="22"/>
        <v>ALTER TABLE subfunctionarea ADD preload nvarchar2(50);</v>
      </c>
    </row>
    <row r="671" spans="1:8" x14ac:dyDescent="0.3">
      <c r="A671" t="s">
        <v>1352</v>
      </c>
      <c r="B671" s="2" t="s">
        <v>2</v>
      </c>
      <c r="C671" s="2">
        <v>50</v>
      </c>
      <c r="E671">
        <f t="shared" si="20"/>
        <v>10</v>
      </c>
      <c r="G671" s="11"/>
      <c r="H671" t="str">
        <f t="shared" si="22"/>
        <v>ALTER TABLE subfunctionarea ADD loadertype nvarchar2(50);</v>
      </c>
    </row>
    <row r="672" spans="1:8" x14ac:dyDescent="0.3">
      <c r="A672" t="s">
        <v>1353</v>
      </c>
      <c r="B672" s="2" t="s">
        <v>2</v>
      </c>
      <c r="C672" s="2">
        <v>50</v>
      </c>
      <c r="E672">
        <f t="shared" si="20"/>
        <v>11</v>
      </c>
      <c r="G672" s="11"/>
      <c r="H672" t="str">
        <f t="shared" si="22"/>
        <v>ALTER TABLE subfunctionarea ADD isdirectory nvarchar2(50);</v>
      </c>
    </row>
    <row r="673" spans="1:8" x14ac:dyDescent="0.3">
      <c r="A673" t="s">
        <v>1354</v>
      </c>
      <c r="B673" s="2" t="s">
        <v>2</v>
      </c>
      <c r="C673" s="2">
        <v>50</v>
      </c>
      <c r="E673">
        <f t="shared" si="20"/>
        <v>10</v>
      </c>
      <c r="G673" s="11"/>
      <c r="H673" t="str">
        <f t="shared" si="22"/>
        <v>ALTER TABLE subfunctionarea ADD fileformat nvarchar2(50);</v>
      </c>
    </row>
    <row r="674" spans="1:8" x14ac:dyDescent="0.3">
      <c r="A674" t="s">
        <v>1355</v>
      </c>
      <c r="B674" s="2" t="s">
        <v>2</v>
      </c>
      <c r="C674" s="2">
        <v>50</v>
      </c>
      <c r="E674">
        <f t="shared" si="20"/>
        <v>17</v>
      </c>
      <c r="G674" s="11"/>
      <c r="H674" t="str">
        <f t="shared" si="22"/>
        <v>ALTER TABLE subfunctionarea ADD oseprogrampoolsiz nvarchar2(50);</v>
      </c>
    </row>
    <row r="675" spans="1:8" x14ac:dyDescent="0.3">
      <c r="A675" t="s">
        <v>1358</v>
      </c>
      <c r="B675" s="2" t="s">
        <v>2</v>
      </c>
      <c r="C675" s="2">
        <v>200</v>
      </c>
      <c r="E675">
        <f t="shared" si="20"/>
        <v>21</v>
      </c>
      <c r="G675" s="11"/>
      <c r="H675" t="str">
        <f t="shared" si="22"/>
        <v>ALTER TABLE subfunctionarea ADD upfilepathonftpserver nvarchar2(200);</v>
      </c>
    </row>
    <row r="676" spans="1:8" x14ac:dyDescent="0.3">
      <c r="A676" t="s">
        <v>1357</v>
      </c>
      <c r="B676" s="2" t="s">
        <v>2</v>
      </c>
      <c r="C676" s="2">
        <v>200</v>
      </c>
      <c r="E676">
        <f t="shared" si="20"/>
        <v>15</v>
      </c>
      <c r="G676" s="11"/>
      <c r="H676" t="str">
        <f t="shared" si="22"/>
        <v>ALTER TABLE subfunctionarea ADD origucfchecksum nvarchar2(200);</v>
      </c>
    </row>
    <row r="677" spans="1:8" x14ac:dyDescent="0.3">
      <c r="A677" t="s">
        <v>1356</v>
      </c>
      <c r="B677" s="2" t="s">
        <v>2</v>
      </c>
      <c r="C677" s="2">
        <v>200</v>
      </c>
      <c r="E677">
        <f t="shared" si="20"/>
        <v>11</v>
      </c>
      <c r="G677" s="11"/>
      <c r="H677" t="str">
        <f t="shared" si="22"/>
        <v>ALTER TABLE subfunctionarea ADD ucfchecksum nvarchar2(200);</v>
      </c>
    </row>
    <row r="678" spans="1:8" x14ac:dyDescent="0.3">
      <c r="A678" t="s">
        <v>1359</v>
      </c>
      <c r="B678" s="2" t="s">
        <v>2</v>
      </c>
      <c r="C678" s="2">
        <v>50</v>
      </c>
      <c r="E678">
        <f t="shared" si="20"/>
        <v>11</v>
      </c>
      <c r="G678" s="11"/>
      <c r="H678" t="str">
        <f t="shared" si="22"/>
        <v>ALTER TABLE subfunctionarea ADD replication nvarchar2(50);</v>
      </c>
    </row>
    <row r="679" spans="1:8" x14ac:dyDescent="0.3">
      <c r="A679" t="s">
        <v>1360</v>
      </c>
      <c r="B679" s="2" t="s">
        <v>2</v>
      </c>
      <c r="C679" s="2">
        <v>200</v>
      </c>
      <c r="E679">
        <f t="shared" si="20"/>
        <v>13</v>
      </c>
      <c r="G679" s="11"/>
      <c r="H679" t="str">
        <f t="shared" si="22"/>
        <v>ALTER TABLE subfunctionarea ADD admactiveslot nvarchar2(200);</v>
      </c>
    </row>
    <row r="680" spans="1:8" x14ac:dyDescent="0.3">
      <c r="A680" t="s">
        <v>1361</v>
      </c>
      <c r="B680" s="2" t="s">
        <v>2</v>
      </c>
      <c r="C680" s="2">
        <v>50</v>
      </c>
      <c r="E680">
        <f t="shared" si="20"/>
        <v>10</v>
      </c>
      <c r="G680" s="11"/>
      <c r="H680" t="str">
        <f t="shared" si="22"/>
        <v>ALTER TABLE subfunctionarea ADD switchover nvarchar2(50);</v>
      </c>
    </row>
    <row r="681" spans="1:8" x14ac:dyDescent="0.3">
      <c r="A681" t="s">
        <v>1362</v>
      </c>
      <c r="B681" s="2" t="s">
        <v>2</v>
      </c>
      <c r="C681" s="2">
        <v>50</v>
      </c>
      <c r="E681">
        <f t="shared" si="20"/>
        <v>13</v>
      </c>
      <c r="G681" s="11"/>
      <c r="H681" t="str">
        <f t="shared" si="22"/>
        <v>ALTER TABLE subfunctionarea ADD normalisation nvarchar2(50);</v>
      </c>
    </row>
    <row r="682" spans="1:8" x14ac:dyDescent="0.3">
      <c r="A682" t="s">
        <v>1363</v>
      </c>
      <c r="B682" s="2" t="s">
        <v>2</v>
      </c>
      <c r="C682" s="2">
        <v>200</v>
      </c>
      <c r="E682">
        <f t="shared" si="20"/>
        <v>14</v>
      </c>
      <c r="G682" s="11"/>
      <c r="H682" t="str">
        <f t="shared" si="22"/>
        <v>ALTER TABLE subfunctionarea ADD admpassiveslot nvarchar2(200);</v>
      </c>
    </row>
    <row r="683" spans="1:8" x14ac:dyDescent="0.3">
      <c r="A683" t="s">
        <v>1364</v>
      </c>
      <c r="B683" s="2" t="s">
        <v>2</v>
      </c>
      <c r="C683" s="2">
        <v>400</v>
      </c>
      <c r="E683">
        <f t="shared" si="20"/>
        <v>23</v>
      </c>
      <c r="G683" s="11"/>
      <c r="H683" t="str">
        <f t="shared" si="22"/>
        <v>ALTER TABLE subfunctionarea ADD reliableprogramuniterid nvarchar2(400);</v>
      </c>
    </row>
    <row r="684" spans="1:8" x14ac:dyDescent="0.3">
      <c r="A684" t="s">
        <v>1365</v>
      </c>
      <c r="B684" s="2" t="s">
        <v>2</v>
      </c>
      <c r="C684" s="2">
        <v>50</v>
      </c>
      <c r="E684">
        <f t="shared" si="20"/>
        <v>14</v>
      </c>
      <c r="H684" t="str">
        <f t="shared" si="22"/>
        <v>ALTER TABLE subfunctionarea ADD swallocationid nvarchar2(50);</v>
      </c>
    </row>
    <row r="685" spans="1:8" x14ac:dyDescent="0.3">
      <c r="A685" t="s">
        <v>1366</v>
      </c>
      <c r="B685" s="2" t="s">
        <v>2</v>
      </c>
      <c r="C685" s="2">
        <v>50</v>
      </c>
      <c r="E685">
        <f t="shared" si="20"/>
        <v>4</v>
      </c>
      <c r="H685" t="str">
        <f t="shared" si="22"/>
        <v>ALTER TABLE subfunctionarea ADD role nvarchar2(50);</v>
      </c>
    </row>
    <row r="686" spans="1:8" x14ac:dyDescent="0.3">
      <c r="A686" t="s">
        <v>1367</v>
      </c>
      <c r="B686" s="2" t="s">
        <v>2</v>
      </c>
      <c r="C686" s="2">
        <v>200</v>
      </c>
      <c r="E686">
        <f t="shared" si="20"/>
        <v>8</v>
      </c>
      <c r="H686" t="str">
        <f t="shared" si="22"/>
        <v>ALTER TABLE subfunctionarea ADD slotlist nvarchar2(200);</v>
      </c>
    </row>
    <row r="687" spans="1:8" x14ac:dyDescent="0.3">
      <c r="A687" t="s">
        <v>1368</v>
      </c>
      <c r="B687" s="2" t="s">
        <v>2</v>
      </c>
      <c r="C687" s="2">
        <v>200</v>
      </c>
      <c r="E687">
        <f t="shared" si="20"/>
        <v>14</v>
      </c>
      <c r="G687" s="11"/>
      <c r="H687" t="str">
        <f t="shared" si="22"/>
        <v>ALTER TABLE subfunctionarea ADD repertoirelist nvarchar2(200);</v>
      </c>
    </row>
    <row r="688" spans="1:8" x14ac:dyDescent="0.3">
      <c r="A688" t="s">
        <v>1369</v>
      </c>
      <c r="B688" s="2" t="s">
        <v>2</v>
      </c>
      <c r="C688" s="2">
        <v>200</v>
      </c>
      <c r="E688">
        <f t="shared" si="20"/>
        <v>12</v>
      </c>
      <c r="G688" s="11"/>
      <c r="H688" t="str">
        <f t="shared" si="22"/>
        <v>ALTER TABLE subfunctionarea ADD repertoireid nvarchar2(200);</v>
      </c>
    </row>
    <row r="689" spans="1:8" x14ac:dyDescent="0.3">
      <c r="A689" t="s">
        <v>141</v>
      </c>
      <c r="B689" s="2" t="s">
        <v>2</v>
      </c>
      <c r="C689" s="2">
        <v>200</v>
      </c>
      <c r="E689">
        <f t="shared" si="20"/>
        <v>4</v>
      </c>
      <c r="G689" s="11"/>
      <c r="H689" t="str">
        <f t="shared" si="22"/>
        <v>ALTER TABLE subfunctionarea ADD name nvarchar2(200);</v>
      </c>
    </row>
    <row r="690" spans="1:8" x14ac:dyDescent="0.3">
      <c r="A690" t="s">
        <v>1370</v>
      </c>
      <c r="B690" s="2" t="s">
        <v>2</v>
      </c>
      <c r="C690" s="2">
        <v>50</v>
      </c>
      <c r="E690">
        <f t="shared" si="20"/>
        <v>10</v>
      </c>
      <c r="G690" s="11"/>
      <c r="H690" t="str">
        <f t="shared" si="22"/>
        <v>ALTER TABLE subfunctionarea ADD boardwidth nvarchar2(50);</v>
      </c>
    </row>
    <row r="691" spans="1:8" x14ac:dyDescent="0.3">
      <c r="A691" t="s">
        <v>1371</v>
      </c>
      <c r="B691" s="2" t="s">
        <v>2</v>
      </c>
      <c r="C691" s="2">
        <v>50</v>
      </c>
      <c r="E691">
        <f t="shared" si="20"/>
        <v>21</v>
      </c>
      <c r="G691" s="11"/>
      <c r="H691" t="str">
        <f t="shared" si="22"/>
        <v>ALTER TABLE subfunctionarea ADD defallowedseqrestarts nvarchar2(50);</v>
      </c>
    </row>
    <row r="692" spans="1:8" x14ac:dyDescent="0.3">
      <c r="A692" t="s">
        <v>1372</v>
      </c>
      <c r="B692" s="2" t="s">
        <v>2</v>
      </c>
      <c r="C692" s="2">
        <v>50</v>
      </c>
      <c r="E692">
        <f t="shared" si="20"/>
        <v>19</v>
      </c>
      <c r="G692" s="11"/>
      <c r="H692" t="str">
        <f t="shared" si="22"/>
        <v>ALTER TABLE subfunctionarea ADD lmfilesinstallstate nvarchar2(50);</v>
      </c>
    </row>
    <row r="693" spans="1:8" x14ac:dyDescent="0.3">
      <c r="A693" t="s">
        <v>1373</v>
      </c>
      <c r="B693" s="2" t="s">
        <v>2</v>
      </c>
      <c r="C693" s="2">
        <v>50</v>
      </c>
      <c r="E693">
        <f t="shared" si="20"/>
        <v>9</v>
      </c>
      <c r="G693" s="11"/>
      <c r="H693" t="str">
        <f t="shared" si="22"/>
        <v>ALTER TABLE subfunctionarea ADD piutypeid nvarchar2(50);</v>
      </c>
    </row>
    <row r="694" spans="1:8" x14ac:dyDescent="0.3">
      <c r="A694" t="s">
        <v>1374</v>
      </c>
      <c r="B694" s="2" t="s">
        <v>2</v>
      </c>
      <c r="C694" s="2">
        <v>50</v>
      </c>
      <c r="E694">
        <f t="shared" si="20"/>
        <v>18</v>
      </c>
      <c r="G694" s="11"/>
      <c r="H694" t="str">
        <f t="shared" si="22"/>
        <v>ALTER TABLE subfunctionarea ADD qoshigherthreshold nvarchar2(50);</v>
      </c>
    </row>
    <row r="695" spans="1:8" x14ac:dyDescent="0.3">
      <c r="A695" t="s">
        <v>1375</v>
      </c>
      <c r="B695" s="2" t="s">
        <v>2</v>
      </c>
      <c r="C695" s="2">
        <v>50</v>
      </c>
      <c r="E695">
        <f t="shared" si="20"/>
        <v>17</v>
      </c>
      <c r="G695" s="11"/>
      <c r="H695" t="str">
        <f t="shared" si="22"/>
        <v>ALTER TABLE subfunctionarea ADD qoslowerthreshold nvarchar2(50);</v>
      </c>
    </row>
    <row r="696" spans="1:8" x14ac:dyDescent="0.3">
      <c r="A696" t="s">
        <v>1376</v>
      </c>
      <c r="B696" s="2" t="s">
        <v>2</v>
      </c>
      <c r="C696" s="2">
        <v>50</v>
      </c>
      <c r="E696">
        <f t="shared" si="20"/>
        <v>14</v>
      </c>
      <c r="G696" s="11"/>
      <c r="H696" t="str">
        <f t="shared" si="22"/>
        <v>ALTER TABLE subfunctionarea ADD msdevicepoolid nvarchar2(50);</v>
      </c>
    </row>
    <row r="697" spans="1:8" x14ac:dyDescent="0.3">
      <c r="A697" t="s">
        <v>1377</v>
      </c>
      <c r="B697" s="2" t="s">
        <v>2</v>
      </c>
      <c r="C697" s="2">
        <v>50</v>
      </c>
      <c r="E697">
        <f t="shared" si="20"/>
        <v>24</v>
      </c>
      <c r="G697" s="11"/>
      <c r="H697" t="str">
        <f t="shared" si="22"/>
        <v>ALTER TABLE subfunctionarea ADD idlelevelhigherthreshold nvarchar2(50);</v>
      </c>
    </row>
    <row r="698" spans="1:8" x14ac:dyDescent="0.3">
      <c r="A698" t="s">
        <v>1380</v>
      </c>
      <c r="B698" s="2" t="s">
        <v>2</v>
      </c>
      <c r="C698" s="2">
        <v>50</v>
      </c>
      <c r="D698" t="s">
        <v>1378</v>
      </c>
      <c r="E698">
        <f t="shared" si="20"/>
        <v>30</v>
      </c>
      <c r="G698" s="11"/>
      <c r="H698" t="str">
        <f t="shared" si="22"/>
        <v>ALTER TABLE subfunctionarea ADD capcitylvlrsrvdforprioritycall nvarchar2(50);</v>
      </c>
    </row>
    <row r="699" spans="1:8" x14ac:dyDescent="0.3">
      <c r="A699" t="s">
        <v>1379</v>
      </c>
      <c r="B699" s="2" t="s">
        <v>2</v>
      </c>
      <c r="C699" s="2">
        <v>50</v>
      </c>
      <c r="E699">
        <f t="shared" si="20"/>
        <v>23</v>
      </c>
      <c r="G699" s="11"/>
      <c r="H699" t="str">
        <f t="shared" si="22"/>
        <v>ALTER TABLE subfunctionarea ADD idlelevellowerthreshold nvarchar2(50);</v>
      </c>
    </row>
    <row r="700" spans="1:8" x14ac:dyDescent="0.3">
      <c r="A700" t="s">
        <v>1381</v>
      </c>
      <c r="B700" s="2" t="s">
        <v>2</v>
      </c>
      <c r="C700" s="2">
        <v>50</v>
      </c>
      <c r="E700">
        <f t="shared" si="20"/>
        <v>13</v>
      </c>
      <c r="G700" s="11"/>
      <c r="H700" t="str">
        <f t="shared" si="22"/>
        <v>ALTER TABLE subfunctionarea ADD opusserviceid nvarchar2(50);</v>
      </c>
    </row>
    <row r="701" spans="1:8" x14ac:dyDescent="0.3">
      <c r="A701" t="s">
        <v>1382</v>
      </c>
      <c r="B701" s="2" t="s">
        <v>2</v>
      </c>
      <c r="C701" s="2">
        <v>50</v>
      </c>
      <c r="E701">
        <f t="shared" si="20"/>
        <v>12</v>
      </c>
      <c r="G701" s="11"/>
      <c r="H701" t="str">
        <f t="shared" si="22"/>
        <v>ALTER TABLE subfunctionarea ADD mpcserviceid nvarchar2(50);</v>
      </c>
    </row>
    <row r="702" spans="1:8" x14ac:dyDescent="0.3">
      <c r="A702" t="s">
        <v>1383</v>
      </c>
      <c r="B702" s="2" t="s">
        <v>2</v>
      </c>
      <c r="C702" s="2">
        <v>50</v>
      </c>
      <c r="E702">
        <f t="shared" si="20"/>
        <v>17</v>
      </c>
      <c r="G702" s="11"/>
      <c r="H702" t="str">
        <f t="shared" si="22"/>
        <v>ALTER TABLE subfunctionarea ADD comfortnoiselevel nvarchar2(50);</v>
      </c>
    </row>
    <row r="703" spans="1:8" x14ac:dyDescent="0.3">
      <c r="A703" t="s">
        <v>1384</v>
      </c>
      <c r="B703" s="2" t="s">
        <v>2</v>
      </c>
      <c r="C703" s="2">
        <v>50</v>
      </c>
      <c r="E703">
        <f t="shared" si="20"/>
        <v>6</v>
      </c>
      <c r="G703" s="11"/>
      <c r="H703" t="str">
        <f t="shared" si="22"/>
        <v>ALTER TABLE subfunctionarea ADD dbrule nvarchar2(50);</v>
      </c>
    </row>
    <row r="704" spans="1:8" x14ac:dyDescent="0.3">
      <c r="A704" t="s">
        <v>1385</v>
      </c>
      <c r="B704" s="2" t="s">
        <v>2</v>
      </c>
      <c r="C704" s="2">
        <v>50</v>
      </c>
      <c r="E704">
        <f t="shared" si="20"/>
        <v>15</v>
      </c>
      <c r="G704" s="11"/>
      <c r="H704" t="str">
        <f t="shared" si="22"/>
        <v>ALTER TABLE subfunctionarea ADD transparentmode nvarchar2(50);</v>
      </c>
    </row>
    <row r="705" spans="1:8" x14ac:dyDescent="0.3">
      <c r="A705" t="s">
        <v>1386</v>
      </c>
      <c r="B705" s="2" t="s">
        <v>2</v>
      </c>
      <c r="C705" s="2">
        <v>50</v>
      </c>
      <c r="E705">
        <f t="shared" si="20"/>
        <v>12</v>
      </c>
      <c r="G705" s="11"/>
      <c r="H705" t="str">
        <f t="shared" si="22"/>
        <v>ALTER TABLE subfunctionarea ADD comfortnoise nvarchar2(50);</v>
      </c>
    </row>
    <row r="706" spans="1:8" x14ac:dyDescent="0.3">
      <c r="A706" t="s">
        <v>1387</v>
      </c>
      <c r="B706" s="2" t="s">
        <v>2</v>
      </c>
      <c r="C706" s="2">
        <v>50</v>
      </c>
      <c r="E706">
        <f t="shared" si="20"/>
        <v>24</v>
      </c>
      <c r="G706" s="11"/>
      <c r="H706" t="str">
        <f t="shared" si="22"/>
        <v>ALTER TABLE subfunctionarea ADD continuitycheckserviceid nvarchar2(50);</v>
      </c>
    </row>
    <row r="707" spans="1:8" x14ac:dyDescent="0.3">
      <c r="A707" t="s">
        <v>1388</v>
      </c>
      <c r="B707" s="2" t="s">
        <v>2</v>
      </c>
      <c r="C707" s="2">
        <v>50</v>
      </c>
      <c r="E707">
        <f t="shared" si="20"/>
        <v>16</v>
      </c>
      <c r="G707" s="11"/>
      <c r="H707" t="str">
        <f t="shared" si="22"/>
        <v>ALTER TABLE subfunctionarea ADD maxadmittedpause nvarchar2(50);</v>
      </c>
    </row>
    <row r="708" spans="1:8" x14ac:dyDescent="0.3">
      <c r="A708" t="s">
        <v>1389</v>
      </c>
      <c r="B708" s="2" t="s">
        <v>2</v>
      </c>
      <c r="C708" s="2">
        <v>50</v>
      </c>
      <c r="E708">
        <f t="shared" si="20"/>
        <v>13</v>
      </c>
      <c r="G708" s="11"/>
      <c r="H708" t="str">
        <f t="shared" si="22"/>
        <v>ALTER TABLE subfunctionarea ADD waitackentime nvarchar2(50);</v>
      </c>
    </row>
    <row r="709" spans="1:8" x14ac:dyDescent="0.3">
      <c r="A709" t="s">
        <v>1390</v>
      </c>
      <c r="B709" s="2" t="s">
        <v>2</v>
      </c>
      <c r="C709" s="2">
        <v>50</v>
      </c>
      <c r="E709">
        <f t="shared" si="20"/>
        <v>11</v>
      </c>
      <c r="G709" s="11"/>
      <c r="H709" t="str">
        <f t="shared" si="22"/>
        <v>ALTER TABLE subfunctionarea ADD mintonetime nvarchar2(50);</v>
      </c>
    </row>
    <row r="710" spans="1:8" x14ac:dyDescent="0.3">
      <c r="A710" t="s">
        <v>1391</v>
      </c>
      <c r="B710" s="2" t="s">
        <v>2</v>
      </c>
      <c r="C710" s="2">
        <v>50</v>
      </c>
      <c r="E710">
        <f t="shared" si="20"/>
        <v>8</v>
      </c>
      <c r="G710" s="11"/>
      <c r="H710" t="str">
        <f t="shared" si="22"/>
        <v>ALTER TABLE subfunctionarea ADD maintime nvarchar2(50);</v>
      </c>
    </row>
    <row r="711" spans="1:8" x14ac:dyDescent="0.3">
      <c r="A711" t="s">
        <v>1392</v>
      </c>
      <c r="B711" s="2" t="s">
        <v>2</v>
      </c>
      <c r="C711" s="2">
        <v>50</v>
      </c>
      <c r="E711">
        <f t="shared" si="20"/>
        <v>12</v>
      </c>
      <c r="G711" s="11"/>
      <c r="H711" t="str">
        <f t="shared" si="22"/>
        <v>ALTER TABLE subfunctionarea ADD initialdelay nvarchar2(50);</v>
      </c>
    </row>
    <row r="712" spans="1:8" x14ac:dyDescent="0.3">
      <c r="A712" t="s">
        <v>1393</v>
      </c>
      <c r="B712" s="2" t="s">
        <v>2</v>
      </c>
      <c r="C712" s="2">
        <v>50</v>
      </c>
      <c r="E712">
        <f t="shared" si="20"/>
        <v>11</v>
      </c>
      <c r="G712" s="11"/>
      <c r="H712" t="str">
        <f t="shared" si="22"/>
        <v>ALTER TABLE subfunctionarea ADD endmaintime nvarchar2(50);</v>
      </c>
    </row>
    <row r="713" spans="1:8" x14ac:dyDescent="0.3">
      <c r="A713" t="s">
        <v>1394</v>
      </c>
      <c r="B713" s="2" t="s">
        <v>2</v>
      </c>
      <c r="C713" s="2">
        <v>50</v>
      </c>
      <c r="E713">
        <f t="shared" si="20"/>
        <v>13</v>
      </c>
      <c r="G713" s="11"/>
      <c r="H713" t="str">
        <f t="shared" ref="H713:H775" si="23">CONCATENATE("ALTER TABLE subfunctionarea ADD ",A713," nvarchar2(",C713,");")</f>
        <v>ALTER TABLE subfunctionarea ADD g722serviceid nvarchar2(50);</v>
      </c>
    </row>
    <row r="714" spans="1:8" x14ac:dyDescent="0.3">
      <c r="A714" t="s">
        <v>1395</v>
      </c>
      <c r="B714" s="2" t="s">
        <v>2</v>
      </c>
      <c r="C714" s="2">
        <v>50</v>
      </c>
      <c r="D714" t="s">
        <v>1397</v>
      </c>
      <c r="E714">
        <f t="shared" si="20"/>
        <v>29</v>
      </c>
      <c r="G714" s="11"/>
      <c r="H714" t="str">
        <f t="shared" si="23"/>
        <v>ALTER TABLE subfunctionarea ADD initdejitterbuffersizeatmran  nvarchar2(50);</v>
      </c>
    </row>
    <row r="715" spans="1:8" x14ac:dyDescent="0.3">
      <c r="A715" t="s">
        <v>1396</v>
      </c>
      <c r="B715" s="2" t="s">
        <v>2</v>
      </c>
      <c r="C715" s="2">
        <v>50</v>
      </c>
      <c r="E715">
        <f t="shared" si="20"/>
        <v>19</v>
      </c>
      <c r="G715" s="11"/>
      <c r="H715" t="str">
        <f t="shared" si="23"/>
        <v>ALTER TABLE subfunctionarea ADD tonesenderserviceid nvarchar2(50);</v>
      </c>
    </row>
    <row r="716" spans="1:8" x14ac:dyDescent="0.3">
      <c r="A716" t="s">
        <v>1398</v>
      </c>
      <c r="B716" s="2" t="s">
        <v>2</v>
      </c>
      <c r="C716" s="2">
        <v>50</v>
      </c>
      <c r="E716">
        <f t="shared" si="20"/>
        <v>17</v>
      </c>
      <c r="G716" s="11"/>
      <c r="H716" t="str">
        <f t="shared" si="23"/>
        <v>ALTER TABLE subfunctionarea ADD csdmodemserviceid nvarchar2(50);</v>
      </c>
    </row>
    <row r="717" spans="1:8" x14ac:dyDescent="0.3">
      <c r="A717" t="s">
        <v>1399</v>
      </c>
      <c r="B717" s="2" t="s">
        <v>2</v>
      </c>
      <c r="C717" s="2">
        <v>50</v>
      </c>
      <c r="E717">
        <f t="shared" si="20"/>
        <v>21</v>
      </c>
      <c r="G717" s="11"/>
      <c r="H717" t="str">
        <f t="shared" si="23"/>
        <v>ALTER TABLE subfunctionarea ADD v25callingtoneenabled nvarchar2(50);</v>
      </c>
    </row>
    <row r="718" spans="1:8" x14ac:dyDescent="0.3">
      <c r="A718" t="s">
        <v>1400</v>
      </c>
      <c r="B718" s="2" t="s">
        <v>2</v>
      </c>
      <c r="C718" s="2">
        <v>50</v>
      </c>
      <c r="E718">
        <f t="shared" si="20"/>
        <v>14</v>
      </c>
      <c r="G718" s="11"/>
      <c r="H718" t="str">
        <f t="shared" si="23"/>
        <v>ALTER TABLE subfunctionarea ADD nocarriertimer nvarchar2(50);</v>
      </c>
    </row>
    <row r="719" spans="1:8" x14ac:dyDescent="0.3">
      <c r="A719" t="s">
        <v>1401</v>
      </c>
      <c r="B719" s="2" t="s">
        <v>2</v>
      </c>
      <c r="C719" s="2">
        <v>50</v>
      </c>
      <c r="E719">
        <f t="shared" si="20"/>
        <v>18</v>
      </c>
      <c r="G719" s="11"/>
      <c r="H719" t="str">
        <f t="shared" si="23"/>
        <v>ALTER TABLE subfunctionarea ADD modemtransmitlevel nvarchar2(50);</v>
      </c>
    </row>
    <row r="720" spans="1:8" x14ac:dyDescent="0.3">
      <c r="A720" t="s">
        <v>1402</v>
      </c>
      <c r="B720" s="2" t="s">
        <v>2</v>
      </c>
      <c r="C720" s="2">
        <v>50</v>
      </c>
      <c r="E720">
        <f t="shared" si="20"/>
        <v>21</v>
      </c>
      <c r="G720" s="11"/>
      <c r="H720" t="str">
        <f t="shared" si="23"/>
        <v>ALTER TABLE subfunctionarea ADD receivethresholdlevel nvarchar2(50);</v>
      </c>
    </row>
    <row r="721" spans="1:8" x14ac:dyDescent="0.3">
      <c r="A721" t="s">
        <v>1403</v>
      </c>
      <c r="B721" s="2" t="s">
        <v>2</v>
      </c>
      <c r="C721" s="2">
        <v>50</v>
      </c>
      <c r="E721">
        <f t="shared" si="20"/>
        <v>22</v>
      </c>
      <c r="G721" s="11"/>
      <c r="H721" t="str">
        <f t="shared" si="23"/>
        <v>ALTER TABLE subfunctionarea ADD t30errorcorrectionmode nvarchar2(50);</v>
      </c>
    </row>
    <row r="722" spans="1:8" x14ac:dyDescent="0.3">
      <c r="A722" t="s">
        <v>1404</v>
      </c>
      <c r="B722" s="2" t="s">
        <v>2</v>
      </c>
      <c r="C722" s="2">
        <v>50</v>
      </c>
      <c r="E722">
        <f t="shared" si="20"/>
        <v>15</v>
      </c>
      <c r="G722" s="11"/>
      <c r="H722" t="str">
        <f t="shared" si="23"/>
        <v>ALTER TABLE subfunctionarea ADD t38faxserviceid nvarchar2(50);</v>
      </c>
    </row>
    <row r="723" spans="1:8" x14ac:dyDescent="0.3">
      <c r="A723" t="s">
        <v>1405</v>
      </c>
      <c r="B723" s="2" t="s">
        <v>2</v>
      </c>
      <c r="C723" s="2">
        <v>50</v>
      </c>
      <c r="E723">
        <f t="shared" si="20"/>
        <v>18</v>
      </c>
      <c r="G723" s="11"/>
      <c r="H723" t="str">
        <f t="shared" si="23"/>
        <v>ALTER TABLE subfunctionarea ADD licensestatet38fax nvarchar2(50);</v>
      </c>
    </row>
    <row r="724" spans="1:8" x14ac:dyDescent="0.3">
      <c r="A724" t="s">
        <v>1406</v>
      </c>
      <c r="B724" s="2" t="s">
        <v>2</v>
      </c>
      <c r="C724" s="2">
        <v>50</v>
      </c>
      <c r="E724">
        <f t="shared" si="20"/>
        <v>15</v>
      </c>
      <c r="G724" s="11"/>
      <c r="H724" t="str">
        <f t="shared" si="23"/>
        <v>ALTER TABLE subfunctionarea ADD featurestateasc nvarchar2(50);</v>
      </c>
    </row>
    <row r="725" spans="1:8" x14ac:dyDescent="0.3">
      <c r="A725" t="s">
        <v>1407</v>
      </c>
      <c r="B725" s="2" t="s">
        <v>2</v>
      </c>
      <c r="C725" s="2">
        <v>50</v>
      </c>
      <c r="E725">
        <f t="shared" si="20"/>
        <v>12</v>
      </c>
      <c r="G725" s="11"/>
      <c r="H725" t="str">
        <f t="shared" si="23"/>
        <v>ALTER TABLE subfunctionarea ADD ascserviceid nvarchar2(50);</v>
      </c>
    </row>
    <row r="726" spans="1:8" x14ac:dyDescent="0.3">
      <c r="A726" t="s">
        <v>1408</v>
      </c>
      <c r="B726" s="2" t="s">
        <v>2</v>
      </c>
      <c r="C726" s="2">
        <v>50</v>
      </c>
      <c r="E726">
        <f t="shared" si="20"/>
        <v>15</v>
      </c>
      <c r="G726" s="11"/>
      <c r="H726" t="str">
        <f t="shared" si="23"/>
        <v>ALTER TABLE subfunctionarea ADD licensestateasc nvarchar2(50);</v>
      </c>
    </row>
    <row r="727" spans="1:8" x14ac:dyDescent="0.3">
      <c r="A727" t="s">
        <v>1409</v>
      </c>
      <c r="B727" s="2" t="s">
        <v>2</v>
      </c>
      <c r="C727" s="2">
        <v>50</v>
      </c>
      <c r="E727">
        <f t="shared" si="20"/>
        <v>17</v>
      </c>
      <c r="G727" s="11"/>
      <c r="H727" t="str">
        <f t="shared" si="23"/>
        <v>ALTER TABLE subfunctionarea ADD csdgsmfhserviceid nvarchar2(50);</v>
      </c>
    </row>
    <row r="728" spans="1:8" x14ac:dyDescent="0.3">
      <c r="A728" t="s">
        <v>1410</v>
      </c>
      <c r="B728" s="2" t="s">
        <v>2</v>
      </c>
      <c r="C728" s="2">
        <v>50</v>
      </c>
      <c r="E728">
        <f t="shared" si="20"/>
        <v>18</v>
      </c>
      <c r="G728" s="11"/>
      <c r="H728" t="str">
        <f t="shared" si="23"/>
        <v>ALTER TABLE subfunctionarea ADD gsmv110synchframes nvarchar2(50);</v>
      </c>
    </row>
    <row r="729" spans="1:8" x14ac:dyDescent="0.3">
      <c r="A729" t="s">
        <v>1411</v>
      </c>
      <c r="B729" s="2" t="s">
        <v>2</v>
      </c>
      <c r="C729" s="2">
        <v>50</v>
      </c>
      <c r="E729">
        <f t="shared" si="20"/>
        <v>17</v>
      </c>
      <c r="G729" s="11"/>
      <c r="H729" t="str">
        <f t="shared" si="23"/>
        <v>ALTER TABLE subfunctionarea ADD gsmv110synchtimer nvarchar2(50);</v>
      </c>
    </row>
    <row r="730" spans="1:8" x14ac:dyDescent="0.3">
      <c r="A730" t="s">
        <v>1412</v>
      </c>
      <c r="B730" s="2" t="s">
        <v>2</v>
      </c>
      <c r="C730" s="2">
        <v>50</v>
      </c>
      <c r="E730">
        <f t="shared" si="20"/>
        <v>20</v>
      </c>
      <c r="G730" s="11"/>
      <c r="H730" t="str">
        <f t="shared" si="23"/>
        <v>ALTER TABLE subfunctionarea ADD noofatrausynchframes nvarchar2(50);</v>
      </c>
    </row>
    <row r="731" spans="1:8" x14ac:dyDescent="0.3">
      <c r="A731" t="s">
        <v>1413</v>
      </c>
      <c r="B731" s="2" t="s">
        <v>2</v>
      </c>
      <c r="C731" s="2">
        <v>50</v>
      </c>
      <c r="E731">
        <f t="shared" si="20"/>
        <v>19</v>
      </c>
      <c r="G731" s="11"/>
      <c r="H731" t="str">
        <f t="shared" si="23"/>
        <v>ALTER TABLE subfunctionarea ADD gsmv110resynchtimer nvarchar2(50);</v>
      </c>
    </row>
    <row r="732" spans="1:8" x14ac:dyDescent="0.3">
      <c r="A732" t="s">
        <v>1414</v>
      </c>
      <c r="B732" s="2" t="s">
        <v>2</v>
      </c>
      <c r="C732" s="2">
        <v>50</v>
      </c>
      <c r="E732">
        <f t="shared" si="20"/>
        <v>5</v>
      </c>
      <c r="G732" s="11"/>
      <c r="H732" t="str">
        <f t="shared" si="23"/>
        <v>ALTER TABLE subfunctionarea ADD tinit nvarchar2(50);</v>
      </c>
    </row>
    <row r="733" spans="1:8" x14ac:dyDescent="0.3">
      <c r="A733" t="s">
        <v>1415</v>
      </c>
      <c r="B733" s="2" t="s">
        <v>2</v>
      </c>
      <c r="C733" s="2">
        <v>50</v>
      </c>
      <c r="E733">
        <f t="shared" si="20"/>
        <v>5</v>
      </c>
      <c r="G733" s="11"/>
      <c r="H733" t="str">
        <f t="shared" si="23"/>
        <v>ALTER TABLE subfunctionarea ADD ninit nvarchar2(50);</v>
      </c>
    </row>
    <row r="734" spans="1:8" x14ac:dyDescent="0.3">
      <c r="A734" t="s">
        <v>1416</v>
      </c>
      <c r="B734" s="2" t="s">
        <v>2</v>
      </c>
      <c r="C734" s="2">
        <v>50</v>
      </c>
      <c r="E734">
        <f t="shared" si="20"/>
        <v>13</v>
      </c>
      <c r="G734" s="11"/>
      <c r="H734" t="str">
        <f t="shared" si="23"/>
        <v>ALTER TABLE subfunctionarea ADD upfhserviceid nvarchar2(50);</v>
      </c>
    </row>
    <row r="735" spans="1:8" x14ac:dyDescent="0.3">
      <c r="A735" t="s">
        <v>1417</v>
      </c>
      <c r="B735" s="2" t="s">
        <v>2</v>
      </c>
      <c r="C735" s="2">
        <v>50</v>
      </c>
      <c r="E735">
        <f t="shared" si="20"/>
        <v>3</v>
      </c>
      <c r="G735" s="11"/>
      <c r="H735" t="str">
        <f t="shared" si="23"/>
        <v>ALTER TABLE subfunctionarea ADD trc nvarchar2(50);</v>
      </c>
    </row>
    <row r="736" spans="1:8" x14ac:dyDescent="0.3">
      <c r="A736" t="s">
        <v>1418</v>
      </c>
      <c r="B736" s="2" t="s">
        <v>2</v>
      </c>
      <c r="C736" s="2">
        <v>50</v>
      </c>
      <c r="E736">
        <f t="shared" si="20"/>
        <v>3</v>
      </c>
      <c r="G736" s="11"/>
      <c r="H736" t="str">
        <f t="shared" si="23"/>
        <v>ALTER TABLE subfunctionarea ADD nrc nvarchar2(50);</v>
      </c>
    </row>
    <row r="737" spans="1:8" x14ac:dyDescent="0.3">
      <c r="A737" t="s">
        <v>1419</v>
      </c>
      <c r="B737" s="2" t="s">
        <v>2</v>
      </c>
      <c r="C737" s="2">
        <v>50</v>
      </c>
      <c r="E737">
        <f t="shared" si="20"/>
        <v>19</v>
      </c>
      <c r="G737" s="11"/>
      <c r="H737" t="str">
        <f t="shared" si="23"/>
        <v>ALTER TABLE subfunctionarea ADD dsploadlowthreshold nvarchar2(50);</v>
      </c>
    </row>
    <row r="738" spans="1:8" x14ac:dyDescent="0.3">
      <c r="A738" t="s">
        <v>1420</v>
      </c>
      <c r="B738" s="2" t="s">
        <v>2</v>
      </c>
      <c r="C738" s="2">
        <v>50</v>
      </c>
      <c r="E738">
        <f t="shared" si="20"/>
        <v>12</v>
      </c>
      <c r="G738" s="11"/>
      <c r="H738" t="str">
        <f t="shared" si="23"/>
        <v>ALTER TABLE subfunctionarea ADD evsserviceid nvarchar2(50);</v>
      </c>
    </row>
    <row r="739" spans="1:8" x14ac:dyDescent="0.3">
      <c r="A739" t="s">
        <v>1421</v>
      </c>
      <c r="B739" s="2" t="s">
        <v>2</v>
      </c>
      <c r="C739" s="2">
        <v>50</v>
      </c>
      <c r="E739">
        <f t="shared" si="20"/>
        <v>20</v>
      </c>
      <c r="G739" s="11"/>
      <c r="H739" t="str">
        <f t="shared" si="23"/>
        <v>ALTER TABLE subfunctionarea ADD dsploadhighthreshold nvarchar2(50);</v>
      </c>
    </row>
    <row r="740" spans="1:8" x14ac:dyDescent="0.3">
      <c r="A740" t="s">
        <v>1422</v>
      </c>
      <c r="B740" s="2" t="s">
        <v>2</v>
      </c>
      <c r="C740" s="2">
        <v>50</v>
      </c>
      <c r="E740">
        <f t="shared" si="20"/>
        <v>12</v>
      </c>
      <c r="G740" s="11"/>
      <c r="H740" t="str">
        <f t="shared" si="23"/>
        <v>ALTER TABLE subfunctionarea ADD vbdserviceid nvarchar2(50);</v>
      </c>
    </row>
    <row r="741" spans="1:8" x14ac:dyDescent="0.3">
      <c r="A741" t="s">
        <v>1423</v>
      </c>
      <c r="B741" s="2" t="s">
        <v>2</v>
      </c>
      <c r="C741" s="2">
        <v>50</v>
      </c>
      <c r="E741">
        <f t="shared" si="20"/>
        <v>19</v>
      </c>
      <c r="G741" s="11"/>
      <c r="H741" t="str">
        <f t="shared" si="23"/>
        <v>ALTER TABLE subfunctionarea ADD detectionfilterlist nvarchar2(50);</v>
      </c>
    </row>
    <row r="742" spans="1:8" x14ac:dyDescent="0.3">
      <c r="A742" t="s">
        <v>1424</v>
      </c>
      <c r="B742" s="2" t="s">
        <v>2</v>
      </c>
      <c r="C742" s="2">
        <v>50</v>
      </c>
      <c r="E742">
        <f t="shared" si="20"/>
        <v>20</v>
      </c>
      <c r="G742" s="11"/>
      <c r="H742" t="str">
        <f t="shared" si="23"/>
        <v>ALTER TABLE subfunctionarea ADD expediteansdetection nvarchar2(50);</v>
      </c>
    </row>
    <row r="743" spans="1:8" x14ac:dyDescent="0.3">
      <c r="A743" t="s">
        <v>1425</v>
      </c>
      <c r="B743" s="2" t="s">
        <v>2</v>
      </c>
      <c r="C743" s="2">
        <v>50</v>
      </c>
      <c r="E743">
        <f t="shared" si="20"/>
        <v>17</v>
      </c>
      <c r="G743" s="11"/>
      <c r="H743" t="str">
        <f t="shared" si="23"/>
        <v>ALTER TABLE subfunctionarea ADD licensestatevbdgw nvarchar2(50);</v>
      </c>
    </row>
    <row r="744" spans="1:8" x14ac:dyDescent="0.3">
      <c r="A744" t="s">
        <v>1426</v>
      </c>
      <c r="B744" s="2" t="s">
        <v>2</v>
      </c>
      <c r="C744" s="2">
        <v>50</v>
      </c>
      <c r="E744">
        <f t="shared" si="20"/>
        <v>14</v>
      </c>
      <c r="G744" s="11"/>
      <c r="H744" t="str">
        <f t="shared" si="23"/>
        <v>ALTER TABLE subfunctionarea ADD amrwbserviceid nvarchar2(50);</v>
      </c>
    </row>
    <row r="745" spans="1:8" x14ac:dyDescent="0.3">
      <c r="A745" t="s">
        <v>1427</v>
      </c>
      <c r="B745" s="2" t="s">
        <v>2</v>
      </c>
      <c r="C745" s="2">
        <v>50</v>
      </c>
      <c r="E745">
        <f t="shared" si="20"/>
        <v>13</v>
      </c>
      <c r="G745" s="11"/>
      <c r="H745" t="str">
        <f t="shared" si="23"/>
        <v>ALTER TABLE subfunctionarea ADD ipetserviceid nvarchar2(50);</v>
      </c>
    </row>
    <row r="746" spans="1:8" x14ac:dyDescent="0.3">
      <c r="A746" t="s">
        <v>1428</v>
      </c>
      <c r="B746" s="2" t="s">
        <v>2</v>
      </c>
      <c r="C746" s="2">
        <v>50</v>
      </c>
      <c r="E746">
        <f t="shared" si="20"/>
        <v>26</v>
      </c>
      <c r="G746" s="11"/>
      <c r="H746" t="str">
        <f t="shared" si="23"/>
        <v>ALTER TABLE subfunctionarea ADD mobilecrosstalkcontrolmode nvarchar2(50);</v>
      </c>
    </row>
    <row r="747" spans="1:8" x14ac:dyDescent="0.3">
      <c r="A747" t="s">
        <v>1429</v>
      </c>
      <c r="B747" s="2" t="s">
        <v>2</v>
      </c>
      <c r="C747" s="2">
        <v>50</v>
      </c>
      <c r="E747">
        <f t="shared" si="20"/>
        <v>10</v>
      </c>
      <c r="G747" s="11"/>
      <c r="H747" t="str">
        <f t="shared" si="23"/>
        <v>ALTER TABLE subfunctionarea ADD mcctdmmode nvarchar2(50);</v>
      </c>
    </row>
    <row r="748" spans="1:8" x14ac:dyDescent="0.3">
      <c r="A748" t="s">
        <v>1430</v>
      </c>
      <c r="B748" s="2" t="s">
        <v>2</v>
      </c>
      <c r="C748" s="2">
        <v>50</v>
      </c>
      <c r="E748">
        <f t="shared" si="20"/>
        <v>12</v>
      </c>
      <c r="G748" s="11"/>
      <c r="H748" t="str">
        <f t="shared" si="23"/>
        <v>ALTER TABLE subfunctionarea ADD mccserviceid nvarchar2(50);</v>
      </c>
    </row>
    <row r="749" spans="1:8" x14ac:dyDescent="0.3">
      <c r="A749" t="s">
        <v>1431</v>
      </c>
      <c r="B749" s="2" t="s">
        <v>2</v>
      </c>
      <c r="C749" s="2">
        <v>50</v>
      </c>
      <c r="E749">
        <f t="shared" si="20"/>
        <v>11</v>
      </c>
      <c r="G749" s="11"/>
      <c r="H749" t="str">
        <f t="shared" si="23"/>
        <v>ALTER TABLE subfunctionarea ADD mccaoipmode nvarchar2(50);</v>
      </c>
    </row>
    <row r="750" spans="1:8" x14ac:dyDescent="0.3">
      <c r="A750" t="s">
        <v>1432</v>
      </c>
      <c r="B750" s="2" t="s">
        <v>2</v>
      </c>
      <c r="C750" s="2">
        <v>50</v>
      </c>
      <c r="E750">
        <f t="shared" si="20"/>
        <v>9</v>
      </c>
      <c r="G750" s="11"/>
      <c r="H750" t="str">
        <f t="shared" si="23"/>
        <v>ALTER TABLE subfunctionarea ADD mcciumode nvarchar2(50);</v>
      </c>
    </row>
    <row r="751" spans="1:8" x14ac:dyDescent="0.3">
      <c r="A751" t="s">
        <v>1433</v>
      </c>
      <c r="B751" s="2" t="s">
        <v>2</v>
      </c>
      <c r="C751" s="2">
        <v>50</v>
      </c>
      <c r="E751">
        <f t="shared" si="20"/>
        <v>17</v>
      </c>
      <c r="G751" s="11"/>
      <c r="H751" t="str">
        <f t="shared" si="23"/>
        <v>ALTER TABLE subfunctionarea ADD subrackprodtypeid nvarchar2(50);</v>
      </c>
    </row>
    <row r="752" spans="1:8" x14ac:dyDescent="0.3">
      <c r="A752" t="s">
        <v>1434</v>
      </c>
      <c r="B752" s="2" t="s">
        <v>2</v>
      </c>
      <c r="C752" s="2">
        <v>50</v>
      </c>
      <c r="E752">
        <f t="shared" si="20"/>
        <v>16</v>
      </c>
      <c r="G752" s="11"/>
      <c r="H752" t="str">
        <f t="shared" si="23"/>
        <v>ALTER TABLE subfunctionarea ADD fanconfiguration nvarchar2(50);</v>
      </c>
    </row>
    <row r="753" spans="1:8" x14ac:dyDescent="0.3">
      <c r="A753" t="s">
        <v>1435</v>
      </c>
      <c r="B753" s="2" t="s">
        <v>2</v>
      </c>
      <c r="C753" s="2">
        <v>50</v>
      </c>
      <c r="E753">
        <f t="shared" si="20"/>
        <v>14</v>
      </c>
      <c r="G753" s="11"/>
      <c r="H753" t="str">
        <f t="shared" si="23"/>
        <v>ALTER TABLE subfunctionarea ADD boardpositions nvarchar2(50);</v>
      </c>
    </row>
    <row r="754" spans="1:8" x14ac:dyDescent="0.3">
      <c r="A754" t="s">
        <v>1436</v>
      </c>
      <c r="B754" s="2" t="s">
        <v>2</v>
      </c>
      <c r="C754" s="2">
        <v>50</v>
      </c>
      <c r="E754">
        <f t="shared" si="20"/>
        <v>19</v>
      </c>
      <c r="G754" s="11"/>
      <c r="H754" t="str">
        <f t="shared" si="23"/>
        <v>ALTER TABLE subfunctionarea ADD maxpowerdissipation nvarchar2(50);</v>
      </c>
    </row>
    <row r="755" spans="1:8" x14ac:dyDescent="0.3">
      <c r="A755" t="s">
        <v>1437</v>
      </c>
      <c r="B755" s="2" t="s">
        <v>2</v>
      </c>
      <c r="C755" s="2">
        <v>50</v>
      </c>
      <c r="E755">
        <f t="shared" si="20"/>
        <v>16</v>
      </c>
      <c r="G755" s="11"/>
      <c r="H755" t="str">
        <f t="shared" si="23"/>
        <v>ALTER TABLE subfunctionarea ADD defnumberofslots nvarchar2(50);</v>
      </c>
    </row>
    <row r="756" spans="1:8" x14ac:dyDescent="0.3">
      <c r="A756" t="s">
        <v>1438</v>
      </c>
      <c r="B756" s="2" t="s">
        <v>2</v>
      </c>
      <c r="C756" s="2">
        <v>50</v>
      </c>
      <c r="E756">
        <f t="shared" si="20"/>
        <v>16</v>
      </c>
      <c r="G756" s="11"/>
      <c r="H756" t="str">
        <f t="shared" si="23"/>
        <v>ALTER TABLE subfunctionarea ADD transmissiontype nvarchar2(50);</v>
      </c>
    </row>
    <row r="757" spans="1:8" x14ac:dyDescent="0.3">
      <c r="A757" t="s">
        <v>1439</v>
      </c>
      <c r="B757" s="2" t="s">
        <v>2</v>
      </c>
      <c r="C757" s="2">
        <v>50</v>
      </c>
      <c r="E757">
        <f t="shared" si="20"/>
        <v>27</v>
      </c>
      <c r="G757" s="11"/>
      <c r="H757" t="str">
        <f t="shared" si="23"/>
        <v>ALTER TABLE subfunctionarea ADD bgfmediaqualitymonitoringid nvarchar2(50);</v>
      </c>
    </row>
    <row r="758" spans="1:8" x14ac:dyDescent="0.3">
      <c r="A758" t="s">
        <v>1440</v>
      </c>
      <c r="B758" s="2" t="s">
        <v>2</v>
      </c>
      <c r="C758" s="2">
        <v>50</v>
      </c>
      <c r="E758">
        <f t="shared" si="20"/>
        <v>26</v>
      </c>
      <c r="G758" s="11"/>
      <c r="H758" t="str">
        <f t="shared" si="23"/>
        <v>ALTER TABLE subfunctionarea ADD switchoveronethlinkqosdegr nvarchar2(50);</v>
      </c>
    </row>
    <row r="759" spans="1:8" x14ac:dyDescent="0.3">
      <c r="A759" t="s">
        <v>1441</v>
      </c>
      <c r="B759" s="2" t="s">
        <v>2</v>
      </c>
      <c r="C759" s="2">
        <v>50</v>
      </c>
      <c r="E759">
        <f t="shared" si="20"/>
        <v>25</v>
      </c>
      <c r="G759" s="11"/>
      <c r="H759" t="str">
        <f t="shared" si="23"/>
        <v>ALTER TABLE subfunctionarea ADD malicioustrafficthreshold nvarchar2(50);</v>
      </c>
    </row>
    <row r="760" spans="1:8" x14ac:dyDescent="0.3">
      <c r="A760" t="s">
        <v>1442</v>
      </c>
      <c r="B760" s="2" t="s">
        <v>2</v>
      </c>
      <c r="C760" s="2">
        <v>50</v>
      </c>
      <c r="E760">
        <f t="shared" si="20"/>
        <v>23</v>
      </c>
      <c r="G760" s="11"/>
      <c r="H760" t="str">
        <f t="shared" si="23"/>
        <v>ALTER TABLE subfunctionarea ADD excessivetrafficlogging nvarchar2(50);</v>
      </c>
    </row>
    <row r="761" spans="1:8" x14ac:dyDescent="0.3">
      <c r="A761" t="s">
        <v>1443</v>
      </c>
      <c r="B761" s="2" t="s">
        <v>2</v>
      </c>
      <c r="C761" s="2">
        <v>50</v>
      </c>
      <c r="E761">
        <f t="shared" si="20"/>
        <v>17</v>
      </c>
      <c r="G761" s="11"/>
      <c r="H761" t="str">
        <f t="shared" si="23"/>
        <v>ALTER TABLE subfunctionarea ADD crcerrorthreshold nvarchar2(50);</v>
      </c>
    </row>
    <row r="762" spans="1:8" x14ac:dyDescent="0.3">
      <c r="A762" t="s">
        <v>1444</v>
      </c>
      <c r="B762" s="2" t="s">
        <v>2</v>
      </c>
      <c r="C762" s="2">
        <v>50</v>
      </c>
      <c r="E762">
        <f t="shared" si="20"/>
        <v>23</v>
      </c>
      <c r="G762" s="11"/>
      <c r="H762" t="str">
        <f t="shared" si="23"/>
        <v>ALTER TABLE subfunctionarea ADD malicioustrafficlogging nvarchar2(50);</v>
      </c>
    </row>
    <row r="763" spans="1:8" x14ac:dyDescent="0.3">
      <c r="A763" t="s">
        <v>1445</v>
      </c>
      <c r="B763" s="2" t="s">
        <v>2</v>
      </c>
      <c r="C763" s="2">
        <v>50</v>
      </c>
      <c r="E763">
        <f t="shared" si="20"/>
        <v>24</v>
      </c>
      <c r="G763" s="11"/>
      <c r="H763" t="str">
        <f t="shared" si="23"/>
        <v>ALTER TABLE subfunctionarea ADD switchoveronnexthopfault nvarchar2(50);</v>
      </c>
    </row>
    <row r="764" spans="1:8" x14ac:dyDescent="0.3">
      <c r="A764" t="s">
        <v>1446</v>
      </c>
      <c r="B764" s="2" t="s">
        <v>2</v>
      </c>
      <c r="C764" s="2">
        <v>50</v>
      </c>
      <c r="E764">
        <f t="shared" si="20"/>
        <v>23</v>
      </c>
      <c r="G764" s="11"/>
      <c r="H764" t="str">
        <f t="shared" si="23"/>
        <v>ALTER TABLE subfunctionarea ADD addrcollsolvedthreshold nvarchar2(50);</v>
      </c>
    </row>
    <row r="765" spans="1:8" x14ac:dyDescent="0.3">
      <c r="A765" t="s">
        <v>1447</v>
      </c>
      <c r="B765" s="2" t="s">
        <v>2</v>
      </c>
      <c r="C765" s="2">
        <v>50</v>
      </c>
      <c r="E765">
        <f t="shared" si="20"/>
        <v>27</v>
      </c>
      <c r="G765" s="11"/>
      <c r="H765" t="str">
        <f t="shared" si="23"/>
        <v>ALTER TABLE subfunctionarea ADD nexthopslowsupervisiontimer nvarchar2(50);</v>
      </c>
    </row>
    <row r="766" spans="1:8" x14ac:dyDescent="0.3">
      <c r="A766" t="s">
        <v>1448</v>
      </c>
      <c r="B766" s="2" t="s">
        <v>2</v>
      </c>
      <c r="C766" s="2">
        <v>50</v>
      </c>
      <c r="E766">
        <f t="shared" si="20"/>
        <v>24</v>
      </c>
      <c r="G766" s="11"/>
      <c r="H766" t="str">
        <f t="shared" si="23"/>
        <v>ALTER TABLE subfunctionarea ADD addrcollsupervisiontimer nvarchar2(50);</v>
      </c>
    </row>
    <row r="767" spans="1:8" x14ac:dyDescent="0.3">
      <c r="A767" t="s">
        <v>1449</v>
      </c>
      <c r="B767" s="2" t="s">
        <v>2</v>
      </c>
      <c r="C767" s="2">
        <v>50</v>
      </c>
      <c r="E767">
        <f t="shared" si="20"/>
        <v>23</v>
      </c>
      <c r="G767" s="11"/>
      <c r="H767" t="str">
        <f t="shared" si="23"/>
        <v>ALTER TABLE subfunctionarea ADD bgfnetworksupervisionid nvarchar2(50);</v>
      </c>
    </row>
    <row r="768" spans="1:8" x14ac:dyDescent="0.3">
      <c r="A768" t="s">
        <v>1450</v>
      </c>
      <c r="B768" s="2" t="s">
        <v>2</v>
      </c>
      <c r="C768" s="2">
        <v>50</v>
      </c>
      <c r="E768">
        <f t="shared" si="20"/>
        <v>25</v>
      </c>
      <c r="G768" s="11"/>
      <c r="H768" t="str">
        <f t="shared" si="23"/>
        <v>ALTER TABLE subfunctionarea ADD nexthopreachablethreshold nvarchar2(50);</v>
      </c>
    </row>
    <row r="769" spans="1:8" x14ac:dyDescent="0.3">
      <c r="A769" t="s">
        <v>1451</v>
      </c>
      <c r="B769" s="2" t="s">
        <v>2</v>
      </c>
      <c r="C769" s="2">
        <v>50</v>
      </c>
      <c r="E769">
        <f t="shared" si="20"/>
        <v>27</v>
      </c>
      <c r="G769" s="11"/>
      <c r="H769" t="str">
        <f t="shared" si="23"/>
        <v>ALTER TABLE subfunctionarea ADD nexthopfastsupervisiontimer nvarchar2(50);</v>
      </c>
    </row>
    <row r="770" spans="1:8" x14ac:dyDescent="0.3">
      <c r="A770" t="s">
        <v>1452</v>
      </c>
      <c r="B770" s="2" t="s">
        <v>2</v>
      </c>
      <c r="C770" s="2">
        <v>50</v>
      </c>
      <c r="E770">
        <f t="shared" si="20"/>
        <v>27</v>
      </c>
      <c r="G770" s="11"/>
      <c r="H770" t="str">
        <f t="shared" si="23"/>
        <v>ALTER TABLE subfunctionarea ADD nexthopdownsupervisiontimer nvarchar2(50);</v>
      </c>
    </row>
    <row r="771" spans="1:8" x14ac:dyDescent="0.3">
      <c r="A771" t="s">
        <v>1453</v>
      </c>
      <c r="B771" s="2" t="s">
        <v>2</v>
      </c>
      <c r="C771" s="2">
        <v>50</v>
      </c>
      <c r="E771">
        <f t="shared" si="20"/>
        <v>10</v>
      </c>
      <c r="G771" s="11"/>
      <c r="H771" t="str">
        <f t="shared" si="23"/>
        <v>ALTER TABLE subfunctionarea ADD dscptopbit nvarchar2(50);</v>
      </c>
    </row>
    <row r="772" spans="1:8" x14ac:dyDescent="0.3">
      <c r="A772" t="s">
        <v>1454</v>
      </c>
      <c r="B772" s="2" t="s">
        <v>2</v>
      </c>
      <c r="C772" s="2">
        <v>50</v>
      </c>
      <c r="E772">
        <f t="shared" si="20"/>
        <v>15</v>
      </c>
      <c r="G772" s="11"/>
      <c r="H772" t="str">
        <f t="shared" si="23"/>
        <v>ALTER TABLE subfunctionarea ADD bgfdscptopbitid nvarchar2(50);</v>
      </c>
    </row>
    <row r="773" spans="1:8" x14ac:dyDescent="0.3">
      <c r="A773" t="s">
        <v>1455</v>
      </c>
      <c r="B773" s="2" t="s">
        <v>2</v>
      </c>
      <c r="C773" s="2">
        <v>50</v>
      </c>
      <c r="E773">
        <f t="shared" si="20"/>
        <v>12</v>
      </c>
      <c r="G773" s="11"/>
      <c r="H773" t="str">
        <f t="shared" si="23"/>
        <v>ALTER TABLE subfunctionarea ADD efrserviceid nvarchar2(50);</v>
      </c>
    </row>
    <row r="774" spans="1:8" x14ac:dyDescent="0.3">
      <c r="A774" t="s">
        <v>1456</v>
      </c>
      <c r="B774" s="2" t="s">
        <v>2</v>
      </c>
      <c r="C774" s="2">
        <v>50</v>
      </c>
      <c r="E774">
        <f t="shared" si="20"/>
        <v>11</v>
      </c>
      <c r="G774" s="11"/>
      <c r="H774" t="str">
        <f t="shared" si="23"/>
        <v>ALTER TABLE subfunctionarea ADD profiledata nvarchar2(50);</v>
      </c>
    </row>
    <row r="775" spans="1:8" x14ac:dyDescent="0.3">
      <c r="A775" t="s">
        <v>786</v>
      </c>
      <c r="B775" s="2" t="s">
        <v>2</v>
      </c>
      <c r="C775" s="2">
        <v>50</v>
      </c>
      <c r="E775">
        <f t="shared" si="20"/>
        <v>12</v>
      </c>
      <c r="G775" s="11"/>
      <c r="H775" t="str">
        <f t="shared" si="23"/>
        <v>ALTER TABLE subfunctionarea ADD amrserviceid nvarchar2(50);</v>
      </c>
    </row>
    <row r="776" spans="1:8" x14ac:dyDescent="0.3">
      <c r="B776" s="2"/>
      <c r="C776" s="2"/>
      <c r="G776" s="11"/>
    </row>
    <row r="777" spans="1:8" x14ac:dyDescent="0.3">
      <c r="A777" t="s">
        <v>1301</v>
      </c>
      <c r="B777" s="2" t="s">
        <v>2</v>
      </c>
      <c r="C777" s="2">
        <v>50</v>
      </c>
      <c r="D777" t="s">
        <v>333</v>
      </c>
      <c r="E777">
        <f t="shared" si="20"/>
        <v>30</v>
      </c>
      <c r="G777" s="11" t="str">
        <f t="shared" ref="G777:G805" si="24">_xlfn.CONCAT("'",A777,"'","NVARCHAR2(50),")</f>
        <v>'mtassipsuportpserveduserheader'NVARCHAR2(50),</v>
      </c>
      <c r="H777" t="str">
        <f>_xlfn.CONCAT("subfunctionarea;",F777,";false;subfnctionarea;",A777,";50")</f>
        <v>subfunctionarea;;false;subfnctionarea;mtassipsuportpserveduserheader;50</v>
      </c>
    </row>
    <row r="778" spans="1:8" x14ac:dyDescent="0.3">
      <c r="A778" t="s">
        <v>1302</v>
      </c>
      <c r="B778" s="2" t="s">
        <v>2</v>
      </c>
      <c r="C778" s="2">
        <v>50</v>
      </c>
      <c r="D778" t="s">
        <v>331</v>
      </c>
      <c r="E778">
        <f t="shared" si="20"/>
        <v>29</v>
      </c>
      <c r="G778" s="11" t="str">
        <f t="shared" si="24"/>
        <v>'mtaschargccrstoragemaxnoofccr'NVARCHAR2(50),</v>
      </c>
      <c r="H778" t="str">
        <f t="shared" ref="H778:H805" si="25">_xlfn.CONCAT("subfunctionarea;",F778,";false;subfnctionarea;",A778,";50")</f>
        <v>subfunctionarea;;false;subfnctionarea;mtaschargccrstoragemaxnoofccr;50</v>
      </c>
    </row>
    <row r="779" spans="1:8" x14ac:dyDescent="0.3">
      <c r="A779" t="s">
        <v>1303</v>
      </c>
      <c r="B779" s="2" t="s">
        <v>2</v>
      </c>
      <c r="C779" s="2">
        <v>50</v>
      </c>
      <c r="D779" t="s">
        <v>320</v>
      </c>
      <c r="E779">
        <f t="shared" si="20"/>
        <v>29</v>
      </c>
      <c r="G779" s="11" t="str">
        <f t="shared" si="24"/>
        <v>'mtasxdmscai3girsdeftimpuusage'NVARCHAR2(50),</v>
      </c>
      <c r="H779" t="str">
        <f t="shared" si="25"/>
        <v>subfunctionarea;;false;subfnctionarea;mtasxdmscai3girsdeftimpuusage;50</v>
      </c>
    </row>
    <row r="780" spans="1:8" x14ac:dyDescent="0.3">
      <c r="A780" t="s">
        <v>1304</v>
      </c>
      <c r="B780" s="2" t="s">
        <v>2</v>
      </c>
      <c r="C780" s="2">
        <v>50</v>
      </c>
      <c r="D780" t="s">
        <v>326</v>
      </c>
      <c r="E780">
        <f t="shared" si="20"/>
        <v>30</v>
      </c>
      <c r="G780" s="11" t="str">
        <f t="shared" si="24"/>
        <v>'mtaschargccrstoragemaxfilesize'NVARCHAR2(50),</v>
      </c>
      <c r="H780" t="str">
        <f t="shared" si="25"/>
        <v>subfunctionarea;;false;subfnctionarea;mtaschargccrstoragemaxfilesize;50</v>
      </c>
    </row>
    <row r="781" spans="1:8" x14ac:dyDescent="0.3">
      <c r="A781" t="s">
        <v>1305</v>
      </c>
      <c r="B781" s="2" t="s">
        <v>2</v>
      </c>
      <c r="C781" s="2">
        <v>50</v>
      </c>
      <c r="D781" t="s">
        <v>336</v>
      </c>
      <c r="E781">
        <f t="shared" si="20"/>
        <v>30</v>
      </c>
      <c r="G781" s="11" t="str">
        <f t="shared" si="24"/>
        <v>'mtassipofferanswerexchangectrl'NVARCHAR2(50),</v>
      </c>
      <c r="H781" t="str">
        <f t="shared" si="25"/>
        <v>subfunctionarea;;false;subfnctionarea;mtassipofferanswerexchangectrl;50</v>
      </c>
    </row>
    <row r="782" spans="1:8" x14ac:dyDescent="0.3">
      <c r="A782" t="s">
        <v>1298</v>
      </c>
      <c r="B782" s="2" t="s">
        <v>2</v>
      </c>
      <c r="C782" s="2">
        <v>50</v>
      </c>
      <c r="D782" t="s">
        <v>318</v>
      </c>
      <c r="E782">
        <f t="shared" si="20"/>
        <v>28</v>
      </c>
      <c r="G782" s="11" t="str">
        <f t="shared" si="24"/>
        <v>'mtasscaltimebasedscalenabled'NVARCHAR2(50),</v>
      </c>
      <c r="H782" t="str">
        <f t="shared" si="25"/>
        <v>subfunctionarea;;false;subfnctionarea;mtasscaltimebasedscalenabled;50</v>
      </c>
    </row>
    <row r="783" spans="1:8" x14ac:dyDescent="0.3">
      <c r="A783" t="s">
        <v>1306</v>
      </c>
      <c r="B783" s="2" t="s">
        <v>2</v>
      </c>
      <c r="C783" s="2">
        <v>50</v>
      </c>
      <c r="D783" t="s">
        <v>342</v>
      </c>
      <c r="E783">
        <f t="shared" si="20"/>
        <v>30</v>
      </c>
      <c r="G783" s="11" t="str">
        <f t="shared" si="24"/>
        <v>'mtassubsdtadisblenotifirsupdte'NVARCHAR2(50),</v>
      </c>
      <c r="H783" t="str">
        <f t="shared" si="25"/>
        <v>subfunctionarea;;false;subfnctionarea;mtassubsdtadisblenotifirsupdte;50</v>
      </c>
    </row>
    <row r="784" spans="1:8" x14ac:dyDescent="0.3">
      <c r="A784" t="s">
        <v>1307</v>
      </c>
      <c r="B784" s="2" t="s">
        <v>2</v>
      </c>
      <c r="C784" s="2">
        <v>50</v>
      </c>
      <c r="D784" t="s">
        <v>324</v>
      </c>
      <c r="E784">
        <f t="shared" si="20"/>
        <v>28</v>
      </c>
      <c r="G784" s="11" t="str">
        <f t="shared" si="24"/>
        <v>'mtastraceehprintreasonsubsid'NVARCHAR2(50),</v>
      </c>
      <c r="H784" t="str">
        <f t="shared" si="25"/>
        <v>subfunctionarea;;false;subfnctionarea;mtastraceehprintreasonsubsid;50</v>
      </c>
    </row>
    <row r="785" spans="1:8" x14ac:dyDescent="0.3">
      <c r="A785" t="s">
        <v>1308</v>
      </c>
      <c r="B785" s="2" t="s">
        <v>2</v>
      </c>
      <c r="C785" s="2">
        <v>50</v>
      </c>
      <c r="D785" t="s">
        <v>340</v>
      </c>
      <c r="E785">
        <f t="shared" si="20"/>
        <v>30</v>
      </c>
      <c r="G785" s="11" t="str">
        <f t="shared" si="24"/>
        <v>'mtassipadditionalinfoinnegresp'NVARCHAR2(50),</v>
      </c>
      <c r="H785" t="str">
        <f t="shared" si="25"/>
        <v>subfunctionarea;;false;subfnctionarea;mtassipadditionalinfoinnegresp;50</v>
      </c>
    </row>
    <row r="786" spans="1:8" x14ac:dyDescent="0.3">
      <c r="A786" t="s">
        <v>1309</v>
      </c>
      <c r="B786" s="2" t="s">
        <v>2</v>
      </c>
      <c r="C786" s="2">
        <v>50</v>
      </c>
      <c r="D786" t="s">
        <v>338</v>
      </c>
      <c r="E786">
        <f t="shared" si="20"/>
        <v>29</v>
      </c>
      <c r="G786" s="11" t="str">
        <f t="shared" si="24"/>
        <v>'mtassipsdpinsesionrefreshresp'NVARCHAR2(50),</v>
      </c>
      <c r="H786" t="str">
        <f t="shared" si="25"/>
        <v>subfunctionarea;;false;subfnctionarea;mtassipsdpinsesionrefreshresp;50</v>
      </c>
    </row>
    <row r="787" spans="1:8" x14ac:dyDescent="0.3">
      <c r="A787" t="s">
        <v>1310</v>
      </c>
      <c r="B787" s="2" t="s">
        <v>2</v>
      </c>
      <c r="C787" s="2">
        <v>50</v>
      </c>
      <c r="D787" t="s">
        <v>330</v>
      </c>
      <c r="E787">
        <f t="shared" si="20"/>
        <v>30</v>
      </c>
      <c r="G787" s="11" t="str">
        <f t="shared" si="24"/>
        <v>'mtaschargccrstormaxtimeperfile'NVARCHAR2(50),</v>
      </c>
      <c r="H787" t="str">
        <f t="shared" si="25"/>
        <v>subfunctionarea;;false;subfnctionarea;mtaschargccrstormaxtimeperfile;50</v>
      </c>
    </row>
    <row r="788" spans="1:8" x14ac:dyDescent="0.3">
      <c r="A788" t="s">
        <v>1311</v>
      </c>
      <c r="B788" s="2" t="s">
        <v>2</v>
      </c>
      <c r="C788" s="2">
        <v>50</v>
      </c>
      <c r="D788" t="s">
        <v>344</v>
      </c>
      <c r="E788">
        <f t="shared" si="20"/>
        <v>30</v>
      </c>
      <c r="G788" s="11" t="str">
        <f t="shared" si="24"/>
        <v>'mtassubsdtammteldvicefilexclde'NVARCHAR2(50),</v>
      </c>
      <c r="H788" t="str">
        <f t="shared" si="25"/>
        <v>subfunctionarea;;false;subfnctionarea;mtassubsdtammteldvicefilexclde;50</v>
      </c>
    </row>
    <row r="789" spans="1:8" x14ac:dyDescent="0.3">
      <c r="A789" t="s">
        <v>1312</v>
      </c>
      <c r="B789" s="2" t="s">
        <v>2</v>
      </c>
      <c r="C789" s="2">
        <v>50</v>
      </c>
      <c r="D789" t="s">
        <v>343</v>
      </c>
      <c r="E789">
        <f t="shared" si="20"/>
        <v>30</v>
      </c>
      <c r="G789" s="11" t="str">
        <f t="shared" si="24"/>
        <v>'mtassubsdtamteldvicefiltinclde'NVARCHAR2(50),</v>
      </c>
      <c r="H789" t="str">
        <f t="shared" si="25"/>
        <v>subfunctionarea;;false;subfnctionarea;mtassubsdtamteldvicefiltinclde;50</v>
      </c>
    </row>
    <row r="790" spans="1:8" x14ac:dyDescent="0.3">
      <c r="A790" t="s">
        <v>1313</v>
      </c>
      <c r="B790" s="2" t="s">
        <v>2</v>
      </c>
      <c r="C790" s="2">
        <v>50</v>
      </c>
      <c r="D790" t="s">
        <v>323</v>
      </c>
      <c r="E790">
        <f t="shared" si="20"/>
        <v>30</v>
      </c>
      <c r="G790" s="11" t="str">
        <f t="shared" si="24"/>
        <v>'mtastrcehprintresonsipresonhed'NVARCHAR2(50),</v>
      </c>
      <c r="H790" t="str">
        <f t="shared" si="25"/>
        <v>subfunctionarea;;false;subfnctionarea;mtastrcehprintresonsipresonhed;50</v>
      </c>
    </row>
    <row r="791" spans="1:8" x14ac:dyDescent="0.3">
      <c r="A791" t="s">
        <v>1314</v>
      </c>
      <c r="B791" s="2" t="s">
        <v>2</v>
      </c>
      <c r="C791" s="2">
        <v>50</v>
      </c>
      <c r="D791" t="s">
        <v>277</v>
      </c>
      <c r="E791">
        <f t="shared" si="20"/>
        <v>30</v>
      </c>
      <c r="G791" s="11" t="str">
        <f t="shared" si="24"/>
        <v>'noofattmpofassociationestablsh'NVARCHAR2(50),</v>
      </c>
      <c r="H791" t="str">
        <f t="shared" si="25"/>
        <v>subfunctionarea;;false;subfnctionarea;noofattmpofassociationestablsh;50</v>
      </c>
    </row>
    <row r="792" spans="1:8" x14ac:dyDescent="0.3">
      <c r="A792" t="s">
        <v>1315</v>
      </c>
      <c r="B792" s="2" t="s">
        <v>2</v>
      </c>
      <c r="C792" s="2">
        <v>50</v>
      </c>
      <c r="D792" t="s">
        <v>321</v>
      </c>
      <c r="E792">
        <f t="shared" si="20"/>
        <v>30</v>
      </c>
      <c r="G792" s="11" t="str">
        <f t="shared" si="24"/>
        <v>'mtastrcehprintreasonsipwarnhed'NVARCHAR2(50),</v>
      </c>
      <c r="H792" t="str">
        <f t="shared" si="25"/>
        <v>subfunctionarea;;false;subfnctionarea;mtastrcehprintreasonsipwarnhed;50</v>
      </c>
    </row>
    <row r="793" spans="1:8" x14ac:dyDescent="0.3">
      <c r="A793" t="s">
        <v>1316</v>
      </c>
      <c r="B793" s="2" t="s">
        <v>2</v>
      </c>
      <c r="C793" s="2">
        <v>50</v>
      </c>
      <c r="D793" t="s">
        <v>345</v>
      </c>
      <c r="E793">
        <f t="shared" si="20"/>
        <v>30</v>
      </c>
      <c r="G793" s="11" t="str">
        <f t="shared" si="24"/>
        <v>'mtassubsdtasccinitselctawarnes'NVARCHAR2(50),</v>
      </c>
      <c r="H793" t="str">
        <f t="shared" si="25"/>
        <v>subfunctionarea;;false;subfnctionarea;mtassubsdtasccinitselctawarnes;50</v>
      </c>
    </row>
    <row r="794" spans="1:8" x14ac:dyDescent="0.3">
      <c r="A794" t="s">
        <v>1317</v>
      </c>
      <c r="B794" s="2" t="s">
        <v>2</v>
      </c>
      <c r="C794" s="2">
        <v>50</v>
      </c>
      <c r="D794" t="s">
        <v>319</v>
      </c>
      <c r="E794">
        <f t="shared" si="20"/>
        <v>29</v>
      </c>
      <c r="G794" s="11" t="str">
        <f t="shared" si="24"/>
        <v>'mtasxdmscallidnumnormtranslat'NVARCHAR2(50),</v>
      </c>
      <c r="H794" t="str">
        <f t="shared" si="25"/>
        <v>subfunctionarea;;false;subfnctionarea;mtasxdmscallidnumnormtranslat;50</v>
      </c>
    </row>
    <row r="795" spans="1:8" x14ac:dyDescent="0.3">
      <c r="A795" t="s">
        <v>1318</v>
      </c>
      <c r="B795" s="2" t="s">
        <v>2</v>
      </c>
      <c r="C795" s="2">
        <v>50</v>
      </c>
      <c r="D795" t="s">
        <v>341</v>
      </c>
      <c r="E795">
        <f t="shared" si="20"/>
        <v>29</v>
      </c>
      <c r="G795" s="11" t="str">
        <f t="shared" si="24"/>
        <v>'mtassipenblsesionreferlyupdte'NVARCHAR2(50),</v>
      </c>
      <c r="H795" t="str">
        <f t="shared" si="25"/>
        <v>subfunctionarea;;false;subfnctionarea;mtassipenblsesionreferlyupdte;50</v>
      </c>
    </row>
    <row r="796" spans="1:8" x14ac:dyDescent="0.3">
      <c r="A796" t="s">
        <v>1319</v>
      </c>
      <c r="B796" s="2" t="s">
        <v>2</v>
      </c>
      <c r="C796" s="2">
        <v>50</v>
      </c>
      <c r="D796" t="s">
        <v>337</v>
      </c>
      <c r="E796">
        <f t="shared" si="20"/>
        <v>28</v>
      </c>
      <c r="G796" s="11" t="str">
        <f t="shared" si="24"/>
        <v>'mtassipremsuportedhedineresp'NVARCHAR2(50),</v>
      </c>
      <c r="H796" t="str">
        <f t="shared" si="25"/>
        <v>subfunctionarea;;false;subfnctionarea;mtassipremsuportedhedineresp;50</v>
      </c>
    </row>
    <row r="797" spans="1:8" x14ac:dyDescent="0.3">
      <c r="A797" t="s">
        <v>1320</v>
      </c>
      <c r="B797" s="2" t="s">
        <v>2</v>
      </c>
      <c r="C797" s="2">
        <v>50</v>
      </c>
      <c r="D797" t="s">
        <v>328</v>
      </c>
      <c r="E797">
        <f t="shared" si="20"/>
        <v>30</v>
      </c>
      <c r="G797" s="11" t="str">
        <f t="shared" si="24"/>
        <v>'mtaschargmrfusrinputerhandlprf'NVARCHAR2(50),</v>
      </c>
      <c r="H797" t="str">
        <f t="shared" si="25"/>
        <v>subfunctionarea;;false;subfnctionarea;mtaschargmrfusrinputerhandlprf;50</v>
      </c>
    </row>
    <row r="798" spans="1:8" x14ac:dyDescent="0.3">
      <c r="A798" t="s">
        <v>1321</v>
      </c>
      <c r="B798" s="2" t="s">
        <v>2</v>
      </c>
      <c r="C798" s="2">
        <v>50</v>
      </c>
      <c r="D798" t="s">
        <v>334</v>
      </c>
      <c r="E798">
        <f t="shared" si="20"/>
        <v>30</v>
      </c>
      <c r="G798" s="11" t="str">
        <f t="shared" si="24"/>
        <v>'mtasipremreferparaminerlyupdte'NVARCHAR2(50),</v>
      </c>
      <c r="H798" t="str">
        <f t="shared" si="25"/>
        <v>subfunctionarea;;false;subfnctionarea;mtasipremreferparaminerlyupdte;50</v>
      </c>
    </row>
    <row r="799" spans="1:8" x14ac:dyDescent="0.3">
      <c r="A799" t="s">
        <v>1322</v>
      </c>
      <c r="B799" s="2" t="s">
        <v>2</v>
      </c>
      <c r="C799" s="2">
        <v>50</v>
      </c>
      <c r="D799" t="s">
        <v>332</v>
      </c>
      <c r="E799">
        <f t="shared" si="20"/>
        <v>28</v>
      </c>
      <c r="G799" s="11" t="str">
        <f t="shared" si="24"/>
        <v>'mtasiptermioncnclndanscrsovr'NVARCHAR2(50),</v>
      </c>
      <c r="H799" t="str">
        <f t="shared" si="25"/>
        <v>subfunctionarea;;false;subfnctionarea;mtasiptermioncnclndanscrsovr;50</v>
      </c>
    </row>
    <row r="800" spans="1:8" x14ac:dyDescent="0.3">
      <c r="A800" t="s">
        <v>1323</v>
      </c>
      <c r="B800" s="2" t="s">
        <v>2</v>
      </c>
      <c r="C800" s="2">
        <v>50</v>
      </c>
      <c r="D800" t="s">
        <v>339</v>
      </c>
      <c r="E800">
        <f t="shared" si="20"/>
        <v>30</v>
      </c>
      <c r="G800" s="11" t="str">
        <f t="shared" si="24"/>
        <v>'mtasipchngreferoleininvndupdte'NVARCHAR2(50),</v>
      </c>
      <c r="H800" t="str">
        <f t="shared" si="25"/>
        <v>subfunctionarea;;false;subfnctionarea;mtasipchngreferoleininvndupdte;50</v>
      </c>
    </row>
    <row r="801" spans="1:8" x14ac:dyDescent="0.3">
      <c r="A801" t="s">
        <v>1324</v>
      </c>
      <c r="B801" s="2" t="s">
        <v>2</v>
      </c>
      <c r="C801" s="2">
        <v>50</v>
      </c>
      <c r="D801" t="s">
        <v>335</v>
      </c>
      <c r="E801">
        <f t="shared" si="20"/>
        <v>28</v>
      </c>
      <c r="G801" s="11" t="str">
        <f t="shared" si="24"/>
        <v>'mtassipsesrefnegoinerlyupdte'NVARCHAR2(50),</v>
      </c>
      <c r="H801" t="str">
        <f t="shared" si="25"/>
        <v>subfunctionarea;;false;subfnctionarea;mtassipsesrefnegoinerlyupdte;50</v>
      </c>
    </row>
    <row r="802" spans="1:8" x14ac:dyDescent="0.3">
      <c r="A802" t="s">
        <v>1325</v>
      </c>
      <c r="B802" s="2" t="s">
        <v>2</v>
      </c>
      <c r="C802" s="2">
        <v>50</v>
      </c>
      <c r="D802" t="s">
        <v>322</v>
      </c>
      <c r="E802">
        <f t="shared" si="20"/>
        <v>30</v>
      </c>
      <c r="G802" s="11" t="str">
        <f t="shared" si="24"/>
        <v>'mtastrcehprtresonsiprdndercode'NVARCHAR2(50),</v>
      </c>
      <c r="H802" t="str">
        <f t="shared" si="25"/>
        <v>subfunctionarea;;false;subfnctionarea;mtastrcehprtresonsiprdndercode;50</v>
      </c>
    </row>
    <row r="803" spans="1:8" x14ac:dyDescent="0.3">
      <c r="A803" t="s">
        <v>1326</v>
      </c>
      <c r="B803" s="2" t="s">
        <v>2</v>
      </c>
      <c r="C803" s="2">
        <v>50</v>
      </c>
      <c r="D803" t="s">
        <v>327</v>
      </c>
      <c r="E803">
        <f t="shared" si="20"/>
        <v>30</v>
      </c>
      <c r="G803" s="11" t="str">
        <f t="shared" si="24"/>
        <v>'mtaschargsubscrednotifmrfoffer'NVARCHAR2(50),</v>
      </c>
      <c r="H803" t="str">
        <f t="shared" si="25"/>
        <v>subfunctionarea;;false;subfnctionarea;mtaschargsubscrednotifmrfoffer;50</v>
      </c>
    </row>
    <row r="804" spans="1:8" x14ac:dyDescent="0.3">
      <c r="A804" t="s">
        <v>1327</v>
      </c>
      <c r="B804" s="2" t="s">
        <v>2</v>
      </c>
      <c r="C804" s="2">
        <v>50</v>
      </c>
      <c r="D804" t="s">
        <v>329</v>
      </c>
      <c r="E804">
        <f t="shared" si="20"/>
        <v>28</v>
      </c>
      <c r="G804" s="11" t="str">
        <f t="shared" si="24"/>
        <v>'mtaschargsubsccrednotifvddir'NVARCHAR2(50),</v>
      </c>
      <c r="H804" t="str">
        <f t="shared" si="25"/>
        <v>subfunctionarea;;false;subfnctionarea;mtaschargsubsccrednotifvddir;50</v>
      </c>
    </row>
    <row r="805" spans="1:8" x14ac:dyDescent="0.3">
      <c r="A805" t="s">
        <v>1328</v>
      </c>
      <c r="B805" s="2" t="s">
        <v>2</v>
      </c>
      <c r="C805" s="2">
        <v>50</v>
      </c>
      <c r="D805" t="s">
        <v>325</v>
      </c>
      <c r="E805">
        <f t="shared" si="20"/>
        <v>30</v>
      </c>
      <c r="G805" s="11" t="str">
        <f t="shared" si="24"/>
        <v>'mtaschrgsubcrnotifoferestmdtrg'NVARCHAR2(50),</v>
      </c>
      <c r="H805" t="str">
        <f t="shared" si="25"/>
        <v>subfunctionarea;;false;subfnctionarea;mtaschrgsubcrnotifoferestmdtrg;50</v>
      </c>
    </row>
    <row r="810" spans="1:8" x14ac:dyDescent="0.3">
      <c r="A810" s="12"/>
    </row>
    <row r="812" spans="1:8" x14ac:dyDescent="0.3">
      <c r="A812" s="12"/>
    </row>
    <row r="813" spans="1:8" x14ac:dyDescent="0.3">
      <c r="A813" s="12"/>
    </row>
    <row r="814" spans="1:8" x14ac:dyDescent="0.3">
      <c r="A814" s="12"/>
    </row>
    <row r="815" spans="1:8" x14ac:dyDescent="0.3">
      <c r="A815" s="12"/>
    </row>
  </sheetData>
  <autoFilter ref="A1:E805" xr:uid="{8563570D-AC23-4E1C-830F-99802B92F702}"/>
  <sortState xmlns:xlrd2="http://schemas.microsoft.com/office/spreadsheetml/2017/richdata2" ref="A373:E646">
    <sortCondition ref="A373:A646"/>
  </sortState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EDC95-D377-4475-AC36-BFE92D1C9895}">
  <dimension ref="A1:G126"/>
  <sheetViews>
    <sheetView tabSelected="1" topLeftCell="A109" workbookViewId="0">
      <selection activeCell="L117" sqref="L117"/>
    </sheetView>
  </sheetViews>
  <sheetFormatPr defaultRowHeight="14.4" x14ac:dyDescent="0.3"/>
  <cols>
    <col min="1" max="3" width="30.77734375" bestFit="1" customWidth="1"/>
    <col min="5" max="5" width="11.21875" customWidth="1"/>
    <col min="6" max="6" width="14.33203125" bestFit="1" customWidth="1"/>
    <col min="7" max="7" width="30.77734375" bestFit="1" customWidth="1"/>
  </cols>
  <sheetData>
    <row r="1" spans="1:7" x14ac:dyDescent="0.3">
      <c r="A1" s="1" t="s">
        <v>119</v>
      </c>
      <c r="B1" s="1" t="s">
        <v>118</v>
      </c>
      <c r="C1" s="9" t="s">
        <v>775</v>
      </c>
      <c r="D1" s="13" t="s">
        <v>117</v>
      </c>
      <c r="E1" s="14" t="s">
        <v>1285</v>
      </c>
      <c r="F1" s="9" t="s">
        <v>1581</v>
      </c>
      <c r="G1" s="9"/>
    </row>
    <row r="2" spans="1:7" x14ac:dyDescent="0.3">
      <c r="A2" t="s">
        <v>1457</v>
      </c>
      <c r="B2" t="s">
        <v>2</v>
      </c>
      <c r="D2">
        <v>50</v>
      </c>
      <c r="E2" t="b">
        <v>0</v>
      </c>
      <c r="F2">
        <f>LEN(A2)</f>
        <v>5</v>
      </c>
      <c r="G2" t="str">
        <f>CONCATENATE("'",A2,"' nvarchar2(",D2,"),")</f>
        <v>'tsack' nvarchar2(50),</v>
      </c>
    </row>
    <row r="3" spans="1:7" x14ac:dyDescent="0.3">
      <c r="A3" t="s">
        <v>1458</v>
      </c>
      <c r="B3" t="s">
        <v>2</v>
      </c>
      <c r="D3">
        <v>50</v>
      </c>
      <c r="E3" t="b">
        <v>0</v>
      </c>
      <c r="F3">
        <f t="shared" ref="F3:F66" si="0">LEN(A3)</f>
        <v>17</v>
      </c>
      <c r="G3" t="str">
        <f t="shared" ref="G3:G66" si="1">CONCATENATE("'",A3,"' nvarchar2(",D3,"),")</f>
        <v>'maxincomingstream' nvarchar2(50),</v>
      </c>
    </row>
    <row r="4" spans="1:7" x14ac:dyDescent="0.3">
      <c r="A4" t="s">
        <v>1459</v>
      </c>
      <c r="B4" t="s">
        <v>2</v>
      </c>
      <c r="D4">
        <v>50</v>
      </c>
      <c r="E4" t="b">
        <v>0</v>
      </c>
      <c r="F4">
        <f t="shared" si="0"/>
        <v>17</v>
      </c>
      <c r="G4" t="str">
        <f t="shared" si="1"/>
        <v>'heartbeatmaxburst' nvarchar2(50),</v>
      </c>
    </row>
    <row r="5" spans="1:7" x14ac:dyDescent="0.3">
      <c r="A5" t="s">
        <v>1460</v>
      </c>
      <c r="B5" t="s">
        <v>2</v>
      </c>
      <c r="D5">
        <v>50</v>
      </c>
      <c r="E5" t="b">
        <v>0</v>
      </c>
      <c r="F5">
        <f t="shared" si="0"/>
        <v>23</v>
      </c>
      <c r="G5" t="str">
        <f t="shared" si="1"/>
        <v>'potentiallyfailedmaxrtx' nvarchar2(50),</v>
      </c>
    </row>
    <row r="6" spans="1:7" x14ac:dyDescent="0.3">
      <c r="A6" t="s">
        <v>1461</v>
      </c>
      <c r="B6" t="s">
        <v>2</v>
      </c>
      <c r="D6">
        <v>50</v>
      </c>
      <c r="E6" t="b">
        <v>0</v>
      </c>
      <c r="F6">
        <f t="shared" si="0"/>
        <v>7</v>
      </c>
      <c r="G6" t="str">
        <f t="shared" si="1"/>
        <v>'mbuffer' nvarchar2(50),</v>
      </c>
    </row>
    <row r="7" spans="1:7" x14ac:dyDescent="0.3">
      <c r="A7" t="s">
        <v>1462</v>
      </c>
      <c r="B7" t="s">
        <v>2</v>
      </c>
      <c r="D7">
        <v>50</v>
      </c>
      <c r="E7" t="b">
        <v>0</v>
      </c>
      <c r="F7">
        <f t="shared" si="0"/>
        <v>11</v>
      </c>
      <c r="G7" t="str">
        <f t="shared" si="1"/>
        <v>'npercentage' nvarchar2(50),</v>
      </c>
    </row>
    <row r="8" spans="1:7" x14ac:dyDescent="0.3">
      <c r="A8" t="s">
        <v>1463</v>
      </c>
      <c r="B8" t="s">
        <v>2</v>
      </c>
      <c r="D8">
        <v>50</v>
      </c>
      <c r="E8" t="b">
        <v>0</v>
      </c>
      <c r="F8">
        <f t="shared" si="0"/>
        <v>13</v>
      </c>
      <c r="G8" t="str">
        <f t="shared" si="1"/>
        <v>'bundlingtimer' nvarchar2(50),</v>
      </c>
    </row>
    <row r="9" spans="1:7" x14ac:dyDescent="0.3">
      <c r="A9" t="s">
        <v>1464</v>
      </c>
      <c r="B9" t="s">
        <v>2</v>
      </c>
      <c r="D9">
        <v>50</v>
      </c>
      <c r="E9" t="b">
        <v>0</v>
      </c>
      <c r="F9">
        <f t="shared" si="0"/>
        <v>10</v>
      </c>
      <c r="G9" t="str">
        <f t="shared" si="1"/>
        <v>'minimumrto' nvarchar2(50),</v>
      </c>
    </row>
    <row r="10" spans="1:7" x14ac:dyDescent="0.3">
      <c r="A10" t="s">
        <v>1465</v>
      </c>
      <c r="B10" t="s">
        <v>2</v>
      </c>
      <c r="D10">
        <v>50</v>
      </c>
      <c r="E10" t="b">
        <v>0</v>
      </c>
      <c r="F10">
        <f t="shared" si="0"/>
        <v>26</v>
      </c>
      <c r="G10" t="str">
        <f t="shared" si="1"/>
        <v>'allowedincrementcookielife' nvarchar2(50),</v>
      </c>
    </row>
    <row r="11" spans="1:7" x14ac:dyDescent="0.3">
      <c r="A11" t="s">
        <v>1466</v>
      </c>
      <c r="B11" t="s">
        <v>2</v>
      </c>
      <c r="D11">
        <v>50</v>
      </c>
      <c r="E11" t="b">
        <v>0</v>
      </c>
      <c r="F11">
        <f t="shared" si="0"/>
        <v>17</v>
      </c>
      <c r="G11" t="str">
        <f t="shared" si="1"/>
        <v>'maxshutdownrtratt' nvarchar2(50),</v>
      </c>
    </row>
    <row r="12" spans="1:7" x14ac:dyDescent="0.3">
      <c r="A12" t="s">
        <v>1467</v>
      </c>
      <c r="B12" t="s">
        <v>2</v>
      </c>
      <c r="D12">
        <v>50</v>
      </c>
      <c r="E12" t="b">
        <v>0</v>
      </c>
      <c r="F12">
        <f t="shared" si="0"/>
        <v>15</v>
      </c>
      <c r="G12" t="str">
        <f t="shared" si="1"/>
        <v>'validcookielife' nvarchar2(50),</v>
      </c>
    </row>
    <row r="13" spans="1:7" x14ac:dyDescent="0.3">
      <c r="A13" t="s">
        <v>1468</v>
      </c>
      <c r="B13" t="s">
        <v>2</v>
      </c>
      <c r="D13">
        <v>50</v>
      </c>
      <c r="E13" t="b">
        <v>0</v>
      </c>
      <c r="F13">
        <f t="shared" si="0"/>
        <v>15</v>
      </c>
      <c r="G13" t="str">
        <f t="shared" si="1"/>
        <v>'initialadrecwin' nvarchar2(50),</v>
      </c>
    </row>
    <row r="14" spans="1:7" x14ac:dyDescent="0.3">
      <c r="A14" t="s">
        <v>1469</v>
      </c>
      <c r="B14" t="s">
        <v>2</v>
      </c>
      <c r="D14">
        <v>50</v>
      </c>
      <c r="E14" t="b">
        <v>0</v>
      </c>
      <c r="F14">
        <f t="shared" si="0"/>
        <v>17</v>
      </c>
      <c r="G14" t="str">
        <f t="shared" si="1"/>
        <v>'maxoutgoingstream' nvarchar2(50),</v>
      </c>
    </row>
    <row r="15" spans="1:7" x14ac:dyDescent="0.3">
      <c r="A15" t="s">
        <v>1470</v>
      </c>
      <c r="B15" t="s">
        <v>2</v>
      </c>
      <c r="D15">
        <v>50</v>
      </c>
      <c r="E15" t="b">
        <v>0</v>
      </c>
      <c r="F15">
        <f t="shared" si="0"/>
        <v>20</v>
      </c>
      <c r="G15" t="str">
        <f t="shared" si="1"/>
        <v>'numberofassociations' nvarchar2(50),</v>
      </c>
    </row>
    <row r="16" spans="1:7" x14ac:dyDescent="0.3">
      <c r="A16" t="s">
        <v>1471</v>
      </c>
      <c r="B16" t="s">
        <v>2</v>
      </c>
      <c r="D16">
        <v>50</v>
      </c>
      <c r="E16" t="b">
        <v>0</v>
      </c>
      <c r="F16">
        <f t="shared" si="0"/>
        <v>10</v>
      </c>
      <c r="G16" t="str">
        <f t="shared" si="1"/>
        <v>'initialrto' nvarchar2(50),</v>
      </c>
    </row>
    <row r="17" spans="1:7" x14ac:dyDescent="0.3">
      <c r="A17" t="s">
        <v>1472</v>
      </c>
      <c r="B17" t="s">
        <v>2</v>
      </c>
      <c r="D17">
        <v>50</v>
      </c>
      <c r="E17" t="b">
        <v>0</v>
      </c>
      <c r="F17">
        <f t="shared" si="0"/>
        <v>13</v>
      </c>
      <c r="G17" t="str">
        <f t="shared" si="1"/>
        <v>'pathselection' nvarchar2(50),</v>
      </c>
    </row>
    <row r="18" spans="1:7" x14ac:dyDescent="0.3">
      <c r="A18" t="s">
        <v>1473</v>
      </c>
      <c r="B18" t="s">
        <v>2</v>
      </c>
      <c r="D18">
        <v>50</v>
      </c>
      <c r="E18" t="b">
        <v>0</v>
      </c>
      <c r="F18">
        <f t="shared" si="0"/>
        <v>17</v>
      </c>
      <c r="G18" t="str">
        <f t="shared" si="1"/>
        <v>'bundlingactivated' nvarchar2(50),</v>
      </c>
    </row>
    <row r="19" spans="1:7" x14ac:dyDescent="0.3">
      <c r="A19" t="s">
        <v>1474</v>
      </c>
      <c r="B19" t="s">
        <v>2</v>
      </c>
      <c r="D19">
        <v>50</v>
      </c>
      <c r="E19" t="b">
        <v>0</v>
      </c>
      <c r="F19">
        <f t="shared" si="0"/>
        <v>22</v>
      </c>
      <c r="G19" t="str">
        <f t="shared" si="1"/>
        <v>'switchbackminthreshold' nvarchar2(50),</v>
      </c>
    </row>
    <row r="20" spans="1:7" x14ac:dyDescent="0.3">
      <c r="A20" t="s">
        <v>1475</v>
      </c>
      <c r="B20" t="s">
        <v>2</v>
      </c>
      <c r="D20">
        <v>50</v>
      </c>
      <c r="E20" t="b">
        <v>0</v>
      </c>
      <c r="F20">
        <f t="shared" si="0"/>
        <v>22</v>
      </c>
      <c r="G20" t="str">
        <f t="shared" si="1"/>
        <v>'switchbackmaxthreshold' nvarchar2(50),</v>
      </c>
    </row>
    <row r="21" spans="1:7" x14ac:dyDescent="0.3">
      <c r="A21" t="s">
        <v>1476</v>
      </c>
      <c r="B21" t="s">
        <v>2</v>
      </c>
      <c r="D21">
        <v>50</v>
      </c>
      <c r="E21" t="b">
        <v>0</v>
      </c>
      <c r="F21">
        <f t="shared" si="0"/>
        <v>6</v>
      </c>
      <c r="G21" t="str">
        <f t="shared" si="1"/>
        <v>'sctpid' nvarchar2(50),</v>
      </c>
    </row>
    <row r="22" spans="1:7" x14ac:dyDescent="0.3">
      <c r="A22" t="s">
        <v>1477</v>
      </c>
      <c r="B22" t="s">
        <v>2</v>
      </c>
      <c r="D22">
        <v>50</v>
      </c>
      <c r="E22" t="b">
        <v>0</v>
      </c>
      <c r="F22">
        <f t="shared" si="0"/>
        <v>15</v>
      </c>
      <c r="G22" t="str">
        <f t="shared" si="1"/>
        <v>'keychangeperiod' nvarchar2(50),</v>
      </c>
    </row>
    <row r="23" spans="1:7" x14ac:dyDescent="0.3">
      <c r="A23" t="s">
        <v>1478</v>
      </c>
      <c r="B23" t="s">
        <v>2</v>
      </c>
      <c r="D23">
        <v>50</v>
      </c>
      <c r="E23" t="b">
        <v>0</v>
      </c>
      <c r="F23">
        <f t="shared" si="0"/>
        <v>13</v>
      </c>
      <c r="G23" t="str">
        <f t="shared" si="1"/>
        <v>'rtoalphaindex' nvarchar2(50),</v>
      </c>
    </row>
    <row r="24" spans="1:7" x14ac:dyDescent="0.3">
      <c r="A24" t="s">
        <v>1479</v>
      </c>
      <c r="B24" t="s">
        <v>2</v>
      </c>
      <c r="D24">
        <v>50</v>
      </c>
      <c r="E24" t="b">
        <v>0</v>
      </c>
      <c r="F24">
        <f t="shared" si="0"/>
        <v>15</v>
      </c>
      <c r="G24" t="str">
        <f t="shared" si="1"/>
        <v>'maxuserdatasize' nvarchar2(50),</v>
      </c>
    </row>
    <row r="25" spans="1:7" x14ac:dyDescent="0.3">
      <c r="A25" t="s">
        <v>1480</v>
      </c>
      <c r="B25" t="s">
        <v>2</v>
      </c>
      <c r="D25">
        <v>50</v>
      </c>
      <c r="E25" t="b">
        <v>0</v>
      </c>
      <c r="F25">
        <f t="shared" si="0"/>
        <v>15</v>
      </c>
      <c r="G25" t="str">
        <f t="shared" si="1"/>
        <v>'heartbeatstatus' nvarchar2(50),</v>
      </c>
    </row>
    <row r="26" spans="1:7" x14ac:dyDescent="0.3">
      <c r="A26" t="s">
        <v>1481</v>
      </c>
      <c r="B26" t="s">
        <v>2</v>
      </c>
      <c r="D26">
        <v>50</v>
      </c>
      <c r="E26" t="b">
        <v>0</v>
      </c>
      <c r="F26">
        <f t="shared" si="0"/>
        <v>12</v>
      </c>
      <c r="G26" t="str">
        <f t="shared" si="1"/>
        <v>'rtobetaindex' nvarchar2(50),</v>
      </c>
    </row>
    <row r="27" spans="1:7" x14ac:dyDescent="0.3">
      <c r="A27" t="s">
        <v>1482</v>
      </c>
      <c r="B27" t="s">
        <v>2</v>
      </c>
      <c r="D27">
        <v>50</v>
      </c>
      <c r="E27" t="b">
        <v>0</v>
      </c>
      <c r="F27">
        <f t="shared" si="0"/>
        <v>16</v>
      </c>
      <c r="G27" t="str">
        <f t="shared" si="1"/>
        <v>'maxinitialrtratt' nvarchar2(50),</v>
      </c>
    </row>
    <row r="28" spans="1:7" x14ac:dyDescent="0.3">
      <c r="A28" t="s">
        <v>1483</v>
      </c>
      <c r="B28" t="s">
        <v>2</v>
      </c>
      <c r="D28">
        <v>50</v>
      </c>
      <c r="E28" t="b">
        <v>0</v>
      </c>
      <c r="F28">
        <f t="shared" si="0"/>
        <v>28</v>
      </c>
      <c r="G28" t="str">
        <f t="shared" si="1"/>
        <v>'heartbeatpathprobinginterval' nvarchar2(50),</v>
      </c>
    </row>
    <row r="29" spans="1:7" x14ac:dyDescent="0.3">
      <c r="A29" t="s">
        <v>1484</v>
      </c>
      <c r="B29" t="s">
        <v>2</v>
      </c>
      <c r="D29">
        <v>50</v>
      </c>
      <c r="E29" t="b">
        <v>0</v>
      </c>
      <c r="F29">
        <f t="shared" si="0"/>
        <v>22</v>
      </c>
      <c r="G29" t="str">
        <f t="shared" si="1"/>
        <v>'sctpassocdeletetimeout' nvarchar2(50),</v>
      </c>
    </row>
    <row r="30" spans="1:7" x14ac:dyDescent="0.3">
      <c r="A30" t="s">
        <v>1485</v>
      </c>
      <c r="B30" t="s">
        <v>2</v>
      </c>
      <c r="D30">
        <v>50</v>
      </c>
      <c r="E30" t="b">
        <v>0</v>
      </c>
      <c r="F30">
        <f t="shared" si="0"/>
        <v>23</v>
      </c>
      <c r="G30" t="str">
        <f t="shared" si="1"/>
        <v>'prioritydatadscpservice' nvarchar2(50),</v>
      </c>
    </row>
    <row r="31" spans="1:7" x14ac:dyDescent="0.3">
      <c r="A31" t="s">
        <v>1486</v>
      </c>
      <c r="B31" t="s">
        <v>2</v>
      </c>
      <c r="D31">
        <v>50</v>
      </c>
      <c r="E31" t="b">
        <v>0</v>
      </c>
      <c r="F31">
        <f t="shared" si="0"/>
        <v>15</v>
      </c>
      <c r="G31" t="str">
        <f t="shared" si="1"/>
        <v>'intervaloobpkts' nvarchar2(50),</v>
      </c>
    </row>
    <row r="32" spans="1:7" x14ac:dyDescent="0.3">
      <c r="A32" t="s">
        <v>1487</v>
      </c>
      <c r="B32" t="s">
        <v>2</v>
      </c>
      <c r="D32">
        <v>50</v>
      </c>
      <c r="E32" t="b">
        <v>0</v>
      </c>
      <c r="F32">
        <f t="shared" si="0"/>
        <v>17</v>
      </c>
      <c r="G32" t="str">
        <f t="shared" si="1"/>
        <v>'associationmaxrtx' nvarchar2(50),</v>
      </c>
    </row>
    <row r="33" spans="1:7" x14ac:dyDescent="0.3">
      <c r="A33" t="s">
        <v>1488</v>
      </c>
      <c r="B33" t="s">
        <v>2</v>
      </c>
      <c r="D33">
        <v>50</v>
      </c>
      <c r="E33" t="b">
        <v>0</v>
      </c>
      <c r="F33">
        <f t="shared" si="0"/>
        <v>14</v>
      </c>
      <c r="G33" t="str">
        <f t="shared" si="1"/>
        <v>'switchbackmode' nvarchar2(50),</v>
      </c>
    </row>
    <row r="34" spans="1:7" x14ac:dyDescent="0.3">
      <c r="A34" t="s">
        <v>1489</v>
      </c>
      <c r="B34" t="s">
        <v>2</v>
      </c>
      <c r="D34">
        <v>50</v>
      </c>
      <c r="E34" t="b">
        <v>0</v>
      </c>
      <c r="F34">
        <f t="shared" si="0"/>
        <v>10</v>
      </c>
      <c r="G34" t="str">
        <f t="shared" si="1"/>
        <v>'maximumrto' nvarchar2(50),</v>
      </c>
    </row>
    <row r="35" spans="1:7" x14ac:dyDescent="0.3">
      <c r="A35" t="s">
        <v>1490</v>
      </c>
      <c r="B35" t="s">
        <v>2</v>
      </c>
      <c r="D35">
        <v>50</v>
      </c>
      <c r="E35" t="b">
        <v>0</v>
      </c>
      <c r="F35">
        <f t="shared" si="0"/>
        <v>10</v>
      </c>
      <c r="G35" t="str">
        <f t="shared" si="1"/>
        <v>'nthreshold' nvarchar2(50),</v>
      </c>
    </row>
    <row r="36" spans="1:7" x14ac:dyDescent="0.3">
      <c r="A36" t="s">
        <v>1491</v>
      </c>
      <c r="B36" t="s">
        <v>2</v>
      </c>
      <c r="D36">
        <v>50</v>
      </c>
      <c r="E36" t="b">
        <v>0</v>
      </c>
      <c r="F36">
        <f t="shared" si="0"/>
        <v>11</v>
      </c>
      <c r="G36" t="str">
        <f t="shared" si="1"/>
        <v>'pvaluelimit' nvarchar2(50),</v>
      </c>
    </row>
    <row r="37" spans="1:7" x14ac:dyDescent="0.3">
      <c r="A37" t="s">
        <v>1492</v>
      </c>
      <c r="B37" t="s">
        <v>2</v>
      </c>
      <c r="D37">
        <v>50</v>
      </c>
      <c r="E37" t="b">
        <v>0</v>
      </c>
      <c r="F37">
        <f t="shared" si="0"/>
        <v>9</v>
      </c>
      <c r="G37" t="str">
        <f t="shared" si="1"/>
        <v>'dmaxlimit' nvarchar2(50),</v>
      </c>
    </row>
    <row r="38" spans="1:7" x14ac:dyDescent="0.3">
      <c r="A38" t="s">
        <v>1493</v>
      </c>
      <c r="B38" t="s">
        <v>2</v>
      </c>
      <c r="D38">
        <v>50</v>
      </c>
      <c r="E38" t="b">
        <v>0</v>
      </c>
      <c r="F38">
        <f t="shared" si="0"/>
        <v>27</v>
      </c>
      <c r="G38" t="str">
        <f t="shared" si="1"/>
        <v>'consecutiveidenticalresults' nvarchar2(50),</v>
      </c>
    </row>
    <row r="39" spans="1:7" x14ac:dyDescent="0.3">
      <c r="A39" t="s">
        <v>1494</v>
      </c>
      <c r="B39" t="s">
        <v>2</v>
      </c>
      <c r="D39">
        <v>50</v>
      </c>
      <c r="E39" t="b">
        <v>0</v>
      </c>
      <c r="F39">
        <f t="shared" si="0"/>
        <v>10</v>
      </c>
      <c r="G39" t="str">
        <f t="shared" si="1"/>
        <v>'upsenabled' nvarchar2(50),</v>
      </c>
    </row>
    <row r="40" spans="1:7" x14ac:dyDescent="0.3">
      <c r="A40" t="s">
        <v>1495</v>
      </c>
      <c r="B40" t="s">
        <v>2</v>
      </c>
      <c r="D40">
        <v>50</v>
      </c>
      <c r="E40" t="b">
        <v>0</v>
      </c>
      <c r="F40">
        <f t="shared" si="0"/>
        <v>22</v>
      </c>
      <c r="G40" t="str">
        <f t="shared" si="1"/>
        <v>'userplanesupervisionid' nvarchar2(50),</v>
      </c>
    </row>
    <row r="41" spans="1:7" x14ac:dyDescent="0.3">
      <c r="A41" t="s">
        <v>1496</v>
      </c>
      <c r="B41" t="s">
        <v>2</v>
      </c>
      <c r="D41">
        <v>50</v>
      </c>
      <c r="E41" t="b">
        <v>0</v>
      </c>
      <c r="F41">
        <f t="shared" si="0"/>
        <v>19</v>
      </c>
      <c r="G41" t="str">
        <f t="shared" si="1"/>
        <v>'corbasecurityactive' nvarchar2(50),</v>
      </c>
    </row>
    <row r="42" spans="1:7" x14ac:dyDescent="0.3">
      <c r="A42" t="s">
        <v>1497</v>
      </c>
      <c r="B42" t="s">
        <v>2</v>
      </c>
      <c r="D42">
        <v>50</v>
      </c>
      <c r="E42" t="b">
        <v>0</v>
      </c>
      <c r="F42">
        <f t="shared" si="0"/>
        <v>22</v>
      </c>
      <c r="G42" t="str">
        <f t="shared" si="1"/>
        <v>'crlearlyupdateinterval' nvarchar2(50),</v>
      </c>
    </row>
    <row r="43" spans="1:7" x14ac:dyDescent="0.3">
      <c r="A43" t="s">
        <v>1498</v>
      </c>
      <c r="B43" t="s">
        <v>2</v>
      </c>
      <c r="D43">
        <v>50</v>
      </c>
      <c r="E43" t="b">
        <v>0</v>
      </c>
      <c r="F43">
        <f t="shared" si="0"/>
        <v>23</v>
      </c>
      <c r="G43" t="str">
        <f t="shared" si="1"/>
        <v>'targetmonitorportactive' nvarchar2(50),</v>
      </c>
    </row>
    <row r="44" spans="1:7" x14ac:dyDescent="0.3">
      <c r="A44" t="s">
        <v>1582</v>
      </c>
      <c r="B44" t="s">
        <v>2</v>
      </c>
      <c r="C44" t="s">
        <v>1499</v>
      </c>
      <c r="D44">
        <v>50</v>
      </c>
      <c r="E44" t="b">
        <v>0</v>
      </c>
      <c r="F44">
        <f t="shared" si="0"/>
        <v>28</v>
      </c>
      <c r="G44" t="str">
        <f t="shared" si="1"/>
        <v>'localaadbinstallationfailure' nvarchar2(50),</v>
      </c>
    </row>
    <row r="45" spans="1:7" x14ac:dyDescent="0.3">
      <c r="A45" t="s">
        <v>1500</v>
      </c>
      <c r="B45" t="s">
        <v>2</v>
      </c>
      <c r="D45">
        <v>50</v>
      </c>
      <c r="E45" t="b">
        <v>0</v>
      </c>
      <c r="F45">
        <f t="shared" si="0"/>
        <v>16</v>
      </c>
      <c r="G45" t="str">
        <f t="shared" si="1"/>
        <v>'debugportsactive' nvarchar2(50),</v>
      </c>
    </row>
    <row r="46" spans="1:7" x14ac:dyDescent="0.3">
      <c r="A46" t="s">
        <v>1501</v>
      </c>
      <c r="B46" t="s">
        <v>2</v>
      </c>
      <c r="D46">
        <v>50</v>
      </c>
      <c r="E46" t="b">
        <v>0</v>
      </c>
      <c r="F46">
        <f t="shared" si="0"/>
        <v>9</v>
      </c>
      <c r="G46" t="str">
        <f t="shared" si="1"/>
        <v>'webserver' nvarchar2(50),</v>
      </c>
    </row>
    <row r="47" spans="1:7" x14ac:dyDescent="0.3">
      <c r="A47" t="s">
        <v>1502</v>
      </c>
      <c r="B47" t="s">
        <v>2</v>
      </c>
      <c r="D47">
        <v>50</v>
      </c>
      <c r="E47" t="b">
        <v>0</v>
      </c>
      <c r="F47">
        <f t="shared" si="0"/>
        <v>17</v>
      </c>
      <c r="G47" t="str">
        <f t="shared" si="1"/>
        <v>'targetmonitorport' nvarchar2(50),</v>
      </c>
    </row>
    <row r="48" spans="1:7" x14ac:dyDescent="0.3">
      <c r="A48" t="s">
        <v>1503</v>
      </c>
      <c r="B48" t="s">
        <v>2</v>
      </c>
      <c r="D48">
        <v>50</v>
      </c>
      <c r="E48" t="b">
        <v>0</v>
      </c>
      <c r="F48">
        <f t="shared" si="0"/>
        <v>10</v>
      </c>
      <c r="G48" t="str">
        <f t="shared" si="1"/>
        <v>'logindelay' nvarchar2(50),</v>
      </c>
    </row>
    <row r="49" spans="1:7" x14ac:dyDescent="0.3">
      <c r="A49" t="s">
        <v>1504</v>
      </c>
      <c r="B49" t="s">
        <v>2</v>
      </c>
      <c r="D49">
        <v>50</v>
      </c>
      <c r="E49" t="b">
        <v>0</v>
      </c>
      <c r="F49">
        <f t="shared" si="0"/>
        <v>24</v>
      </c>
      <c r="G49" t="str">
        <f t="shared" si="1"/>
        <v>'operationalsecuritylevel' nvarchar2(50),</v>
      </c>
    </row>
    <row r="50" spans="1:7" x14ac:dyDescent="0.3">
      <c r="A50" t="s">
        <v>1505</v>
      </c>
      <c r="B50" t="s">
        <v>2</v>
      </c>
      <c r="D50">
        <v>50</v>
      </c>
      <c r="E50" t="b">
        <v>0</v>
      </c>
      <c r="F50">
        <f t="shared" si="0"/>
        <v>30</v>
      </c>
      <c r="G50" t="str">
        <f t="shared" si="1"/>
        <v>'localauthenticationfileversion' nvarchar2(50),</v>
      </c>
    </row>
    <row r="51" spans="1:7" x14ac:dyDescent="0.3">
      <c r="A51" t="s">
        <v>1506</v>
      </c>
      <c r="B51" t="s">
        <v>2</v>
      </c>
      <c r="D51">
        <v>50</v>
      </c>
      <c r="E51" t="b">
        <v>0</v>
      </c>
      <c r="F51">
        <f t="shared" si="0"/>
        <v>23</v>
      </c>
      <c r="G51" t="str">
        <f t="shared" si="1"/>
        <v>'nooffailedloginattempts' nvarchar2(50),</v>
      </c>
    </row>
    <row r="52" spans="1:7" x14ac:dyDescent="0.3">
      <c r="A52" t="s">
        <v>1583</v>
      </c>
      <c r="B52" t="s">
        <v>2</v>
      </c>
      <c r="C52" t="s">
        <v>1507</v>
      </c>
      <c r="D52">
        <v>50</v>
      </c>
      <c r="E52" t="b">
        <v>0</v>
      </c>
      <c r="F52">
        <f t="shared" si="0"/>
        <v>29</v>
      </c>
      <c r="G52" t="str">
        <f t="shared" si="1"/>
        <v>'trustedcertificateinstallfail' nvarchar2(50),</v>
      </c>
    </row>
    <row r="53" spans="1:7" x14ac:dyDescent="0.3">
      <c r="A53" t="s">
        <v>1508</v>
      </c>
      <c r="B53" t="s">
        <v>2</v>
      </c>
      <c r="D53">
        <v>50</v>
      </c>
      <c r="E53" t="b">
        <v>0</v>
      </c>
      <c r="F53">
        <f t="shared" si="0"/>
        <v>17</v>
      </c>
      <c r="G53" t="str">
        <f t="shared" si="1"/>
        <v>'certexpirwarntime' nvarchar2(50),</v>
      </c>
    </row>
    <row r="54" spans="1:7" x14ac:dyDescent="0.3">
      <c r="A54" t="s">
        <v>1509</v>
      </c>
      <c r="B54" t="s">
        <v>2</v>
      </c>
      <c r="D54">
        <v>50</v>
      </c>
      <c r="E54" t="b">
        <v>0</v>
      </c>
      <c r="F54">
        <f t="shared" si="0"/>
        <v>22</v>
      </c>
      <c r="G54" t="str">
        <f t="shared" si="1"/>
        <v>'requestedsecuritylevel' nvarchar2(50),</v>
      </c>
    </row>
    <row r="55" spans="1:7" x14ac:dyDescent="0.3">
      <c r="A55" t="s">
        <v>1510</v>
      </c>
      <c r="B55" t="s">
        <v>2</v>
      </c>
      <c r="D55">
        <v>50</v>
      </c>
      <c r="E55" t="b">
        <v>0</v>
      </c>
      <c r="F55">
        <f t="shared" si="0"/>
        <v>24</v>
      </c>
      <c r="G55" t="str">
        <f t="shared" si="1"/>
        <v>'failedloginattemptperiod' nvarchar2(50),</v>
      </c>
    </row>
    <row r="56" spans="1:7" x14ac:dyDescent="0.3">
      <c r="A56" t="s">
        <v>1511</v>
      </c>
      <c r="B56" t="s">
        <v>2</v>
      </c>
      <c r="D56">
        <v>50</v>
      </c>
      <c r="E56" t="b">
        <v>0</v>
      </c>
      <c r="F56">
        <f t="shared" si="0"/>
        <v>25</v>
      </c>
      <c r="G56" t="str">
        <f t="shared" si="1"/>
        <v>'authorizationcachetimeout' nvarchar2(50),</v>
      </c>
    </row>
    <row r="57" spans="1:7" x14ac:dyDescent="0.3">
      <c r="A57" t="s">
        <v>1512</v>
      </c>
      <c r="B57" t="s">
        <v>2</v>
      </c>
      <c r="D57">
        <v>50</v>
      </c>
      <c r="E57" t="b">
        <v>0</v>
      </c>
      <c r="F57">
        <f t="shared" si="0"/>
        <v>17</v>
      </c>
      <c r="G57" t="str">
        <f t="shared" si="1"/>
        <v>'userlockoutperiod' nvarchar2(50),</v>
      </c>
    </row>
    <row r="58" spans="1:7" x14ac:dyDescent="0.3">
      <c r="A58" t="s">
        <v>1513</v>
      </c>
      <c r="B58" t="s">
        <v>2</v>
      </c>
      <c r="D58">
        <v>50</v>
      </c>
      <c r="E58" t="b">
        <v>0</v>
      </c>
      <c r="F58">
        <f t="shared" si="0"/>
        <v>22</v>
      </c>
      <c r="G58" t="str">
        <f t="shared" si="1"/>
        <v>'filetransferclientmode' nvarchar2(50),</v>
      </c>
    </row>
    <row r="59" spans="1:7" x14ac:dyDescent="0.3">
      <c r="A59" t="s">
        <v>1514</v>
      </c>
      <c r="B59" t="s">
        <v>2</v>
      </c>
      <c r="D59">
        <v>50</v>
      </c>
      <c r="E59" t="b">
        <v>0</v>
      </c>
      <c r="F59">
        <f t="shared" si="0"/>
        <v>29</v>
      </c>
      <c r="G59" t="str">
        <f t="shared" si="1"/>
        <v>'localauthorizationfileversion' nvarchar2(50),</v>
      </c>
    </row>
    <row r="60" spans="1:7" x14ac:dyDescent="0.3">
      <c r="A60" t="s">
        <v>1584</v>
      </c>
      <c r="B60" t="s">
        <v>2</v>
      </c>
      <c r="D60">
        <v>50</v>
      </c>
      <c r="E60" t="b">
        <v>0</v>
      </c>
      <c r="F60">
        <f t="shared" si="0"/>
        <v>25</v>
      </c>
      <c r="G60" t="str">
        <f t="shared" si="1"/>
        <v>'userauthenticationandauth' nvarchar2(50),</v>
      </c>
    </row>
    <row r="61" spans="1:7" x14ac:dyDescent="0.3">
      <c r="A61" t="s">
        <v>1515</v>
      </c>
      <c r="B61" t="s">
        <v>2</v>
      </c>
      <c r="D61">
        <v>50</v>
      </c>
      <c r="E61" t="b">
        <v>0</v>
      </c>
      <c r="F61">
        <f t="shared" si="0"/>
        <v>30</v>
      </c>
      <c r="G61" t="str">
        <f t="shared" si="1"/>
        <v>'autoupdatecertenrollmentserver' nvarchar2(50),</v>
      </c>
    </row>
    <row r="62" spans="1:7" x14ac:dyDescent="0.3">
      <c r="A62" t="s">
        <v>1516</v>
      </c>
      <c r="B62" t="s">
        <v>2</v>
      </c>
      <c r="D62">
        <v>50</v>
      </c>
      <c r="E62" t="b">
        <v>0</v>
      </c>
      <c r="F62">
        <f t="shared" si="0"/>
        <v>25</v>
      </c>
      <c r="G62" t="str">
        <f t="shared" si="1"/>
        <v>'telnetandftpserversactive' nvarchar2(50),</v>
      </c>
    </row>
    <row r="63" spans="1:7" x14ac:dyDescent="0.3">
      <c r="A63" t="s">
        <v>1517</v>
      </c>
      <c r="B63" t="s">
        <v>2</v>
      </c>
      <c r="D63">
        <v>50</v>
      </c>
      <c r="E63" t="b">
        <v>0</v>
      </c>
      <c r="F63">
        <f t="shared" si="0"/>
        <v>28</v>
      </c>
      <c r="G63" t="str">
        <f t="shared" si="1"/>
        <v>'installedtrustedcertificates' nvarchar2(50),</v>
      </c>
    </row>
    <row r="64" spans="1:7" x14ac:dyDescent="0.3">
      <c r="A64" t="s">
        <v>1518</v>
      </c>
      <c r="B64" t="s">
        <v>2</v>
      </c>
      <c r="D64">
        <v>50</v>
      </c>
      <c r="E64" t="b">
        <v>0</v>
      </c>
      <c r="F64">
        <f t="shared" si="0"/>
        <v>21</v>
      </c>
      <c r="G64" t="str">
        <f t="shared" si="1"/>
        <v>'aaserveripaddresslist' nvarchar2(50),</v>
      </c>
    </row>
    <row r="65" spans="1:7" x14ac:dyDescent="0.3">
      <c r="A65" t="s">
        <v>1519</v>
      </c>
      <c r="B65" t="s">
        <v>2</v>
      </c>
      <c r="D65">
        <v>50</v>
      </c>
      <c r="E65" t="b">
        <v>0</v>
      </c>
      <c r="F65">
        <f t="shared" si="0"/>
        <v>10</v>
      </c>
      <c r="G65" t="str">
        <f t="shared" si="1"/>
        <v>'securityid' nvarchar2(50),</v>
      </c>
    </row>
    <row r="66" spans="1:7" x14ac:dyDescent="0.3">
      <c r="A66" t="s">
        <v>1520</v>
      </c>
      <c r="B66" t="s">
        <v>2</v>
      </c>
      <c r="D66">
        <v>50</v>
      </c>
      <c r="E66" t="b">
        <v>0</v>
      </c>
      <c r="F66">
        <f t="shared" si="0"/>
        <v>18</v>
      </c>
      <c r="G66" t="str">
        <f t="shared" si="1"/>
        <v>'certrevstatuscheck' nvarchar2(50),</v>
      </c>
    </row>
    <row r="67" spans="1:7" x14ac:dyDescent="0.3">
      <c r="A67" t="s">
        <v>1521</v>
      </c>
      <c r="B67" t="s">
        <v>2</v>
      </c>
      <c r="D67">
        <v>50</v>
      </c>
      <c r="E67" t="b">
        <v>0</v>
      </c>
      <c r="F67">
        <f t="shared" ref="F67:F126" si="2">LEN(A67)</f>
        <v>21</v>
      </c>
      <c r="G67" t="str">
        <f t="shared" ref="G67:G126" si="3">CONCATENATE("'",A67,"' nvarchar2(",D67,"),")</f>
        <v>'performancedatavolume' nvarchar2(50),</v>
      </c>
    </row>
    <row r="68" spans="1:7" x14ac:dyDescent="0.3">
      <c r="A68" t="s">
        <v>1522</v>
      </c>
      <c r="B68" t="s">
        <v>2</v>
      </c>
      <c r="D68">
        <v>50</v>
      </c>
      <c r="E68" t="b">
        <v>0</v>
      </c>
      <c r="F68">
        <f t="shared" si="2"/>
        <v>15</v>
      </c>
      <c r="G68" t="str">
        <f t="shared" si="3"/>
        <v>'maxnoofcounters' nvarchar2(50),</v>
      </c>
    </row>
    <row r="69" spans="1:7" x14ac:dyDescent="0.3">
      <c r="A69" t="s">
        <v>1523</v>
      </c>
      <c r="B69" t="s">
        <v>2</v>
      </c>
      <c r="D69">
        <v>50</v>
      </c>
      <c r="E69" t="b">
        <v>0</v>
      </c>
      <c r="F69">
        <f t="shared" si="2"/>
        <v>24</v>
      </c>
      <c r="G69" t="str">
        <f t="shared" si="3"/>
        <v>'warningalarmlimitpercent' nvarchar2(50),</v>
      </c>
    </row>
    <row r="70" spans="1:7" x14ac:dyDescent="0.3">
      <c r="A70" t="s">
        <v>1524</v>
      </c>
      <c r="B70" t="s">
        <v>2</v>
      </c>
      <c r="D70">
        <v>50</v>
      </c>
      <c r="E70" t="b">
        <v>0</v>
      </c>
      <c r="F70">
        <f t="shared" si="2"/>
        <v>22</v>
      </c>
      <c r="G70" t="str">
        <f t="shared" si="3"/>
        <v>'minoralarmceasingdelta' nvarchar2(50),</v>
      </c>
    </row>
    <row r="71" spans="1:7" x14ac:dyDescent="0.3">
      <c r="A71" t="s">
        <v>1525</v>
      </c>
      <c r="B71" t="s">
        <v>2</v>
      </c>
      <c r="D71">
        <v>50</v>
      </c>
      <c r="E71" t="b">
        <v>0</v>
      </c>
      <c r="F71">
        <f t="shared" si="2"/>
        <v>18</v>
      </c>
      <c r="G71" t="str">
        <f t="shared" si="3"/>
        <v>'transactiontimeout' nvarchar2(50),</v>
      </c>
    </row>
    <row r="72" spans="1:7" x14ac:dyDescent="0.3">
      <c r="A72" t="s">
        <v>1526</v>
      </c>
      <c r="B72" t="s">
        <v>2</v>
      </c>
      <c r="D72">
        <v>50</v>
      </c>
      <c r="E72" t="b">
        <v>0</v>
      </c>
      <c r="F72">
        <f t="shared" si="2"/>
        <v>14</v>
      </c>
      <c r="G72" t="str">
        <f t="shared" si="3"/>
        <v>'maxnoofpmfiles' nvarchar2(50),</v>
      </c>
    </row>
    <row r="73" spans="1:7" x14ac:dyDescent="0.3">
      <c r="A73" t="s">
        <v>1527</v>
      </c>
      <c r="B73" t="s">
        <v>2</v>
      </c>
      <c r="D73">
        <v>50</v>
      </c>
      <c r="E73" t="b">
        <v>0</v>
      </c>
      <c r="F73">
        <f t="shared" si="2"/>
        <v>24</v>
      </c>
      <c r="G73" t="str">
        <f t="shared" si="3"/>
        <v>'warningalarmceasingdelta' nvarchar2(50),</v>
      </c>
    </row>
    <row r="74" spans="1:7" x14ac:dyDescent="0.3">
      <c r="A74" t="s">
        <v>1528</v>
      </c>
      <c r="B74" t="s">
        <v>2</v>
      </c>
      <c r="D74">
        <v>50</v>
      </c>
      <c r="E74" t="b">
        <v>0</v>
      </c>
      <c r="F74">
        <f t="shared" si="2"/>
        <v>11</v>
      </c>
      <c r="G74" t="str">
        <f t="shared" si="3"/>
        <v>'pmserviceid' nvarchar2(50),</v>
      </c>
    </row>
    <row r="75" spans="1:7" x14ac:dyDescent="0.3">
      <c r="A75" t="s">
        <v>1529</v>
      </c>
      <c r="B75" t="s">
        <v>2</v>
      </c>
      <c r="D75">
        <v>50</v>
      </c>
      <c r="E75" t="b">
        <v>0</v>
      </c>
      <c r="F75">
        <f t="shared" si="2"/>
        <v>15</v>
      </c>
      <c r="G75" t="str">
        <f t="shared" si="3"/>
        <v>'maxnoofmonitors' nvarchar2(50),</v>
      </c>
    </row>
    <row r="76" spans="1:7" x14ac:dyDescent="0.3">
      <c r="A76" t="s">
        <v>1530</v>
      </c>
      <c r="B76" t="s">
        <v>2</v>
      </c>
      <c r="D76">
        <v>50</v>
      </c>
      <c r="E76" t="b">
        <v>0</v>
      </c>
      <c r="F76">
        <f t="shared" si="2"/>
        <v>14</v>
      </c>
      <c r="G76" t="str">
        <f t="shared" si="3"/>
        <v>'agentipaddress' nvarchar2(50),</v>
      </c>
    </row>
    <row r="77" spans="1:7" x14ac:dyDescent="0.3">
      <c r="A77" t="s">
        <v>1531</v>
      </c>
      <c r="B77" t="s">
        <v>2</v>
      </c>
      <c r="D77">
        <v>50</v>
      </c>
      <c r="E77" t="b">
        <v>0</v>
      </c>
      <c r="F77">
        <f t="shared" si="2"/>
        <v>6</v>
      </c>
      <c r="G77" t="str">
        <f t="shared" si="3"/>
        <v>'snmpid' nvarchar2(50),</v>
      </c>
    </row>
    <row r="78" spans="1:7" x14ac:dyDescent="0.3">
      <c r="A78" t="s">
        <v>1532</v>
      </c>
      <c r="B78" t="s">
        <v>2</v>
      </c>
      <c r="D78">
        <v>50</v>
      </c>
      <c r="E78" t="b">
        <v>0</v>
      </c>
      <c r="F78">
        <f t="shared" si="2"/>
        <v>9</v>
      </c>
      <c r="G78" t="str">
        <f t="shared" si="3"/>
        <v>'agentport' nvarchar2(50),</v>
      </c>
    </row>
    <row r="79" spans="1:7" x14ac:dyDescent="0.3">
      <c r="A79" t="s">
        <v>1533</v>
      </c>
      <c r="B79" t="s">
        <v>2</v>
      </c>
      <c r="D79">
        <v>50</v>
      </c>
      <c r="E79" t="b">
        <v>0</v>
      </c>
      <c r="F79">
        <f t="shared" si="2"/>
        <v>18</v>
      </c>
      <c r="G79" t="str">
        <f t="shared" si="3"/>
        <v>'minimumsnmpversion' nvarchar2(50),</v>
      </c>
    </row>
    <row r="80" spans="1:7" x14ac:dyDescent="0.3">
      <c r="A80" t="s">
        <v>1534</v>
      </c>
      <c r="B80" t="s">
        <v>2</v>
      </c>
      <c r="D80">
        <v>50</v>
      </c>
      <c r="E80" t="b">
        <v>0</v>
      </c>
      <c r="F80">
        <f t="shared" si="2"/>
        <v>12</v>
      </c>
      <c r="G80" t="str">
        <f t="shared" si="3"/>
        <v>'logserviceid' nvarchar2(50),</v>
      </c>
    </row>
    <row r="81" spans="1:7" x14ac:dyDescent="0.3">
      <c r="A81" t="s">
        <v>1535</v>
      </c>
      <c r="B81" t="s">
        <v>2</v>
      </c>
      <c r="D81">
        <v>50</v>
      </c>
      <c r="E81" t="b">
        <v>0</v>
      </c>
      <c r="F81">
        <f t="shared" si="2"/>
        <v>13</v>
      </c>
      <c r="G81" t="str">
        <f t="shared" si="3"/>
        <v>'filefetcherid' nvarchar2(50),</v>
      </c>
    </row>
    <row r="82" spans="1:7" x14ac:dyDescent="0.3">
      <c r="A82" t="s">
        <v>1536</v>
      </c>
      <c r="B82" t="s">
        <v>2</v>
      </c>
      <c r="D82">
        <v>50</v>
      </c>
      <c r="E82" t="b">
        <v>0</v>
      </c>
      <c r="F82">
        <f t="shared" si="2"/>
        <v>23</v>
      </c>
      <c r="G82" t="str">
        <f t="shared" si="3"/>
        <v>'httpgetsupervisiontimer' nvarchar2(50),</v>
      </c>
    </row>
    <row r="83" spans="1:7" x14ac:dyDescent="0.3">
      <c r="A83" t="s">
        <v>1537</v>
      </c>
      <c r="B83" t="s">
        <v>2</v>
      </c>
      <c r="D83">
        <v>50</v>
      </c>
      <c r="E83" t="b">
        <v>0</v>
      </c>
      <c r="F83">
        <f t="shared" si="2"/>
        <v>24</v>
      </c>
      <c r="G83" t="str">
        <f t="shared" si="3"/>
        <v>'performancesupervisionid' nvarchar2(50),</v>
      </c>
    </row>
    <row r="84" spans="1:7" x14ac:dyDescent="0.3">
      <c r="A84" t="s">
        <v>1538</v>
      </c>
      <c r="B84" t="s">
        <v>2</v>
      </c>
      <c r="D84">
        <v>50</v>
      </c>
      <c r="E84" t="b">
        <v>0</v>
      </c>
      <c r="F84">
        <f t="shared" si="2"/>
        <v>6</v>
      </c>
      <c r="G84" t="str">
        <f t="shared" si="3"/>
        <v>'status' nvarchar2(50),</v>
      </c>
    </row>
    <row r="85" spans="1:7" x14ac:dyDescent="0.3">
      <c r="A85" t="s">
        <v>1539</v>
      </c>
      <c r="B85" t="s">
        <v>2</v>
      </c>
      <c r="D85">
        <v>50</v>
      </c>
      <c r="E85" t="b">
        <v>0</v>
      </c>
      <c r="F85">
        <f t="shared" si="2"/>
        <v>24</v>
      </c>
      <c r="G85" t="str">
        <f t="shared" si="3"/>
        <v>'numberofcounterinstances' nvarchar2(50),</v>
      </c>
    </row>
    <row r="86" spans="1:7" x14ac:dyDescent="0.3">
      <c r="A86" t="s">
        <v>1540</v>
      </c>
      <c r="B86" t="s">
        <v>2</v>
      </c>
      <c r="D86">
        <v>50</v>
      </c>
      <c r="E86" t="b">
        <v>0</v>
      </c>
      <c r="F86">
        <f t="shared" si="2"/>
        <v>22</v>
      </c>
      <c r="G86" t="str">
        <f t="shared" si="3"/>
        <v>'performanceindicatorid' nvarchar2(50),</v>
      </c>
    </row>
    <row r="87" spans="1:7" x14ac:dyDescent="0.3">
      <c r="A87" t="s">
        <v>1541</v>
      </c>
      <c r="B87" t="s">
        <v>2</v>
      </c>
      <c r="D87">
        <v>50</v>
      </c>
      <c r="E87" t="b">
        <v>0</v>
      </c>
      <c r="F87">
        <f t="shared" si="2"/>
        <v>12</v>
      </c>
      <c r="G87" t="str">
        <f t="shared" si="3"/>
        <v>'scheduleinfo' nvarchar2(50),</v>
      </c>
    </row>
    <row r="88" spans="1:7" x14ac:dyDescent="0.3">
      <c r="A88" t="s">
        <v>1542</v>
      </c>
      <c r="B88" t="s">
        <v>2</v>
      </c>
      <c r="D88">
        <v>50</v>
      </c>
      <c r="E88" t="b">
        <v>0</v>
      </c>
      <c r="F88">
        <f t="shared" si="2"/>
        <v>13</v>
      </c>
      <c r="G88" t="str">
        <f t="shared" si="3"/>
        <v>'executiontype' nvarchar2(50),</v>
      </c>
    </row>
    <row r="89" spans="1:7" x14ac:dyDescent="0.3">
      <c r="A89" t="s">
        <v>1543</v>
      </c>
      <c r="B89" t="s">
        <v>2</v>
      </c>
      <c r="D89">
        <v>50</v>
      </c>
      <c r="E89" t="b">
        <v>0</v>
      </c>
      <c r="F89">
        <f t="shared" si="2"/>
        <v>13</v>
      </c>
      <c r="G89" t="str">
        <f t="shared" si="3"/>
        <v>'systemcheckid' nvarchar2(50),</v>
      </c>
    </row>
    <row r="90" spans="1:7" x14ac:dyDescent="0.3">
      <c r="A90" t="s">
        <v>1544</v>
      </c>
      <c r="B90" t="s">
        <v>2</v>
      </c>
      <c r="D90">
        <v>50</v>
      </c>
      <c r="E90" t="b">
        <v>0</v>
      </c>
      <c r="F90">
        <f t="shared" si="2"/>
        <v>11</v>
      </c>
      <c r="G90" t="str">
        <f t="shared" si="3"/>
        <v>'checkresult' nvarchar2(50),</v>
      </c>
    </row>
    <row r="91" spans="1:7" x14ac:dyDescent="0.3">
      <c r="A91" t="s">
        <v>1545</v>
      </c>
      <c r="B91" t="s">
        <v>2</v>
      </c>
      <c r="D91">
        <v>50</v>
      </c>
      <c r="E91" t="b">
        <v>0</v>
      </c>
      <c r="F91">
        <f t="shared" si="2"/>
        <v>29</v>
      </c>
      <c r="G91" t="str">
        <f t="shared" si="3"/>
        <v>'gpstoutcleapsecondschangedate' nvarchar2(50),</v>
      </c>
    </row>
    <row r="92" spans="1:7" x14ac:dyDescent="0.3">
      <c r="A92" t="s">
        <v>1546</v>
      </c>
      <c r="B92" t="s">
        <v>2</v>
      </c>
      <c r="D92">
        <v>50</v>
      </c>
      <c r="E92" t="b">
        <v>0</v>
      </c>
      <c r="F92">
        <f t="shared" si="2"/>
        <v>19</v>
      </c>
      <c r="G92" t="str">
        <f t="shared" si="3"/>
        <v>'gpstoutcleapseconds' nvarchar2(50),</v>
      </c>
    </row>
    <row r="93" spans="1:7" x14ac:dyDescent="0.3">
      <c r="A93" t="s">
        <v>1547</v>
      </c>
      <c r="B93" t="s">
        <v>2</v>
      </c>
      <c r="D93">
        <v>50</v>
      </c>
      <c r="E93" t="b">
        <v>0</v>
      </c>
      <c r="F93">
        <f t="shared" si="2"/>
        <v>25</v>
      </c>
      <c r="G93" t="str">
        <f t="shared" si="3"/>
        <v>'daylightsavingtimeendrule' nvarchar2(50),</v>
      </c>
    </row>
    <row r="94" spans="1:7" x14ac:dyDescent="0.3">
      <c r="A94" t="s">
        <v>1548</v>
      </c>
      <c r="B94" t="s">
        <v>2</v>
      </c>
      <c r="D94">
        <v>50</v>
      </c>
      <c r="E94" t="b">
        <v>0</v>
      </c>
      <c r="F94">
        <f t="shared" si="2"/>
        <v>13</v>
      </c>
      <c r="G94" t="str">
        <f t="shared" si="3"/>
        <v>'timesettingid' nvarchar2(50),</v>
      </c>
    </row>
    <row r="95" spans="1:7" x14ac:dyDescent="0.3">
      <c r="A95" t="s">
        <v>1549</v>
      </c>
      <c r="B95" t="s">
        <v>2</v>
      </c>
      <c r="D95">
        <v>50</v>
      </c>
      <c r="E95" t="b">
        <v>0</v>
      </c>
      <c r="F95">
        <f t="shared" si="2"/>
        <v>20</v>
      </c>
      <c r="G95" t="str">
        <f t="shared" si="3"/>
        <v>'daylightsavingtimeon' nvarchar2(50),</v>
      </c>
    </row>
    <row r="96" spans="1:7" x14ac:dyDescent="0.3">
      <c r="A96" t="s">
        <v>1550</v>
      </c>
      <c r="B96" t="s">
        <v>2</v>
      </c>
      <c r="D96">
        <v>50</v>
      </c>
      <c r="E96" t="b">
        <v>0</v>
      </c>
      <c r="F96">
        <f t="shared" si="2"/>
        <v>10</v>
      </c>
      <c r="G96" t="str">
        <f t="shared" si="3"/>
        <v>'timeoffset' nvarchar2(50),</v>
      </c>
    </row>
    <row r="97" spans="1:7" x14ac:dyDescent="0.3">
      <c r="A97" t="s">
        <v>1551</v>
      </c>
      <c r="B97" t="s">
        <v>2</v>
      </c>
      <c r="D97">
        <v>50</v>
      </c>
      <c r="E97" t="b">
        <v>0</v>
      </c>
      <c r="F97">
        <f t="shared" si="2"/>
        <v>24</v>
      </c>
      <c r="G97" t="str">
        <f t="shared" si="3"/>
        <v>'daylightsavingtimeoffset' nvarchar2(50),</v>
      </c>
    </row>
    <row r="98" spans="1:7" x14ac:dyDescent="0.3">
      <c r="A98" t="s">
        <v>1552</v>
      </c>
      <c r="B98" t="s">
        <v>2</v>
      </c>
      <c r="D98">
        <v>50</v>
      </c>
      <c r="E98" t="b">
        <v>0</v>
      </c>
      <c r="F98">
        <f t="shared" si="2"/>
        <v>27</v>
      </c>
      <c r="G98" t="str">
        <f t="shared" si="3"/>
        <v>'daylightsavingtimestartrule' nvarchar2(50),</v>
      </c>
    </row>
    <row r="99" spans="1:7" x14ac:dyDescent="0.3">
      <c r="A99" t="s">
        <v>1553</v>
      </c>
      <c r="B99" t="s">
        <v>2</v>
      </c>
      <c r="D99">
        <v>50</v>
      </c>
      <c r="E99" t="b">
        <v>0</v>
      </c>
      <c r="F99">
        <f t="shared" si="2"/>
        <v>8</v>
      </c>
      <c r="G99" t="str">
        <f t="shared" si="3"/>
        <v>'dcgstate' nvarchar2(50),</v>
      </c>
    </row>
    <row r="100" spans="1:7" x14ac:dyDescent="0.3">
      <c r="A100" t="s">
        <v>1554</v>
      </c>
      <c r="B100" t="s">
        <v>2</v>
      </c>
      <c r="D100">
        <v>50</v>
      </c>
      <c r="E100" t="b">
        <v>0</v>
      </c>
      <c r="F100">
        <f t="shared" si="2"/>
        <v>26</v>
      </c>
      <c r="G100" t="str">
        <f t="shared" si="3"/>
        <v>'datacollectiongenerationid' nvarchar2(50),</v>
      </c>
    </row>
    <row r="101" spans="1:7" x14ac:dyDescent="0.3">
      <c r="A101" t="s">
        <v>1555</v>
      </c>
      <c r="B101" t="s">
        <v>2</v>
      </c>
      <c r="D101">
        <v>50</v>
      </c>
      <c r="E101" t="b">
        <v>0</v>
      </c>
      <c r="F101">
        <f t="shared" si="2"/>
        <v>16</v>
      </c>
      <c r="G101" t="str">
        <f t="shared" si="3"/>
        <v>'pushpmfunctionid' nvarchar2(50),</v>
      </c>
    </row>
    <row r="102" spans="1:7" x14ac:dyDescent="0.3">
      <c r="A102" t="s">
        <v>1556</v>
      </c>
      <c r="B102" t="s">
        <v>2</v>
      </c>
      <c r="D102">
        <v>50</v>
      </c>
      <c r="E102" t="b">
        <v>0</v>
      </c>
      <c r="F102">
        <f t="shared" si="2"/>
        <v>26</v>
      </c>
      <c r="G102" t="str">
        <f t="shared" si="3"/>
        <v>'integrationunlockstateinfo' nvarchar2(50),</v>
      </c>
    </row>
    <row r="103" spans="1:7" x14ac:dyDescent="0.3">
      <c r="A103" t="s">
        <v>1557</v>
      </c>
      <c r="B103" t="s">
        <v>2</v>
      </c>
      <c r="D103">
        <v>50</v>
      </c>
      <c r="E103" t="b">
        <v>0</v>
      </c>
      <c r="F103">
        <f t="shared" si="2"/>
        <v>21</v>
      </c>
      <c r="G103" t="str">
        <f t="shared" si="3"/>
        <v>'lastlicensingpichange' nvarchar2(50),</v>
      </c>
    </row>
    <row r="104" spans="1:7" x14ac:dyDescent="0.3">
      <c r="A104" t="s">
        <v>1558</v>
      </c>
      <c r="B104" t="s">
        <v>2</v>
      </c>
      <c r="D104">
        <v>50</v>
      </c>
      <c r="E104" t="b">
        <v>0</v>
      </c>
      <c r="F104">
        <f t="shared" si="2"/>
        <v>11</v>
      </c>
      <c r="G104" t="str">
        <f t="shared" si="3"/>
        <v>'licensingid' nvarchar2(50),</v>
      </c>
    </row>
    <row r="105" spans="1:7" x14ac:dyDescent="0.3">
      <c r="A105" t="s">
        <v>1559</v>
      </c>
      <c r="B105" t="s">
        <v>2</v>
      </c>
      <c r="D105">
        <v>50</v>
      </c>
      <c r="E105" t="b">
        <v>0</v>
      </c>
      <c r="F105">
        <f t="shared" si="2"/>
        <v>18</v>
      </c>
      <c r="G105" t="str">
        <f t="shared" si="3"/>
        <v>'emergencystateinfo' nvarchar2(50),</v>
      </c>
    </row>
    <row r="106" spans="1:7" x14ac:dyDescent="0.3">
      <c r="A106" t="s">
        <v>1560</v>
      </c>
      <c r="B106" t="s">
        <v>2</v>
      </c>
      <c r="D106">
        <v>50</v>
      </c>
      <c r="E106" t="b">
        <v>0</v>
      </c>
      <c r="F106">
        <f t="shared" si="2"/>
        <v>15</v>
      </c>
      <c r="G106" t="str">
        <f t="shared" si="3"/>
        <v>'ds0bundlemorefa' nvarchar2(50),</v>
      </c>
    </row>
    <row r="107" spans="1:7" x14ac:dyDescent="0.3">
      <c r="A107" t="s">
        <v>1561</v>
      </c>
      <c r="B107" t="s">
        <v>2</v>
      </c>
      <c r="D107">
        <v>50</v>
      </c>
      <c r="E107" t="b">
        <v>0</v>
      </c>
      <c r="F107">
        <f t="shared" si="2"/>
        <v>15</v>
      </c>
      <c r="G107" t="str">
        <f t="shared" si="3"/>
        <v>'ds0bundlemorefb' nvarchar2(50),</v>
      </c>
    </row>
    <row r="108" spans="1:7" x14ac:dyDescent="0.3">
      <c r="A108" t="s">
        <v>1562</v>
      </c>
      <c r="B108" t="s">
        <v>2</v>
      </c>
      <c r="D108">
        <v>50</v>
      </c>
      <c r="E108" t="b">
        <v>0</v>
      </c>
      <c r="F108">
        <f t="shared" si="2"/>
        <v>20</v>
      </c>
      <c r="G108" t="str">
        <f t="shared" si="3"/>
        <v>'tdmcrossconnectionid' nvarchar2(50),</v>
      </c>
    </row>
    <row r="109" spans="1:7" x14ac:dyDescent="0.3">
      <c r="A109" t="s">
        <v>1563</v>
      </c>
      <c r="B109" t="s">
        <v>2</v>
      </c>
      <c r="D109">
        <v>50</v>
      </c>
      <c r="E109" t="b">
        <v>0</v>
      </c>
      <c r="F109">
        <f t="shared" si="2"/>
        <v>4</v>
      </c>
      <c r="G109" t="str">
        <f t="shared" si="3"/>
        <v>'chid' nvarchar2(50),</v>
      </c>
    </row>
    <row r="110" spans="1:7" x14ac:dyDescent="0.3">
      <c r="A110" t="s">
        <v>1564</v>
      </c>
      <c r="B110" t="s">
        <v>2</v>
      </c>
      <c r="D110">
        <v>50</v>
      </c>
      <c r="E110" t="b">
        <v>0</v>
      </c>
      <c r="F110">
        <f t="shared" si="2"/>
        <v>10</v>
      </c>
      <c r="G110" t="str">
        <f t="shared" si="3"/>
        <v>'chrpumoref' nvarchar2(50),</v>
      </c>
    </row>
    <row r="111" spans="1:7" x14ac:dyDescent="0.3">
      <c r="A111" t="s">
        <v>1565</v>
      </c>
      <c r="B111" t="s">
        <v>2</v>
      </c>
      <c r="D111">
        <v>50</v>
      </c>
      <c r="E111" t="b">
        <v>0</v>
      </c>
      <c r="F111">
        <f t="shared" si="2"/>
        <v>28</v>
      </c>
      <c r="G111" t="str">
        <f t="shared" si="3"/>
        <v>'bgfsmsrpsupportedtlsversions' nvarchar2(50),</v>
      </c>
    </row>
    <row r="112" spans="1:7" x14ac:dyDescent="0.3">
      <c r="A112" t="s">
        <v>1566</v>
      </c>
      <c r="B112" t="s">
        <v>2</v>
      </c>
      <c r="D112">
        <v>50</v>
      </c>
      <c r="E112" t="b">
        <v>0</v>
      </c>
      <c r="F112">
        <f t="shared" si="2"/>
        <v>19</v>
      </c>
      <c r="G112" t="str">
        <f t="shared" si="3"/>
        <v>'userplanesecurityid' nvarchar2(50),</v>
      </c>
    </row>
    <row r="113" spans="1:7" x14ac:dyDescent="0.3">
      <c r="A113" t="s">
        <v>1567</v>
      </c>
      <c r="B113" t="s">
        <v>2</v>
      </c>
      <c r="D113">
        <v>50</v>
      </c>
      <c r="E113" t="b">
        <v>0</v>
      </c>
      <c r="F113">
        <f t="shared" si="2"/>
        <v>16</v>
      </c>
      <c r="G113" t="str">
        <f t="shared" si="3"/>
        <v>'nodecertificates' nvarchar2(50),</v>
      </c>
    </row>
    <row r="114" spans="1:7" x14ac:dyDescent="0.3">
      <c r="A114" t="s">
        <v>1568</v>
      </c>
      <c r="B114" t="s">
        <v>2</v>
      </c>
      <c r="D114">
        <v>50</v>
      </c>
      <c r="E114" t="b">
        <v>0</v>
      </c>
      <c r="F114">
        <f t="shared" si="2"/>
        <v>12</v>
      </c>
      <c r="G114" t="str">
        <f t="shared" si="3"/>
        <v>'mescrpumoref' nvarchar2(50),</v>
      </c>
    </row>
    <row r="115" spans="1:7" x14ac:dyDescent="0.3">
      <c r="A115" t="s">
        <v>1569</v>
      </c>
      <c r="B115" t="s">
        <v>2</v>
      </c>
      <c r="D115">
        <v>50</v>
      </c>
      <c r="E115" t="b">
        <v>0</v>
      </c>
      <c r="F115">
        <f t="shared" si="2"/>
        <v>6</v>
      </c>
      <c r="G115" t="str">
        <f t="shared" si="3"/>
        <v>'mescid' nvarchar2(50),</v>
      </c>
    </row>
    <row r="116" spans="1:7" x14ac:dyDescent="0.3">
      <c r="A116" t="s">
        <v>1570</v>
      </c>
      <c r="B116" t="s">
        <v>2</v>
      </c>
      <c r="D116">
        <v>50</v>
      </c>
      <c r="E116" t="b">
        <v>0</v>
      </c>
      <c r="F116">
        <f t="shared" si="2"/>
        <v>21</v>
      </c>
      <c r="G116" t="str">
        <f t="shared" si="3"/>
        <v>'localconnsupthreshold' nvarchar2(50),</v>
      </c>
    </row>
    <row r="117" spans="1:7" x14ac:dyDescent="0.3">
      <c r="A117" t="s">
        <v>1571</v>
      </c>
      <c r="B117" t="s">
        <v>2</v>
      </c>
      <c r="D117">
        <v>50</v>
      </c>
      <c r="E117" t="b">
        <v>0</v>
      </c>
      <c r="F117">
        <f t="shared" si="2"/>
        <v>27</v>
      </c>
      <c r="G117" t="str">
        <f t="shared" si="3"/>
        <v>'ipconnectivitysupervisionid' nvarchar2(50),</v>
      </c>
    </row>
    <row r="118" spans="1:7" x14ac:dyDescent="0.3">
      <c r="A118" t="s">
        <v>1572</v>
      </c>
      <c r="B118" t="s">
        <v>2</v>
      </c>
      <c r="D118">
        <v>50</v>
      </c>
      <c r="E118" t="b">
        <v>0</v>
      </c>
      <c r="F118">
        <f t="shared" si="2"/>
        <v>21</v>
      </c>
      <c r="G118" t="str">
        <f t="shared" si="3"/>
        <v>'featurestateipconnsup' nvarchar2(50),</v>
      </c>
    </row>
    <row r="119" spans="1:7" x14ac:dyDescent="0.3">
      <c r="A119" t="s">
        <v>1573</v>
      </c>
      <c r="B119" t="s">
        <v>2</v>
      </c>
      <c r="D119">
        <v>50</v>
      </c>
      <c r="E119" t="b">
        <v>0</v>
      </c>
      <c r="F119">
        <f t="shared" si="2"/>
        <v>24</v>
      </c>
      <c r="G119" t="str">
        <f t="shared" si="3"/>
        <v>'remoteipconnconsfailures' nvarchar2(50),</v>
      </c>
    </row>
    <row r="120" spans="1:7" x14ac:dyDescent="0.3">
      <c r="A120" t="s">
        <v>1574</v>
      </c>
      <c r="B120" t="s">
        <v>2</v>
      </c>
      <c r="D120">
        <v>50</v>
      </c>
      <c r="E120" t="b">
        <v>0</v>
      </c>
      <c r="F120">
        <f t="shared" si="2"/>
        <v>21</v>
      </c>
      <c r="G120" t="str">
        <f t="shared" si="3"/>
        <v>'remoteipconnsupactive' nvarchar2(50),</v>
      </c>
    </row>
    <row r="121" spans="1:7" x14ac:dyDescent="0.3">
      <c r="A121" t="s">
        <v>1575</v>
      </c>
      <c r="B121" t="s">
        <v>2</v>
      </c>
      <c r="D121">
        <v>50</v>
      </c>
      <c r="E121" t="b">
        <v>0</v>
      </c>
      <c r="F121">
        <f t="shared" si="2"/>
        <v>20</v>
      </c>
      <c r="G121" t="str">
        <f t="shared" si="3"/>
        <v>'localipconnsupactive' nvarchar2(50),</v>
      </c>
    </row>
    <row r="122" spans="1:7" x14ac:dyDescent="0.3">
      <c r="A122" t="s">
        <v>1576</v>
      </c>
      <c r="B122" t="s">
        <v>2</v>
      </c>
      <c r="D122">
        <v>50</v>
      </c>
      <c r="E122" t="b">
        <v>0</v>
      </c>
      <c r="F122">
        <f t="shared" si="2"/>
        <v>29</v>
      </c>
      <c r="G122" t="str">
        <f t="shared" si="3"/>
        <v>'remotesitesuptrafficreduction' nvarchar2(50),</v>
      </c>
    </row>
    <row r="123" spans="1:7" x14ac:dyDescent="0.3">
      <c r="A123" t="s">
        <v>1577</v>
      </c>
      <c r="B123" t="s">
        <v>2</v>
      </c>
      <c r="D123">
        <v>50</v>
      </c>
      <c r="E123" t="b">
        <v>0</v>
      </c>
      <c r="F123">
        <f t="shared" si="2"/>
        <v>24</v>
      </c>
      <c r="G123" t="str">
        <f t="shared" si="3"/>
        <v>'remotesitetrafflevactive' nvarchar2(50),</v>
      </c>
    </row>
    <row r="124" spans="1:7" x14ac:dyDescent="0.3">
      <c r="A124" t="s">
        <v>1578</v>
      </c>
      <c r="B124" t="s">
        <v>2</v>
      </c>
      <c r="D124">
        <v>50</v>
      </c>
      <c r="E124" t="b">
        <v>0</v>
      </c>
      <c r="F124">
        <f t="shared" si="2"/>
        <v>21</v>
      </c>
      <c r="G124" t="str">
        <f t="shared" si="3"/>
        <v>'licensestateipconnsup' nvarchar2(50),</v>
      </c>
    </row>
    <row r="125" spans="1:7" x14ac:dyDescent="0.3">
      <c r="A125" t="s">
        <v>1579</v>
      </c>
      <c r="B125" t="s">
        <v>2</v>
      </c>
      <c r="D125">
        <v>50</v>
      </c>
      <c r="E125" t="b">
        <v>0</v>
      </c>
      <c r="F125">
        <f t="shared" si="2"/>
        <v>11</v>
      </c>
      <c r="G125" t="str">
        <f t="shared" si="3"/>
        <v>'webserverid' nvarchar2(50),</v>
      </c>
    </row>
    <row r="126" spans="1:7" x14ac:dyDescent="0.3">
      <c r="A126" t="s">
        <v>1580</v>
      </c>
      <c r="B126" t="s">
        <v>2</v>
      </c>
      <c r="D126">
        <v>50</v>
      </c>
      <c r="E126" t="b">
        <v>0</v>
      </c>
      <c r="F126">
        <f t="shared" si="2"/>
        <v>6</v>
      </c>
      <c r="G126" t="str">
        <f t="shared" si="3"/>
        <v>'ncliid' nvarchar2(50),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8593-8B64-4474-9759-7513886C543A}">
  <dimension ref="A1:D16"/>
  <sheetViews>
    <sheetView workbookViewId="0">
      <selection activeCell="S27" sqref="S27"/>
    </sheetView>
  </sheetViews>
  <sheetFormatPr defaultRowHeight="14.4" x14ac:dyDescent="0.3"/>
  <cols>
    <col min="1" max="1" width="15" customWidth="1"/>
  </cols>
  <sheetData>
    <row r="1" spans="1:4" x14ac:dyDescent="0.3">
      <c r="A1" s="1" t="s">
        <v>119</v>
      </c>
      <c r="B1" s="1" t="s">
        <v>118</v>
      </c>
      <c r="C1" s="1" t="s">
        <v>117</v>
      </c>
    </row>
    <row r="2" spans="1:4" x14ac:dyDescent="0.3">
      <c r="A2" s="3" t="s">
        <v>140</v>
      </c>
      <c r="B2" s="3" t="s">
        <v>116</v>
      </c>
      <c r="C2" s="3">
        <v>20</v>
      </c>
      <c r="D2" t="s">
        <v>120</v>
      </c>
    </row>
    <row r="3" spans="1:4" x14ac:dyDescent="0.3">
      <c r="A3" s="5" t="s">
        <v>0</v>
      </c>
      <c r="B3" s="5" t="s">
        <v>116</v>
      </c>
      <c r="C3" s="5">
        <v>20</v>
      </c>
      <c r="D3" t="s">
        <v>121</v>
      </c>
    </row>
    <row r="4" spans="1:4" x14ac:dyDescent="0.3">
      <c r="A4" s="2" t="s">
        <v>6</v>
      </c>
      <c r="B4" s="2" t="s">
        <v>2</v>
      </c>
      <c r="C4" s="2">
        <v>50</v>
      </c>
    </row>
    <row r="5" spans="1:4" x14ac:dyDescent="0.3">
      <c r="A5" s="2" t="s">
        <v>3</v>
      </c>
      <c r="B5" s="2" t="s">
        <v>2</v>
      </c>
      <c r="C5" s="2">
        <v>50</v>
      </c>
    </row>
    <row r="6" spans="1:4" x14ac:dyDescent="0.3">
      <c r="A6" s="2" t="s">
        <v>109</v>
      </c>
      <c r="B6" s="2" t="s">
        <v>2</v>
      </c>
      <c r="C6" s="2">
        <v>50</v>
      </c>
    </row>
    <row r="7" spans="1:4" x14ac:dyDescent="0.3">
      <c r="A7" s="2" t="s">
        <v>110</v>
      </c>
      <c r="B7" s="2" t="s">
        <v>2</v>
      </c>
      <c r="C7" s="2">
        <v>50</v>
      </c>
    </row>
    <row r="8" spans="1:4" x14ac:dyDescent="0.3">
      <c r="A8" s="2" t="s">
        <v>111</v>
      </c>
      <c r="B8" s="2" t="s">
        <v>2</v>
      </c>
      <c r="C8" s="2">
        <v>50</v>
      </c>
    </row>
    <row r="9" spans="1:4" x14ac:dyDescent="0.3">
      <c r="A9" s="2" t="s">
        <v>112</v>
      </c>
      <c r="B9" s="2" t="s">
        <v>2</v>
      </c>
      <c r="C9" s="2">
        <v>50</v>
      </c>
    </row>
    <row r="10" spans="1:4" x14ac:dyDescent="0.3">
      <c r="A10" s="2" t="s">
        <v>113</v>
      </c>
      <c r="B10" s="2" t="s">
        <v>2</v>
      </c>
      <c r="C10" s="2">
        <v>50</v>
      </c>
    </row>
    <row r="11" spans="1:4" x14ac:dyDescent="0.3">
      <c r="A11" s="2" t="s">
        <v>114</v>
      </c>
      <c r="B11" s="2" t="s">
        <v>2</v>
      </c>
      <c r="C11" s="2">
        <v>50</v>
      </c>
    </row>
    <row r="12" spans="1:4" x14ac:dyDescent="0.3">
      <c r="A12" s="2" t="s">
        <v>115</v>
      </c>
      <c r="B12" s="2" t="s">
        <v>2</v>
      </c>
      <c r="C12" s="2">
        <v>50</v>
      </c>
    </row>
    <row r="13" spans="1:4" x14ac:dyDescent="0.3">
      <c r="A13" s="4" t="s">
        <v>23</v>
      </c>
      <c r="B13" s="4" t="s">
        <v>2</v>
      </c>
      <c r="C13" s="4">
        <v>50</v>
      </c>
    </row>
    <row r="14" spans="1:4" x14ac:dyDescent="0.3">
      <c r="A14" s="4" t="s">
        <v>24</v>
      </c>
      <c r="B14" s="4" t="s">
        <v>25</v>
      </c>
      <c r="C14" s="4"/>
    </row>
    <row r="15" spans="1:4" x14ac:dyDescent="0.3">
      <c r="A15" s="4" t="s">
        <v>26</v>
      </c>
      <c r="B15" s="4" t="s">
        <v>2</v>
      </c>
      <c r="C15" s="4">
        <v>50</v>
      </c>
    </row>
    <row r="16" spans="1:4" x14ac:dyDescent="0.3">
      <c r="A16" s="4" t="s">
        <v>27</v>
      </c>
      <c r="B16" s="4" t="s">
        <v>25</v>
      </c>
      <c r="C16" s="4"/>
    </row>
  </sheetData>
  <sortState xmlns:xlrd2="http://schemas.microsoft.com/office/spreadsheetml/2017/richdata2" ref="A5:C12">
    <sortCondition ref="A5:A12"/>
  </sortState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CE210-89C2-4BBF-90FE-76F61D820320}">
  <dimension ref="A1:K893"/>
  <sheetViews>
    <sheetView topLeftCell="A193" zoomScale="123" workbookViewId="0">
      <selection activeCell="S27" sqref="S27"/>
    </sheetView>
  </sheetViews>
  <sheetFormatPr defaultRowHeight="14.4" x14ac:dyDescent="0.3"/>
  <cols>
    <col min="2" max="2" width="19.33203125" bestFit="1" customWidth="1"/>
    <col min="3" max="3" width="41" customWidth="1"/>
    <col min="5" max="5" width="19.33203125" bestFit="1" customWidth="1"/>
    <col min="6" max="6" width="29.88671875" customWidth="1"/>
    <col min="7" max="7" width="8" bestFit="1" customWidth="1"/>
    <col min="8" max="8" width="10.88671875" bestFit="1" customWidth="1"/>
    <col min="9" max="9" width="15.88671875" customWidth="1"/>
    <col min="10" max="10" width="16.109375" customWidth="1"/>
  </cols>
  <sheetData>
    <row r="1" spans="1:11" s="10" customFormat="1" x14ac:dyDescent="0.3">
      <c r="A1" s="10" t="s">
        <v>1283</v>
      </c>
      <c r="B1" s="10" t="s">
        <v>1282</v>
      </c>
      <c r="C1" s="10" t="s">
        <v>1281</v>
      </c>
      <c r="D1" s="10" t="s">
        <v>1280</v>
      </c>
      <c r="E1" s="10" t="s">
        <v>1279</v>
      </c>
      <c r="F1" s="10" t="s">
        <v>1278</v>
      </c>
      <c r="G1" s="10" t="s">
        <v>1277</v>
      </c>
      <c r="H1" s="10" t="s">
        <v>1276</v>
      </c>
      <c r="I1" s="10" t="s">
        <v>1275</v>
      </c>
      <c r="J1" s="10" t="s">
        <v>1274</v>
      </c>
      <c r="K1" s="10" t="s">
        <v>1284</v>
      </c>
    </row>
    <row r="2" spans="1:11" x14ac:dyDescent="0.3">
      <c r="A2">
        <v>1</v>
      </c>
      <c r="B2" t="s">
        <v>124</v>
      </c>
      <c r="C2" t="s">
        <v>1</v>
      </c>
      <c r="D2" t="b">
        <v>0</v>
      </c>
      <c r="E2" t="s">
        <v>124</v>
      </c>
      <c r="F2" t="s">
        <v>1</v>
      </c>
      <c r="G2">
        <v>50</v>
      </c>
      <c r="H2" t="str">
        <f t="shared" ref="H2:H65" si="0">IF(LEN(C2)&gt;30,"TRUE","FALSE")</f>
        <v>FALSE</v>
      </c>
      <c r="I2" t="str">
        <f t="shared" ref="I2:I65" si="1">IF(LEN(F2)&gt;30,"TRUE","FALSE")</f>
        <v>FALSE</v>
      </c>
      <c r="J2" t="str">
        <f t="shared" ref="J2:J65" si="2">IF(G2&gt;50,"TRUE","FALSE")</f>
        <v>FALSE</v>
      </c>
      <c r="K2" t="str">
        <f t="shared" ref="K2:K65" si="3">CONCATENATE(B2,";",C2,";",D2,";",E2,";",F2,";",G2)</f>
        <v>networkelement;dataacquisitiondate;FALSE;networkelement;dataacquisitiondate;50</v>
      </c>
    </row>
    <row r="3" spans="1:11" x14ac:dyDescent="0.3">
      <c r="A3">
        <v>1</v>
      </c>
      <c r="B3" t="s">
        <v>124</v>
      </c>
      <c r="C3" t="s">
        <v>3</v>
      </c>
      <c r="D3" t="b">
        <v>0</v>
      </c>
      <c r="E3" t="s">
        <v>124</v>
      </c>
      <c r="F3" t="s">
        <v>3</v>
      </c>
      <c r="G3">
        <v>50</v>
      </c>
      <c r="H3" t="str">
        <f t="shared" si="0"/>
        <v>FALSE</v>
      </c>
      <c r="I3" t="str">
        <f t="shared" si="1"/>
        <v>FALSE</v>
      </c>
      <c r="J3" t="str">
        <f t="shared" si="2"/>
        <v>FALSE</v>
      </c>
      <c r="K3" t="str">
        <f t="shared" si="3"/>
        <v>networkelement;elementname;FALSE;networkelement;elementname;50</v>
      </c>
    </row>
    <row r="4" spans="1:11" x14ac:dyDescent="0.3">
      <c r="A4">
        <v>1</v>
      </c>
      <c r="B4" t="s">
        <v>124</v>
      </c>
      <c r="C4" t="s">
        <v>4</v>
      </c>
      <c r="D4" t="b">
        <v>0</v>
      </c>
      <c r="E4" t="s">
        <v>124</v>
      </c>
      <c r="F4" t="s">
        <v>4</v>
      </c>
      <c r="G4">
        <v>50</v>
      </c>
      <c r="H4" t="str">
        <f t="shared" si="0"/>
        <v>FALSE</v>
      </c>
      <c r="I4" t="str">
        <f t="shared" si="1"/>
        <v>FALSE</v>
      </c>
      <c r="J4" t="str">
        <f t="shared" si="2"/>
        <v>FALSE</v>
      </c>
      <c r="K4" t="str">
        <f t="shared" si="3"/>
        <v>networkelement;nodetype;FALSE;networkelement;nodetype;50</v>
      </c>
    </row>
    <row r="5" spans="1:11" x14ac:dyDescent="0.3">
      <c r="A5">
        <v>1</v>
      </c>
      <c r="B5" t="s">
        <v>124</v>
      </c>
      <c r="C5" t="s">
        <v>5</v>
      </c>
      <c r="D5" t="b">
        <v>0</v>
      </c>
      <c r="E5" t="s">
        <v>124</v>
      </c>
      <c r="F5" t="s">
        <v>5</v>
      </c>
      <c r="G5">
        <v>50</v>
      </c>
      <c r="H5" t="str">
        <f t="shared" si="0"/>
        <v>FALSE</v>
      </c>
      <c r="I5" t="str">
        <f t="shared" si="1"/>
        <v>FALSE</v>
      </c>
      <c r="J5" t="str">
        <f t="shared" si="2"/>
        <v>FALSE</v>
      </c>
      <c r="K5" t="str">
        <f t="shared" si="3"/>
        <v>networkelement;oem;FALSE;networkelement;oem;50</v>
      </c>
    </row>
    <row r="6" spans="1:11" x14ac:dyDescent="0.3">
      <c r="A6">
        <v>1</v>
      </c>
      <c r="B6" t="s">
        <v>124</v>
      </c>
      <c r="C6" t="s">
        <v>6</v>
      </c>
      <c r="D6" t="b">
        <v>0</v>
      </c>
      <c r="E6" t="s">
        <v>124</v>
      </c>
      <c r="F6" t="s">
        <v>6</v>
      </c>
      <c r="G6">
        <v>50</v>
      </c>
      <c r="H6" t="str">
        <f t="shared" si="0"/>
        <v>FALSE</v>
      </c>
      <c r="I6" t="str">
        <f t="shared" si="1"/>
        <v>FALSE</v>
      </c>
      <c r="J6" t="str">
        <f t="shared" si="2"/>
        <v>FALSE</v>
      </c>
      <c r="K6" t="str">
        <f t="shared" si="3"/>
        <v>networkelement;opco;FALSE;networkelement;opco;50</v>
      </c>
    </row>
    <row r="7" spans="1:11" x14ac:dyDescent="0.3">
      <c r="A7">
        <v>1</v>
      </c>
      <c r="B7" t="s">
        <v>124</v>
      </c>
      <c r="C7" t="s">
        <v>7</v>
      </c>
      <c r="D7" t="b">
        <v>0</v>
      </c>
      <c r="E7" t="s">
        <v>124</v>
      </c>
      <c r="F7" t="s">
        <v>7</v>
      </c>
      <c r="G7">
        <v>50</v>
      </c>
      <c r="H7" t="str">
        <f t="shared" si="0"/>
        <v>FALSE</v>
      </c>
      <c r="I7" t="str">
        <f t="shared" si="1"/>
        <v>FALSE</v>
      </c>
      <c r="J7" t="str">
        <f t="shared" si="2"/>
        <v>FALSE</v>
      </c>
      <c r="K7" t="str">
        <f t="shared" si="3"/>
        <v>networkelement;platformtype;FALSE;networkelement;platformtype;50</v>
      </c>
    </row>
    <row r="8" spans="1:11" x14ac:dyDescent="0.3">
      <c r="A8">
        <v>1</v>
      </c>
      <c r="B8" t="s">
        <v>124</v>
      </c>
      <c r="C8" t="s">
        <v>8</v>
      </c>
      <c r="D8" t="b">
        <v>0</v>
      </c>
      <c r="E8" t="s">
        <v>124</v>
      </c>
      <c r="F8" t="s">
        <v>8</v>
      </c>
      <c r="G8">
        <v>50</v>
      </c>
      <c r="H8" t="str">
        <f t="shared" si="0"/>
        <v>FALSE</v>
      </c>
      <c r="I8" t="str">
        <f t="shared" si="1"/>
        <v>FALSE</v>
      </c>
      <c r="J8" t="str">
        <f t="shared" si="2"/>
        <v>FALSE</v>
      </c>
      <c r="K8" t="str">
        <f t="shared" si="3"/>
        <v>networkelement;sitelocation;FALSE;networkelement;sitelocation;50</v>
      </c>
    </row>
    <row r="9" spans="1:11" x14ac:dyDescent="0.3">
      <c r="A9">
        <v>1</v>
      </c>
      <c r="B9" t="s">
        <v>124</v>
      </c>
      <c r="C9" t="s">
        <v>9</v>
      </c>
      <c r="D9" t="b">
        <v>0</v>
      </c>
      <c r="E9" t="s">
        <v>124</v>
      </c>
      <c r="F9" t="s">
        <v>9</v>
      </c>
      <c r="G9">
        <v>50</v>
      </c>
      <c r="H9" t="str">
        <f t="shared" si="0"/>
        <v>FALSE</v>
      </c>
      <c r="I9" t="str">
        <f t="shared" si="1"/>
        <v>FALSE</v>
      </c>
      <c r="J9" t="str">
        <f t="shared" si="2"/>
        <v>FALSE</v>
      </c>
      <c r="K9" t="str">
        <f t="shared" si="3"/>
        <v>networkelement;softwareinstalldate;FALSE;networkelement;softwareinstalldate;50</v>
      </c>
    </row>
    <row r="10" spans="1:11" x14ac:dyDescent="0.3">
      <c r="A10">
        <v>1</v>
      </c>
      <c r="B10" t="s">
        <v>124</v>
      </c>
      <c r="C10" t="s">
        <v>10</v>
      </c>
      <c r="D10" t="b">
        <v>0</v>
      </c>
      <c r="E10" t="s">
        <v>124</v>
      </c>
      <c r="F10" t="s">
        <v>10</v>
      </c>
      <c r="G10">
        <v>50</v>
      </c>
      <c r="H10" t="str">
        <f t="shared" si="0"/>
        <v>FALSE</v>
      </c>
      <c r="I10" t="str">
        <f t="shared" si="1"/>
        <v>FALSE</v>
      </c>
      <c r="J10" t="str">
        <f t="shared" si="2"/>
        <v>FALSE</v>
      </c>
      <c r="K10" t="str">
        <f t="shared" si="3"/>
        <v>networkelement;softwareinstalldateap;FALSE;networkelement;softwareinstalldateap;50</v>
      </c>
    </row>
    <row r="11" spans="1:11" x14ac:dyDescent="0.3">
      <c r="A11">
        <v>1</v>
      </c>
      <c r="B11" t="s">
        <v>124</v>
      </c>
      <c r="C11" t="s">
        <v>11</v>
      </c>
      <c r="D11" t="b">
        <v>0</v>
      </c>
      <c r="E11" t="s">
        <v>124</v>
      </c>
      <c r="F11" t="s">
        <v>11</v>
      </c>
      <c r="G11">
        <v>50</v>
      </c>
      <c r="H11" t="str">
        <f t="shared" si="0"/>
        <v>FALSE</v>
      </c>
      <c r="I11" t="str">
        <f t="shared" si="1"/>
        <v>FALSE</v>
      </c>
      <c r="J11" t="str">
        <f t="shared" si="2"/>
        <v>FALSE</v>
      </c>
      <c r="K11" t="str">
        <f t="shared" si="3"/>
        <v>networkelement;softwareinstalldatecp;FALSE;networkelement;softwareinstalldatecp;50</v>
      </c>
    </row>
    <row r="12" spans="1:11" x14ac:dyDescent="0.3">
      <c r="A12">
        <v>1</v>
      </c>
      <c r="B12" t="s">
        <v>124</v>
      </c>
      <c r="C12" t="s">
        <v>12</v>
      </c>
      <c r="D12" t="b">
        <v>0</v>
      </c>
      <c r="E12" t="s">
        <v>124</v>
      </c>
      <c r="F12" t="s">
        <v>12</v>
      </c>
      <c r="G12">
        <v>50</v>
      </c>
      <c r="H12" t="str">
        <f t="shared" si="0"/>
        <v>FALSE</v>
      </c>
      <c r="I12" t="str">
        <f t="shared" si="1"/>
        <v>FALSE</v>
      </c>
      <c r="J12" t="str">
        <f t="shared" si="2"/>
        <v>FALSE</v>
      </c>
      <c r="K12" t="str">
        <f t="shared" si="3"/>
        <v>networkelement;softwareproductdate;FALSE;networkelement;softwareproductdate;50</v>
      </c>
    </row>
    <row r="13" spans="1:11" x14ac:dyDescent="0.3">
      <c r="A13">
        <v>1</v>
      </c>
      <c r="B13" t="s">
        <v>124</v>
      </c>
      <c r="C13" t="s">
        <v>13</v>
      </c>
      <c r="D13" t="b">
        <v>0</v>
      </c>
      <c r="E13" t="s">
        <v>124</v>
      </c>
      <c r="F13" t="s">
        <v>13</v>
      </c>
      <c r="G13">
        <v>50</v>
      </c>
      <c r="H13" t="str">
        <f t="shared" si="0"/>
        <v>FALSE</v>
      </c>
      <c r="I13" t="str">
        <f t="shared" si="1"/>
        <v>FALSE</v>
      </c>
      <c r="J13" t="str">
        <f t="shared" si="2"/>
        <v>FALSE</v>
      </c>
      <c r="K13" t="str">
        <f t="shared" si="3"/>
        <v>networkelement;softwareproductdateap;FALSE;networkelement;softwareproductdateap;50</v>
      </c>
    </row>
    <row r="14" spans="1:11" x14ac:dyDescent="0.3">
      <c r="A14">
        <v>1</v>
      </c>
      <c r="B14" t="s">
        <v>124</v>
      </c>
      <c r="C14" t="s">
        <v>14</v>
      </c>
      <c r="D14" t="b">
        <v>0</v>
      </c>
      <c r="E14" t="s">
        <v>124</v>
      </c>
      <c r="F14" t="s">
        <v>14</v>
      </c>
      <c r="G14">
        <v>50</v>
      </c>
      <c r="H14" t="str">
        <f t="shared" si="0"/>
        <v>FALSE</v>
      </c>
      <c r="I14" t="str">
        <f t="shared" si="1"/>
        <v>FALSE</v>
      </c>
      <c r="J14" t="str">
        <f t="shared" si="2"/>
        <v>FALSE</v>
      </c>
      <c r="K14" t="str">
        <f t="shared" si="3"/>
        <v>networkelement;softwareproductdatecp;FALSE;networkelement;softwareproductdatecp;50</v>
      </c>
    </row>
    <row r="15" spans="1:11" x14ac:dyDescent="0.3">
      <c r="A15">
        <v>1</v>
      </c>
      <c r="B15" t="s">
        <v>124</v>
      </c>
      <c r="C15" t="s">
        <v>15</v>
      </c>
      <c r="D15" t="b">
        <v>0</v>
      </c>
      <c r="E15" t="s">
        <v>124</v>
      </c>
      <c r="F15" t="s">
        <v>15</v>
      </c>
      <c r="G15">
        <v>50</v>
      </c>
      <c r="H15" t="str">
        <f t="shared" si="0"/>
        <v>FALSE</v>
      </c>
      <c r="I15" t="str">
        <f t="shared" si="1"/>
        <v>FALSE</v>
      </c>
      <c r="J15" t="str">
        <f t="shared" si="2"/>
        <v>FALSE</v>
      </c>
      <c r="K15" t="str">
        <f t="shared" si="3"/>
        <v>networkelement;softwareproductnumber;FALSE;networkelement;softwareproductnumber;50</v>
      </c>
    </row>
    <row r="16" spans="1:11" x14ac:dyDescent="0.3">
      <c r="A16">
        <v>1</v>
      </c>
      <c r="B16" t="s">
        <v>124</v>
      </c>
      <c r="C16" t="s">
        <v>16</v>
      </c>
      <c r="D16" t="b">
        <v>0</v>
      </c>
      <c r="E16" t="s">
        <v>124</v>
      </c>
      <c r="F16" t="s">
        <v>16</v>
      </c>
      <c r="G16">
        <v>50</v>
      </c>
      <c r="H16" t="str">
        <f t="shared" si="0"/>
        <v>FALSE</v>
      </c>
      <c r="I16" t="str">
        <f t="shared" si="1"/>
        <v>FALSE</v>
      </c>
      <c r="J16" t="str">
        <f t="shared" si="2"/>
        <v>FALSE</v>
      </c>
      <c r="K16" t="str">
        <f t="shared" si="3"/>
        <v>networkelement;softwareproductnumberap;FALSE;networkelement;softwareproductnumberap;50</v>
      </c>
    </row>
    <row r="17" spans="1:11" x14ac:dyDescent="0.3">
      <c r="A17">
        <v>1</v>
      </c>
      <c r="B17" t="s">
        <v>124</v>
      </c>
      <c r="C17" t="s">
        <v>17</v>
      </c>
      <c r="D17" t="b">
        <v>0</v>
      </c>
      <c r="E17" t="s">
        <v>124</v>
      </c>
      <c r="F17" t="s">
        <v>17</v>
      </c>
      <c r="G17">
        <v>50</v>
      </c>
      <c r="H17" t="str">
        <f t="shared" si="0"/>
        <v>FALSE</v>
      </c>
      <c r="I17" t="str">
        <f t="shared" si="1"/>
        <v>FALSE</v>
      </c>
      <c r="J17" t="str">
        <f t="shared" si="2"/>
        <v>FALSE</v>
      </c>
      <c r="K17" t="str">
        <f t="shared" si="3"/>
        <v>networkelement;softwareproductnumbercp;FALSE;networkelement;softwareproductnumbercp;50</v>
      </c>
    </row>
    <row r="18" spans="1:11" x14ac:dyDescent="0.3">
      <c r="A18">
        <v>1</v>
      </c>
      <c r="B18" t="s">
        <v>124</v>
      </c>
      <c r="C18" t="s">
        <v>18</v>
      </c>
      <c r="D18" t="b">
        <v>0</v>
      </c>
      <c r="E18" t="s">
        <v>1271</v>
      </c>
      <c r="F18" t="s">
        <v>18</v>
      </c>
      <c r="G18">
        <v>50</v>
      </c>
      <c r="H18" t="str">
        <f t="shared" si="0"/>
        <v>FALSE</v>
      </c>
      <c r="I18" t="str">
        <f t="shared" si="1"/>
        <v>FALSE</v>
      </c>
      <c r="J18" t="str">
        <f t="shared" si="2"/>
        <v>FALSE</v>
      </c>
      <c r="K18" t="str">
        <f t="shared" si="3"/>
        <v>networkelement;softwarereleaseinformation;FALSE;etworkelement;softwarereleaseinformation;50</v>
      </c>
    </row>
    <row r="19" spans="1:11" x14ac:dyDescent="0.3">
      <c r="A19">
        <v>1</v>
      </c>
      <c r="B19" t="s">
        <v>124</v>
      </c>
      <c r="C19" t="s">
        <v>19</v>
      </c>
      <c r="D19" t="b">
        <v>0</v>
      </c>
      <c r="E19" t="s">
        <v>124</v>
      </c>
      <c r="F19" t="s">
        <v>19</v>
      </c>
      <c r="G19">
        <v>50</v>
      </c>
      <c r="H19" t="str">
        <f t="shared" si="0"/>
        <v>FALSE</v>
      </c>
      <c r="I19" t="str">
        <f t="shared" si="1"/>
        <v>FALSE</v>
      </c>
      <c r="J19" t="str">
        <f t="shared" si="2"/>
        <v>FALSE</v>
      </c>
      <c r="K19" t="str">
        <f t="shared" si="3"/>
        <v>networkelement;softwarereleaseinformationap;FALSE;networkelement;softwarereleaseinformationap;50</v>
      </c>
    </row>
    <row r="20" spans="1:11" x14ac:dyDescent="0.3">
      <c r="A20">
        <v>1</v>
      </c>
      <c r="B20" t="s">
        <v>124</v>
      </c>
      <c r="C20" t="s">
        <v>20</v>
      </c>
      <c r="D20" t="b">
        <v>0</v>
      </c>
      <c r="E20" t="s">
        <v>124</v>
      </c>
      <c r="F20" t="s">
        <v>20</v>
      </c>
      <c r="G20">
        <v>50</v>
      </c>
      <c r="H20" t="str">
        <f t="shared" si="0"/>
        <v>FALSE</v>
      </c>
      <c r="I20" t="str">
        <f t="shared" si="1"/>
        <v>FALSE</v>
      </c>
      <c r="J20" t="str">
        <f t="shared" si="2"/>
        <v>FALSE</v>
      </c>
      <c r="K20" t="str">
        <f t="shared" si="3"/>
        <v>networkelement;softwarereleaseinformationcp;FALSE;networkelement;softwarereleaseinformationcp;50</v>
      </c>
    </row>
    <row r="21" spans="1:11" x14ac:dyDescent="0.3">
      <c r="A21">
        <v>1</v>
      </c>
      <c r="B21" t="s">
        <v>124</v>
      </c>
      <c r="C21" t="s">
        <v>21</v>
      </c>
      <c r="D21" t="b">
        <v>0</v>
      </c>
      <c r="E21" t="s">
        <v>124</v>
      </c>
      <c r="F21" t="s">
        <v>21</v>
      </c>
      <c r="G21">
        <v>50</v>
      </c>
      <c r="H21" t="str">
        <f t="shared" si="0"/>
        <v>FALSE</v>
      </c>
      <c r="I21" t="str">
        <f t="shared" si="1"/>
        <v>FALSE</v>
      </c>
      <c r="J21" t="str">
        <f t="shared" si="2"/>
        <v>FALSE</v>
      </c>
      <c r="K21" t="str">
        <f t="shared" si="3"/>
        <v>networkelement;spare1ossorenm;FALSE;networkelement;spare1ossorenm;50</v>
      </c>
    </row>
    <row r="22" spans="1:11" x14ac:dyDescent="0.3">
      <c r="A22">
        <v>1</v>
      </c>
      <c r="B22" t="s">
        <v>124</v>
      </c>
      <c r="C22" t="s">
        <v>22</v>
      </c>
      <c r="D22" t="b">
        <v>0</v>
      </c>
      <c r="E22" t="s">
        <v>124</v>
      </c>
      <c r="F22" t="s">
        <v>22</v>
      </c>
      <c r="G22">
        <v>50</v>
      </c>
      <c r="H22" t="str">
        <f t="shared" si="0"/>
        <v>FALSE</v>
      </c>
      <c r="I22" t="str">
        <f t="shared" si="1"/>
        <v>FALSE</v>
      </c>
      <c r="J22" t="str">
        <f t="shared" si="2"/>
        <v>FALSE</v>
      </c>
      <c r="K22" t="str">
        <f t="shared" si="3"/>
        <v>networkelement;spare2xmlversion;FALSE;networkelement;spare2xmlversion;50</v>
      </c>
    </row>
    <row r="23" spans="1:11" x14ac:dyDescent="0.3">
      <c r="A23">
        <v>2</v>
      </c>
      <c r="B23" t="s">
        <v>125</v>
      </c>
      <c r="C23" t="s">
        <v>3</v>
      </c>
      <c r="D23" t="b">
        <v>0</v>
      </c>
      <c r="E23" t="s">
        <v>125</v>
      </c>
      <c r="F23" t="s">
        <v>3</v>
      </c>
      <c r="G23">
        <v>50</v>
      </c>
      <c r="H23" t="str">
        <f t="shared" si="0"/>
        <v>FALSE</v>
      </c>
      <c r="I23" t="str">
        <f t="shared" si="1"/>
        <v>FALSE</v>
      </c>
      <c r="J23" t="str">
        <f t="shared" si="2"/>
        <v>FALSE</v>
      </c>
      <c r="K23" t="str">
        <f t="shared" si="3"/>
        <v>softwarecomponent;elementname;FALSE;softwarecomponent;elementname;50</v>
      </c>
    </row>
    <row r="24" spans="1:11" x14ac:dyDescent="0.3">
      <c r="A24">
        <v>2</v>
      </c>
      <c r="B24" t="s">
        <v>125</v>
      </c>
      <c r="C24" t="s">
        <v>34</v>
      </c>
      <c r="D24" t="b">
        <v>0</v>
      </c>
      <c r="E24" t="s">
        <v>125</v>
      </c>
      <c r="F24" t="s">
        <v>34</v>
      </c>
      <c r="G24">
        <v>50</v>
      </c>
      <c r="H24" t="str">
        <f t="shared" si="0"/>
        <v>FALSE</v>
      </c>
      <c r="I24" t="str">
        <f t="shared" si="1"/>
        <v>FALSE</v>
      </c>
      <c r="J24" t="str">
        <f t="shared" si="2"/>
        <v>FALSE</v>
      </c>
      <c r="K24" t="str">
        <f t="shared" si="3"/>
        <v>softwarecomponent;mainsoftwareversion;FALSE;softwarecomponent;mainsoftwareversion;50</v>
      </c>
    </row>
    <row r="25" spans="1:11" x14ac:dyDescent="0.3">
      <c r="A25">
        <v>2</v>
      </c>
      <c r="B25" t="s">
        <v>125</v>
      </c>
      <c r="C25" t="s">
        <v>5</v>
      </c>
      <c r="D25" t="b">
        <v>0</v>
      </c>
      <c r="E25" t="s">
        <v>125</v>
      </c>
      <c r="F25" t="s">
        <v>5</v>
      </c>
      <c r="G25">
        <v>50</v>
      </c>
      <c r="H25" t="str">
        <f t="shared" si="0"/>
        <v>FALSE</v>
      </c>
      <c r="I25" t="str">
        <f t="shared" si="1"/>
        <v>FALSE</v>
      </c>
      <c r="J25" t="str">
        <f t="shared" si="2"/>
        <v>FALSE</v>
      </c>
      <c r="K25" t="str">
        <f t="shared" si="3"/>
        <v>softwarecomponent;oem;FALSE;softwarecomponent;oem;50</v>
      </c>
    </row>
    <row r="26" spans="1:11" x14ac:dyDescent="0.3">
      <c r="A26">
        <v>2</v>
      </c>
      <c r="B26" t="s">
        <v>125</v>
      </c>
      <c r="C26" t="s">
        <v>6</v>
      </c>
      <c r="D26" t="b">
        <v>0</v>
      </c>
      <c r="E26" t="s">
        <v>125</v>
      </c>
      <c r="F26" t="s">
        <v>6</v>
      </c>
      <c r="G26">
        <v>50</v>
      </c>
      <c r="H26" t="str">
        <f t="shared" si="0"/>
        <v>FALSE</v>
      </c>
      <c r="I26" t="str">
        <f t="shared" si="1"/>
        <v>FALSE</v>
      </c>
      <c r="J26" t="str">
        <f t="shared" si="2"/>
        <v>FALSE</v>
      </c>
      <c r="K26" t="str">
        <f t="shared" si="3"/>
        <v>softwarecomponent;opco;FALSE;softwarecomponent;opco;50</v>
      </c>
    </row>
    <row r="27" spans="1:11" x14ac:dyDescent="0.3">
      <c r="A27">
        <v>3</v>
      </c>
      <c r="B27" t="s">
        <v>128</v>
      </c>
      <c r="C27" t="s">
        <v>38</v>
      </c>
      <c r="D27" t="b">
        <v>0</v>
      </c>
      <c r="E27" t="s">
        <v>128</v>
      </c>
      <c r="F27" t="s">
        <v>38</v>
      </c>
      <c r="G27">
        <v>50</v>
      </c>
      <c r="H27" t="str">
        <f t="shared" si="0"/>
        <v>FALSE</v>
      </c>
      <c r="I27" t="str">
        <f t="shared" si="1"/>
        <v>FALSE</v>
      </c>
      <c r="J27" t="str">
        <f t="shared" si="2"/>
        <v>FALSE</v>
      </c>
      <c r="K27" t="str">
        <f t="shared" si="3"/>
        <v>component;productiondate;FALSE;component;productiondate;50</v>
      </c>
    </row>
    <row r="28" spans="1:11" x14ac:dyDescent="0.3">
      <c r="A28">
        <v>3</v>
      </c>
      <c r="B28" t="s">
        <v>128</v>
      </c>
      <c r="C28" t="s">
        <v>141</v>
      </c>
      <c r="D28" t="b">
        <v>0</v>
      </c>
      <c r="E28" t="s">
        <v>128</v>
      </c>
      <c r="F28" t="s">
        <v>141</v>
      </c>
      <c r="G28">
        <v>100</v>
      </c>
      <c r="H28" t="str">
        <f t="shared" si="0"/>
        <v>FALSE</v>
      </c>
      <c r="I28" t="str">
        <f t="shared" si="1"/>
        <v>FALSE</v>
      </c>
      <c r="J28" t="str">
        <f t="shared" si="2"/>
        <v>TRUE</v>
      </c>
      <c r="K28" t="str">
        <f t="shared" si="3"/>
        <v>component;name;FALSE;component;name;100</v>
      </c>
    </row>
    <row r="29" spans="1:11" x14ac:dyDescent="0.3">
      <c r="A29">
        <v>3</v>
      </c>
      <c r="B29" t="s">
        <v>128</v>
      </c>
      <c r="C29" t="s">
        <v>39</v>
      </c>
      <c r="D29" t="b">
        <v>0</v>
      </c>
      <c r="E29" t="s">
        <v>128</v>
      </c>
      <c r="F29" t="s">
        <v>39</v>
      </c>
      <c r="G29">
        <v>200</v>
      </c>
      <c r="H29" t="str">
        <f t="shared" si="0"/>
        <v>FALSE</v>
      </c>
      <c r="I29" t="str">
        <f t="shared" si="1"/>
        <v>FALSE</v>
      </c>
      <c r="J29" t="str">
        <f t="shared" si="2"/>
        <v>TRUE</v>
      </c>
      <c r="K29" t="str">
        <f t="shared" si="3"/>
        <v>component;productionnumber;FALSE;component;productionnumber;200</v>
      </c>
    </row>
    <row r="30" spans="1:11" x14ac:dyDescent="0.3">
      <c r="A30">
        <v>3</v>
      </c>
      <c r="B30" t="s">
        <v>128</v>
      </c>
      <c r="C30" t="s">
        <v>40</v>
      </c>
      <c r="D30" t="b">
        <v>0</v>
      </c>
      <c r="E30" t="s">
        <v>128</v>
      </c>
      <c r="F30" t="s">
        <v>40</v>
      </c>
      <c r="G30">
        <v>100</v>
      </c>
      <c r="H30" t="str">
        <f t="shared" si="0"/>
        <v>FALSE</v>
      </c>
      <c r="I30" t="str">
        <f t="shared" si="1"/>
        <v>FALSE</v>
      </c>
      <c r="J30" t="str">
        <f t="shared" si="2"/>
        <v>TRUE</v>
      </c>
      <c r="K30" t="str">
        <f t="shared" si="3"/>
        <v>component;productionrevision;FALSE;component;productionrevision;100</v>
      </c>
    </row>
    <row r="31" spans="1:11" x14ac:dyDescent="0.3">
      <c r="A31">
        <v>4</v>
      </c>
      <c r="B31" t="s">
        <v>126</v>
      </c>
      <c r="C31" t="s">
        <v>35</v>
      </c>
      <c r="D31" t="b">
        <v>0</v>
      </c>
      <c r="E31" t="s">
        <v>126</v>
      </c>
      <c r="F31" t="s">
        <v>35</v>
      </c>
      <c r="G31">
        <v>50</v>
      </c>
      <c r="H31" t="str">
        <f t="shared" si="0"/>
        <v>FALSE</v>
      </c>
      <c r="I31" t="str">
        <f t="shared" si="1"/>
        <v>FALSE</v>
      </c>
      <c r="J31" t="str">
        <f t="shared" si="2"/>
        <v>FALSE</v>
      </c>
      <c r="K31" t="str">
        <f t="shared" si="3"/>
        <v>identity;apnodeaipaddress;FALSE;identity;apnodeaipaddress;50</v>
      </c>
    </row>
    <row r="32" spans="1:11" x14ac:dyDescent="0.3">
      <c r="A32">
        <v>4</v>
      </c>
      <c r="B32" t="s">
        <v>126</v>
      </c>
      <c r="C32" t="s">
        <v>36</v>
      </c>
      <c r="D32" t="b">
        <v>0</v>
      </c>
      <c r="E32" t="s">
        <v>126</v>
      </c>
      <c r="F32" t="s">
        <v>36</v>
      </c>
      <c r="G32">
        <v>50</v>
      </c>
      <c r="H32" t="str">
        <f t="shared" si="0"/>
        <v>FALSE</v>
      </c>
      <c r="I32" t="str">
        <f t="shared" si="1"/>
        <v>FALSE</v>
      </c>
      <c r="J32" t="str">
        <f t="shared" si="2"/>
        <v>FALSE</v>
      </c>
      <c r="K32" t="str">
        <f t="shared" si="3"/>
        <v>identity;apnodebipaddress;FALSE;identity;apnodebipaddress;50</v>
      </c>
    </row>
    <row r="33" spans="1:11" x14ac:dyDescent="0.3">
      <c r="A33">
        <v>4</v>
      </c>
      <c r="B33" t="s">
        <v>126</v>
      </c>
      <c r="C33" t="s">
        <v>3</v>
      </c>
      <c r="D33" t="b">
        <v>0</v>
      </c>
      <c r="E33" t="s">
        <v>126</v>
      </c>
      <c r="F33" t="s">
        <v>3</v>
      </c>
      <c r="G33">
        <v>50</v>
      </c>
      <c r="H33" t="str">
        <f t="shared" si="0"/>
        <v>FALSE</v>
      </c>
      <c r="I33" t="str">
        <f t="shared" si="1"/>
        <v>FALSE</v>
      </c>
      <c r="J33" t="str">
        <f t="shared" si="2"/>
        <v>FALSE</v>
      </c>
      <c r="K33" t="str">
        <f t="shared" si="3"/>
        <v>identity;elementname;FALSE;identity;elementname;50</v>
      </c>
    </row>
    <row r="34" spans="1:11" x14ac:dyDescent="0.3">
      <c r="A34">
        <v>4</v>
      </c>
      <c r="B34" t="s">
        <v>126</v>
      </c>
      <c r="C34" t="s">
        <v>37</v>
      </c>
      <c r="D34" t="b">
        <v>0</v>
      </c>
      <c r="E34" t="s">
        <v>126</v>
      </c>
      <c r="F34" t="s">
        <v>37</v>
      </c>
      <c r="G34">
        <v>50</v>
      </c>
      <c r="H34" t="str">
        <f t="shared" si="0"/>
        <v>FALSE</v>
      </c>
      <c r="I34" t="str">
        <f t="shared" si="1"/>
        <v>FALSE</v>
      </c>
      <c r="J34" t="str">
        <f t="shared" si="2"/>
        <v>FALSE</v>
      </c>
      <c r="K34" t="str">
        <f t="shared" si="3"/>
        <v>identity;ipaddress;FALSE;identity;ipaddress;50</v>
      </c>
    </row>
    <row r="35" spans="1:11" x14ac:dyDescent="0.3">
      <c r="A35">
        <v>4</v>
      </c>
      <c r="B35" t="s">
        <v>126</v>
      </c>
      <c r="C35" t="s">
        <v>6</v>
      </c>
      <c r="D35" t="b">
        <v>0</v>
      </c>
      <c r="E35" t="s">
        <v>126</v>
      </c>
      <c r="F35" t="s">
        <v>6</v>
      </c>
      <c r="G35">
        <v>50</v>
      </c>
      <c r="H35" t="str">
        <f t="shared" si="0"/>
        <v>FALSE</v>
      </c>
      <c r="I35" t="str">
        <f t="shared" si="1"/>
        <v>FALSE</v>
      </c>
      <c r="J35" t="str">
        <f t="shared" si="2"/>
        <v>FALSE</v>
      </c>
      <c r="K35" t="str">
        <f t="shared" si="3"/>
        <v>identity;opco;FALSE;identity;opco;50</v>
      </c>
    </row>
    <row r="36" spans="1:11" x14ac:dyDescent="0.3">
      <c r="A36">
        <v>5</v>
      </c>
      <c r="B36" t="s">
        <v>127</v>
      </c>
      <c r="C36" t="s">
        <v>3</v>
      </c>
      <c r="D36" t="b">
        <v>0</v>
      </c>
      <c r="E36" t="s">
        <v>127</v>
      </c>
      <c r="F36" t="s">
        <v>3</v>
      </c>
      <c r="G36">
        <v>50</v>
      </c>
      <c r="H36" t="str">
        <f t="shared" si="0"/>
        <v>FALSE</v>
      </c>
      <c r="I36" t="str">
        <f t="shared" si="1"/>
        <v>FALSE</v>
      </c>
      <c r="J36" t="str">
        <f t="shared" si="2"/>
        <v>FALSE</v>
      </c>
      <c r="K36" t="str">
        <f t="shared" si="3"/>
        <v>softconfiguration;elementname;FALSE;softconfiguration;elementname;50</v>
      </c>
    </row>
    <row r="37" spans="1:11" x14ac:dyDescent="0.3">
      <c r="A37">
        <v>5</v>
      </c>
      <c r="B37" t="s">
        <v>127</v>
      </c>
      <c r="C37" t="s">
        <v>6</v>
      </c>
      <c r="D37" t="b">
        <v>0</v>
      </c>
      <c r="E37" t="s">
        <v>127</v>
      </c>
      <c r="F37" t="s">
        <v>6</v>
      </c>
      <c r="G37">
        <v>50</v>
      </c>
      <c r="H37" t="str">
        <f t="shared" si="0"/>
        <v>FALSE</v>
      </c>
      <c r="I37" t="str">
        <f t="shared" si="1"/>
        <v>FALSE</v>
      </c>
      <c r="J37" t="str">
        <f t="shared" si="2"/>
        <v>FALSE</v>
      </c>
      <c r="K37" t="str">
        <f t="shared" si="3"/>
        <v>softconfiguration;opco;FALSE;softconfiguration;opco;50</v>
      </c>
    </row>
    <row r="38" spans="1:11" x14ac:dyDescent="0.3">
      <c r="A38">
        <v>6</v>
      </c>
      <c r="B38" t="s">
        <v>1273</v>
      </c>
      <c r="C38" t="s">
        <v>3</v>
      </c>
      <c r="D38" t="b">
        <v>0</v>
      </c>
      <c r="E38" t="s">
        <v>1273</v>
      </c>
      <c r="F38" t="s">
        <v>3</v>
      </c>
      <c r="G38">
        <v>50</v>
      </c>
      <c r="H38" t="str">
        <f t="shared" si="0"/>
        <v>FALSE</v>
      </c>
      <c r="I38" t="str">
        <f t="shared" si="1"/>
        <v>FALSE</v>
      </c>
      <c r="J38" t="str">
        <f t="shared" si="2"/>
        <v>FALSE</v>
      </c>
      <c r="K38" t="str">
        <f t="shared" si="3"/>
        <v>configuration;elementname;FALSE;configuration;elementname;50</v>
      </c>
    </row>
    <row r="39" spans="1:11" x14ac:dyDescent="0.3">
      <c r="A39">
        <v>6</v>
      </c>
      <c r="B39" t="s">
        <v>1273</v>
      </c>
      <c r="C39" t="s">
        <v>109</v>
      </c>
      <c r="D39" t="b">
        <v>0</v>
      </c>
      <c r="E39" t="s">
        <v>1273</v>
      </c>
      <c r="F39" t="s">
        <v>109</v>
      </c>
      <c r="G39">
        <v>50</v>
      </c>
      <c r="H39" t="str">
        <f t="shared" si="0"/>
        <v>FALSE</v>
      </c>
      <c r="I39" t="str">
        <f t="shared" si="1"/>
        <v>FALSE</v>
      </c>
      <c r="J39" t="str">
        <f t="shared" si="2"/>
        <v>FALSE</v>
      </c>
      <c r="K39" t="str">
        <f t="shared" si="3"/>
        <v>configuration;hardwaretype;FALSE;configuration;hardwaretype;50</v>
      </c>
    </row>
    <row r="40" spans="1:11" x14ac:dyDescent="0.3">
      <c r="A40">
        <v>6</v>
      </c>
      <c r="B40" t="s">
        <v>1273</v>
      </c>
      <c r="C40" t="s">
        <v>6</v>
      </c>
      <c r="D40" t="b">
        <v>0</v>
      </c>
      <c r="E40" t="s">
        <v>1273</v>
      </c>
      <c r="F40" t="s">
        <v>6</v>
      </c>
      <c r="G40">
        <v>50</v>
      </c>
      <c r="H40" t="str">
        <f t="shared" si="0"/>
        <v>FALSE</v>
      </c>
      <c r="I40" t="str">
        <f t="shared" si="1"/>
        <v>FALSE</v>
      </c>
      <c r="J40" t="str">
        <f t="shared" si="2"/>
        <v>FALSE</v>
      </c>
      <c r="K40" t="str">
        <f t="shared" si="3"/>
        <v>configuration;opco;FALSE;configuration;opco;50</v>
      </c>
    </row>
    <row r="41" spans="1:11" x14ac:dyDescent="0.3">
      <c r="A41">
        <v>6</v>
      </c>
      <c r="B41" t="s">
        <v>1273</v>
      </c>
      <c r="C41" t="s">
        <v>110</v>
      </c>
      <c r="D41" t="b">
        <v>0</v>
      </c>
      <c r="E41" t="s">
        <v>1273</v>
      </c>
      <c r="F41" t="s">
        <v>110</v>
      </c>
      <c r="G41">
        <v>50</v>
      </c>
      <c r="H41" t="str">
        <f t="shared" si="0"/>
        <v>FALSE</v>
      </c>
      <c r="I41" t="str">
        <f t="shared" si="1"/>
        <v>FALSE</v>
      </c>
      <c r="J41" t="str">
        <f t="shared" si="2"/>
        <v>FALSE</v>
      </c>
      <c r="K41" t="str">
        <f t="shared" si="3"/>
        <v>configuration;productname;FALSE;configuration;productname;50</v>
      </c>
    </row>
    <row r="42" spans="1:11" x14ac:dyDescent="0.3">
      <c r="A42">
        <v>6</v>
      </c>
      <c r="B42" t="s">
        <v>1273</v>
      </c>
      <c r="C42" t="s">
        <v>111</v>
      </c>
      <c r="D42" t="b">
        <v>0</v>
      </c>
      <c r="E42" t="s">
        <v>1273</v>
      </c>
      <c r="F42" t="s">
        <v>111</v>
      </c>
      <c r="G42">
        <v>50</v>
      </c>
      <c r="H42" t="str">
        <f t="shared" si="0"/>
        <v>FALSE</v>
      </c>
      <c r="I42" t="str">
        <f t="shared" si="1"/>
        <v>FALSE</v>
      </c>
      <c r="J42" t="str">
        <f t="shared" si="2"/>
        <v>FALSE</v>
      </c>
      <c r="K42" t="str">
        <f t="shared" si="3"/>
        <v>configuration;productno;FALSE;configuration;productno;50</v>
      </c>
    </row>
    <row r="43" spans="1:11" x14ac:dyDescent="0.3">
      <c r="A43">
        <v>6</v>
      </c>
      <c r="B43" t="s">
        <v>1273</v>
      </c>
      <c r="C43" t="s">
        <v>112</v>
      </c>
      <c r="D43" t="b">
        <v>0</v>
      </c>
      <c r="E43" t="s">
        <v>1273</v>
      </c>
      <c r="F43" t="s">
        <v>112</v>
      </c>
      <c r="G43">
        <v>50</v>
      </c>
      <c r="H43" t="str">
        <f t="shared" si="0"/>
        <v>FALSE</v>
      </c>
      <c r="I43" t="str">
        <f t="shared" si="1"/>
        <v>FALSE</v>
      </c>
      <c r="J43" t="str">
        <f t="shared" si="2"/>
        <v>FALSE</v>
      </c>
      <c r="K43" t="str">
        <f t="shared" si="3"/>
        <v>configuration;productrevision;FALSE;configuration;productrevision;50</v>
      </c>
    </row>
    <row r="44" spans="1:11" x14ac:dyDescent="0.3">
      <c r="A44">
        <v>6</v>
      </c>
      <c r="B44" t="s">
        <v>1273</v>
      </c>
      <c r="C44" t="s">
        <v>113</v>
      </c>
      <c r="D44" t="b">
        <v>0</v>
      </c>
      <c r="E44" t="s">
        <v>1273</v>
      </c>
      <c r="F44" t="s">
        <v>113</v>
      </c>
      <c r="G44">
        <v>50</v>
      </c>
      <c r="H44" t="str">
        <f t="shared" si="0"/>
        <v>FALSE</v>
      </c>
      <c r="I44" t="str">
        <f t="shared" si="1"/>
        <v>FALSE</v>
      </c>
      <c r="J44" t="str">
        <f t="shared" si="2"/>
        <v>FALSE</v>
      </c>
      <c r="K44" t="str">
        <f t="shared" si="3"/>
        <v>configuration;serialnumber;FALSE;configuration;serialnumber;50</v>
      </c>
    </row>
    <row r="45" spans="1:11" x14ac:dyDescent="0.3">
      <c r="A45">
        <v>6</v>
      </c>
      <c r="B45" t="s">
        <v>1273</v>
      </c>
      <c r="C45" t="s">
        <v>114</v>
      </c>
      <c r="D45" t="b">
        <v>0</v>
      </c>
      <c r="E45" t="s">
        <v>1273</v>
      </c>
      <c r="F45" t="s">
        <v>114</v>
      </c>
      <c r="G45">
        <v>50</v>
      </c>
      <c r="H45" t="str">
        <f t="shared" si="0"/>
        <v>FALSE</v>
      </c>
      <c r="I45" t="str">
        <f t="shared" si="1"/>
        <v>FALSE</v>
      </c>
      <c r="J45" t="str">
        <f t="shared" si="2"/>
        <v>FALSE</v>
      </c>
      <c r="K45" t="str">
        <f t="shared" si="3"/>
        <v>configuration;unitlocation;FALSE;configuration;unitlocation;50</v>
      </c>
    </row>
    <row r="46" spans="1:11" x14ac:dyDescent="0.3">
      <c r="A46">
        <v>6</v>
      </c>
      <c r="B46" t="s">
        <v>1273</v>
      </c>
      <c r="C46" t="s">
        <v>115</v>
      </c>
      <c r="D46" t="b">
        <v>0</v>
      </c>
      <c r="E46" t="s">
        <v>1273</v>
      </c>
      <c r="F46" t="s">
        <v>115</v>
      </c>
      <c r="G46">
        <v>50</v>
      </c>
      <c r="H46" t="str">
        <f t="shared" si="0"/>
        <v>FALSE</v>
      </c>
      <c r="I46" t="str">
        <f t="shared" si="1"/>
        <v>FALSE</v>
      </c>
      <c r="J46" t="str">
        <f t="shared" si="2"/>
        <v>FALSE</v>
      </c>
      <c r="K46" t="str">
        <f t="shared" si="3"/>
        <v>configuration;vendor;FALSE;configuration;vendor;50</v>
      </c>
    </row>
    <row r="47" spans="1:11" x14ac:dyDescent="0.3">
      <c r="A47">
        <v>7</v>
      </c>
      <c r="B47" t="s">
        <v>129</v>
      </c>
      <c r="C47" t="s">
        <v>143</v>
      </c>
      <c r="D47" t="b">
        <v>0</v>
      </c>
      <c r="E47" t="s">
        <v>129</v>
      </c>
      <c r="F47" t="s">
        <v>143</v>
      </c>
      <c r="G47">
        <v>50</v>
      </c>
      <c r="H47" t="str">
        <f t="shared" si="0"/>
        <v>FALSE</v>
      </c>
      <c r="I47" t="str">
        <f t="shared" si="1"/>
        <v>FALSE</v>
      </c>
      <c r="J47" t="str">
        <f t="shared" si="2"/>
        <v>FALSE</v>
      </c>
      <c r="K47" t="str">
        <f t="shared" si="3"/>
        <v>functionarea;accesssignallingid;FALSE;functionarea;accesssignallingid;50</v>
      </c>
    </row>
    <row r="48" spans="1:11" x14ac:dyDescent="0.3">
      <c r="A48">
        <v>7</v>
      </c>
      <c r="B48" t="s">
        <v>129</v>
      </c>
      <c r="C48" t="s">
        <v>144</v>
      </c>
      <c r="D48" t="b">
        <v>0</v>
      </c>
      <c r="E48" t="s">
        <v>129</v>
      </c>
      <c r="F48" t="s">
        <v>144</v>
      </c>
      <c r="G48">
        <v>50</v>
      </c>
      <c r="H48" t="str">
        <f t="shared" si="0"/>
        <v>FALSE</v>
      </c>
      <c r="I48" t="str">
        <f t="shared" si="1"/>
        <v>FALSE</v>
      </c>
      <c r="J48" t="str">
        <f t="shared" si="2"/>
        <v>FALSE</v>
      </c>
      <c r="K48" t="str">
        <f t="shared" si="3"/>
        <v>functionarea;amrwbhigherthresholdalarm;FALSE;functionarea;amrwbhigherthresholdalarm;50</v>
      </c>
    </row>
    <row r="49" spans="1:11" x14ac:dyDescent="0.3">
      <c r="A49">
        <v>7</v>
      </c>
      <c r="B49" t="s">
        <v>129</v>
      </c>
      <c r="C49" t="s">
        <v>145</v>
      </c>
      <c r="D49" t="b">
        <v>0</v>
      </c>
      <c r="E49" t="s">
        <v>129</v>
      </c>
      <c r="F49" t="s">
        <v>145</v>
      </c>
      <c r="G49">
        <v>50</v>
      </c>
      <c r="H49" t="str">
        <f t="shared" si="0"/>
        <v>FALSE</v>
      </c>
      <c r="I49" t="str">
        <f t="shared" si="1"/>
        <v>FALSE</v>
      </c>
      <c r="J49" t="str">
        <f t="shared" si="2"/>
        <v>FALSE</v>
      </c>
      <c r="K49" t="str">
        <f t="shared" si="3"/>
        <v>functionarea;amrwblowerthresholdalarm;FALSE;functionarea;amrwblowerthresholdalarm;50</v>
      </c>
    </row>
    <row r="50" spans="1:11" x14ac:dyDescent="0.3">
      <c r="A50">
        <v>7</v>
      </c>
      <c r="B50" t="s">
        <v>129</v>
      </c>
      <c r="C50" t="s">
        <v>231</v>
      </c>
      <c r="D50" t="b">
        <v>0</v>
      </c>
      <c r="E50" t="s">
        <v>129</v>
      </c>
      <c r="F50" t="s">
        <v>231</v>
      </c>
      <c r="G50">
        <v>50</v>
      </c>
      <c r="H50" t="str">
        <f t="shared" si="0"/>
        <v>FALSE</v>
      </c>
      <c r="I50" t="str">
        <f t="shared" si="1"/>
        <v>FALSE</v>
      </c>
      <c r="J50" t="str">
        <f t="shared" si="2"/>
        <v>FALSE</v>
      </c>
      <c r="K50" t="str">
        <f t="shared" si="3"/>
        <v>functionarea;applicationconfiguration;FALSE;functionarea;applicationconfiguration;50</v>
      </c>
    </row>
    <row r="51" spans="1:11" x14ac:dyDescent="0.3">
      <c r="A51">
        <v>7</v>
      </c>
      <c r="B51" t="s">
        <v>129</v>
      </c>
      <c r="C51" t="s">
        <v>41</v>
      </c>
      <c r="D51" t="b">
        <v>0</v>
      </c>
      <c r="E51" t="s">
        <v>129</v>
      </c>
      <c r="F51" t="s">
        <v>41</v>
      </c>
      <c r="G51">
        <v>50</v>
      </c>
      <c r="H51" t="str">
        <f t="shared" si="0"/>
        <v>FALSE</v>
      </c>
      <c r="I51" t="str">
        <f t="shared" si="1"/>
        <v>FALSE</v>
      </c>
      <c r="J51" t="str">
        <f t="shared" si="2"/>
        <v>FALSE</v>
      </c>
      <c r="K51" t="str">
        <f t="shared" si="3"/>
        <v>functionarea;applicationname;FALSE;functionarea;applicationname;50</v>
      </c>
    </row>
    <row r="52" spans="1:11" x14ac:dyDescent="0.3">
      <c r="A52">
        <v>7</v>
      </c>
      <c r="B52" t="s">
        <v>129</v>
      </c>
      <c r="C52" t="s">
        <v>255</v>
      </c>
      <c r="D52" t="b">
        <v>0</v>
      </c>
      <c r="E52" t="s">
        <v>129</v>
      </c>
      <c r="F52" t="s">
        <v>255</v>
      </c>
      <c r="G52">
        <v>50</v>
      </c>
      <c r="H52" t="str">
        <f t="shared" si="0"/>
        <v>FALSE</v>
      </c>
      <c r="I52" t="str">
        <f t="shared" si="1"/>
        <v>FALSE</v>
      </c>
      <c r="J52" t="str">
        <f t="shared" si="2"/>
        <v>FALSE</v>
      </c>
      <c r="K52" t="str">
        <f t="shared" si="3"/>
        <v>functionarea;area_name;FALSE;functionarea;area_name;50</v>
      </c>
    </row>
    <row r="53" spans="1:11" x14ac:dyDescent="0.3">
      <c r="A53">
        <v>7</v>
      </c>
      <c r="B53" t="s">
        <v>129</v>
      </c>
      <c r="C53" t="s">
        <v>146</v>
      </c>
      <c r="D53" t="b">
        <v>0</v>
      </c>
      <c r="E53" t="s">
        <v>129</v>
      </c>
      <c r="F53" t="s">
        <v>146</v>
      </c>
      <c r="G53">
        <v>50</v>
      </c>
      <c r="H53" t="str">
        <f t="shared" si="0"/>
        <v>FALSE</v>
      </c>
      <c r="I53" t="str">
        <f t="shared" si="1"/>
        <v>FALSE</v>
      </c>
      <c r="J53" t="str">
        <f t="shared" si="2"/>
        <v>FALSE</v>
      </c>
      <c r="K53" t="str">
        <f t="shared" si="3"/>
        <v>functionarea;autoconfigurationallowed;FALSE;functionarea;autoconfigurationallowed;50</v>
      </c>
    </row>
    <row r="54" spans="1:11" x14ac:dyDescent="0.3">
      <c r="A54">
        <v>7</v>
      </c>
      <c r="B54" t="s">
        <v>129</v>
      </c>
      <c r="C54" t="s">
        <v>42</v>
      </c>
      <c r="D54" t="b">
        <v>0</v>
      </c>
      <c r="E54" t="s">
        <v>129</v>
      </c>
      <c r="F54" t="s">
        <v>42</v>
      </c>
      <c r="G54">
        <v>50</v>
      </c>
      <c r="H54" t="str">
        <f t="shared" si="0"/>
        <v>FALSE</v>
      </c>
      <c r="I54" t="str">
        <f t="shared" si="1"/>
        <v>FALSE</v>
      </c>
      <c r="J54" t="str">
        <f t="shared" si="2"/>
        <v>FALSE</v>
      </c>
      <c r="K54" t="str">
        <f t="shared" si="3"/>
        <v>functionarea;bordergatewayfunctionid;FALSE;functionarea;bordergatewayfunctionid;50</v>
      </c>
    </row>
    <row r="55" spans="1:11" x14ac:dyDescent="0.3">
      <c r="A55">
        <v>7</v>
      </c>
      <c r="B55" t="s">
        <v>129</v>
      </c>
      <c r="C55" t="s">
        <v>43</v>
      </c>
      <c r="D55" t="b">
        <v>0</v>
      </c>
      <c r="E55" t="s">
        <v>129</v>
      </c>
      <c r="F55" t="s">
        <v>43</v>
      </c>
      <c r="G55">
        <v>50</v>
      </c>
      <c r="H55" t="str">
        <f t="shared" si="0"/>
        <v>FALSE</v>
      </c>
      <c r="I55" t="str">
        <f t="shared" si="1"/>
        <v>FALSE</v>
      </c>
      <c r="J55" t="str">
        <f t="shared" si="2"/>
        <v>FALSE</v>
      </c>
      <c r="K55" t="str">
        <f t="shared" si="3"/>
        <v>functionarea;callretentiontimer;FALSE;functionarea;callretentiontimer;50</v>
      </c>
    </row>
    <row r="56" spans="1:11" x14ac:dyDescent="0.3">
      <c r="A56">
        <v>7</v>
      </c>
      <c r="B56" t="s">
        <v>129</v>
      </c>
      <c r="C56" t="s">
        <v>44</v>
      </c>
      <c r="D56" t="b">
        <v>0</v>
      </c>
      <c r="E56" t="s">
        <v>129</v>
      </c>
      <c r="F56" t="s">
        <v>44</v>
      </c>
      <c r="G56">
        <v>50</v>
      </c>
      <c r="H56" t="str">
        <f t="shared" si="0"/>
        <v>FALSE</v>
      </c>
      <c r="I56" t="str">
        <f t="shared" si="1"/>
        <v>FALSE</v>
      </c>
      <c r="J56" t="str">
        <f t="shared" si="2"/>
        <v>FALSE</v>
      </c>
      <c r="K56" t="str">
        <f t="shared" si="3"/>
        <v>functionarea;capacityforprioritycalls;FALSE;functionarea;capacityforprioritycalls;50</v>
      </c>
    </row>
    <row r="57" spans="1:11" x14ac:dyDescent="0.3">
      <c r="A57">
        <v>7</v>
      </c>
      <c r="B57" t="s">
        <v>129</v>
      </c>
      <c r="C57" t="s">
        <v>147</v>
      </c>
      <c r="D57" t="b">
        <v>0</v>
      </c>
      <c r="E57" t="s">
        <v>129</v>
      </c>
      <c r="F57" t="s">
        <v>147</v>
      </c>
      <c r="G57">
        <v>50</v>
      </c>
      <c r="H57" t="str">
        <f t="shared" si="0"/>
        <v>FALSE</v>
      </c>
      <c r="I57" t="str">
        <f t="shared" si="1"/>
        <v>FALSE</v>
      </c>
      <c r="J57" t="str">
        <f t="shared" si="2"/>
        <v>FALSE</v>
      </c>
      <c r="K57" t="str">
        <f t="shared" si="3"/>
        <v>functionarea;cappercentreservedforwpscalls;FALSE;functionarea;cappercentreservedforwpscalls;50</v>
      </c>
    </row>
    <row r="58" spans="1:11" x14ac:dyDescent="0.3">
      <c r="A58">
        <v>7</v>
      </c>
      <c r="B58" t="s">
        <v>129</v>
      </c>
      <c r="C58" t="s">
        <v>108</v>
      </c>
      <c r="D58" t="b">
        <v>0</v>
      </c>
      <c r="E58" t="s">
        <v>129</v>
      </c>
      <c r="F58" t="s">
        <v>108</v>
      </c>
      <c r="G58">
        <v>50</v>
      </c>
      <c r="H58" t="str">
        <f t="shared" si="0"/>
        <v>FALSE</v>
      </c>
      <c r="I58" t="str">
        <f t="shared" si="1"/>
        <v>FALSE</v>
      </c>
      <c r="J58" t="str">
        <f t="shared" si="2"/>
        <v>FALSE</v>
      </c>
      <c r="K58" t="str">
        <f t="shared" si="3"/>
        <v>functionarea;codinglaw;FALSE;functionarea;codinglaw;50</v>
      </c>
    </row>
    <row r="59" spans="1:11" x14ac:dyDescent="0.3">
      <c r="A59">
        <v>7</v>
      </c>
      <c r="B59" t="s">
        <v>129</v>
      </c>
      <c r="C59" t="s">
        <v>45</v>
      </c>
      <c r="D59" t="b">
        <v>0</v>
      </c>
      <c r="E59" t="s">
        <v>129</v>
      </c>
      <c r="F59" t="s">
        <v>45</v>
      </c>
      <c r="G59">
        <v>50</v>
      </c>
      <c r="H59" t="str">
        <f t="shared" si="0"/>
        <v>FALSE</v>
      </c>
      <c r="I59" t="str">
        <f t="shared" si="1"/>
        <v>FALSE</v>
      </c>
      <c r="J59" t="str">
        <f t="shared" si="2"/>
        <v>FALSE</v>
      </c>
      <c r="K59" t="str">
        <f t="shared" si="3"/>
        <v>functionarea;datetimeoffset;FALSE;functionarea;datetimeoffset;50</v>
      </c>
    </row>
    <row r="60" spans="1:11" x14ac:dyDescent="0.3">
      <c r="A60">
        <v>7</v>
      </c>
      <c r="B60" t="s">
        <v>129</v>
      </c>
      <c r="C60" t="s">
        <v>232</v>
      </c>
      <c r="D60" t="b">
        <v>0</v>
      </c>
      <c r="E60" t="s">
        <v>129</v>
      </c>
      <c r="F60" t="s">
        <v>232</v>
      </c>
      <c r="G60">
        <v>50</v>
      </c>
      <c r="H60" t="str">
        <f t="shared" si="0"/>
        <v>FALSE</v>
      </c>
      <c r="I60" t="str">
        <f t="shared" si="1"/>
        <v>FALSE</v>
      </c>
      <c r="J60" t="str">
        <f t="shared" si="2"/>
        <v>FALSE</v>
      </c>
      <c r="K60" t="str">
        <f t="shared" si="3"/>
        <v>functionarea;ddbfunctionid;FALSE;functionarea;ddbfunctionid;50</v>
      </c>
    </row>
    <row r="61" spans="1:11" x14ac:dyDescent="0.3">
      <c r="A61">
        <v>7</v>
      </c>
      <c r="B61" t="s">
        <v>129</v>
      </c>
      <c r="C61" t="s">
        <v>46</v>
      </c>
      <c r="D61" t="b">
        <v>0</v>
      </c>
      <c r="E61" t="s">
        <v>129</v>
      </c>
      <c r="F61" t="s">
        <v>46</v>
      </c>
      <c r="G61">
        <v>50</v>
      </c>
      <c r="H61" t="str">
        <f t="shared" si="0"/>
        <v>FALSE</v>
      </c>
      <c r="I61" t="str">
        <f t="shared" si="1"/>
        <v>FALSE</v>
      </c>
      <c r="J61" t="str">
        <f t="shared" si="2"/>
        <v>FALSE</v>
      </c>
      <c r="K61" t="str">
        <f t="shared" si="3"/>
        <v>functionarea;directmediarouting;FALSE;functionarea;directmediarouting;50</v>
      </c>
    </row>
    <row r="62" spans="1:11" x14ac:dyDescent="0.3">
      <c r="A62">
        <v>7</v>
      </c>
      <c r="B62" t="s">
        <v>129</v>
      </c>
      <c r="C62" t="s">
        <v>148</v>
      </c>
      <c r="D62" t="b">
        <v>0</v>
      </c>
      <c r="E62" t="s">
        <v>129</v>
      </c>
      <c r="F62" t="s">
        <v>148</v>
      </c>
      <c r="G62">
        <v>50</v>
      </c>
      <c r="H62" t="str">
        <f t="shared" si="0"/>
        <v>FALSE</v>
      </c>
      <c r="I62" t="str">
        <f t="shared" si="1"/>
        <v>FALSE</v>
      </c>
      <c r="J62" t="str">
        <f t="shared" si="2"/>
        <v>FALSE</v>
      </c>
      <c r="K62" t="str">
        <f t="shared" si="3"/>
        <v>functionarea;doclibuserdefined;FALSE;functionarea;doclibuserdefined;50</v>
      </c>
    </row>
    <row r="63" spans="1:11" x14ac:dyDescent="0.3">
      <c r="A63">
        <v>7</v>
      </c>
      <c r="B63" t="s">
        <v>129</v>
      </c>
      <c r="C63" t="s">
        <v>149</v>
      </c>
      <c r="D63" t="b">
        <v>0</v>
      </c>
      <c r="E63" t="s">
        <v>129</v>
      </c>
      <c r="F63" t="s">
        <v>149</v>
      </c>
      <c r="G63">
        <v>50</v>
      </c>
      <c r="H63" t="str">
        <f t="shared" si="0"/>
        <v>FALSE</v>
      </c>
      <c r="I63" t="str">
        <f t="shared" si="1"/>
        <v>FALSE</v>
      </c>
      <c r="J63" t="str">
        <f t="shared" si="2"/>
        <v>FALSE</v>
      </c>
      <c r="K63" t="str">
        <f t="shared" si="3"/>
        <v>functionarea;documentserveraddress;FALSE;functionarea;documentserveraddress;50</v>
      </c>
    </row>
    <row r="64" spans="1:11" x14ac:dyDescent="0.3">
      <c r="A64">
        <v>7</v>
      </c>
      <c r="B64" t="s">
        <v>129</v>
      </c>
      <c r="C64" t="s">
        <v>233</v>
      </c>
      <c r="D64" t="b">
        <v>0</v>
      </c>
      <c r="E64" t="s">
        <v>129</v>
      </c>
      <c r="F64" t="s">
        <v>233</v>
      </c>
      <c r="G64">
        <v>50</v>
      </c>
      <c r="H64" t="str">
        <f t="shared" si="0"/>
        <v>FALSE</v>
      </c>
      <c r="I64" t="str">
        <f t="shared" si="1"/>
        <v>FALSE</v>
      </c>
      <c r="J64" t="str">
        <f t="shared" si="2"/>
        <v>FALSE</v>
      </c>
      <c r="K64" t="str">
        <f t="shared" si="3"/>
        <v>functionarea;dscfunctionid;FALSE;functionarea;dscfunctionid;50</v>
      </c>
    </row>
    <row r="65" spans="1:11" x14ac:dyDescent="0.3">
      <c r="A65">
        <v>7</v>
      </c>
      <c r="B65" t="s">
        <v>129</v>
      </c>
      <c r="C65" t="s">
        <v>150</v>
      </c>
      <c r="D65" t="b">
        <v>0</v>
      </c>
      <c r="E65" t="s">
        <v>129</v>
      </c>
      <c r="F65" t="s">
        <v>150</v>
      </c>
      <c r="G65">
        <v>50</v>
      </c>
      <c r="H65" t="str">
        <f t="shared" si="0"/>
        <v>FALSE</v>
      </c>
      <c r="I65" t="str">
        <f t="shared" si="1"/>
        <v>FALSE</v>
      </c>
      <c r="J65" t="str">
        <f t="shared" si="2"/>
        <v>FALSE</v>
      </c>
      <c r="K65" t="str">
        <f t="shared" si="3"/>
        <v>functionarea;dscpaudio;FALSE;functionarea;dscpaudio;50</v>
      </c>
    </row>
    <row r="66" spans="1:11" x14ac:dyDescent="0.3">
      <c r="A66">
        <v>7</v>
      </c>
      <c r="B66" t="s">
        <v>129</v>
      </c>
      <c r="C66" t="s">
        <v>151</v>
      </c>
      <c r="D66" t="b">
        <v>0</v>
      </c>
      <c r="E66" t="s">
        <v>129</v>
      </c>
      <c r="F66" t="s">
        <v>151</v>
      </c>
      <c r="G66">
        <v>50</v>
      </c>
      <c r="H66" t="str">
        <f t="shared" ref="H66:H129" si="4">IF(LEN(C66)&gt;30,"TRUE","FALSE")</f>
        <v>FALSE</v>
      </c>
      <c r="I66" t="str">
        <f t="shared" ref="I66:I129" si="5">IF(LEN(F66)&gt;30,"TRUE","FALSE")</f>
        <v>FALSE</v>
      </c>
      <c r="J66" t="str">
        <f t="shared" ref="J66:J129" si="6">IF(G66&gt;50,"TRUE","FALSE")</f>
        <v>FALSE</v>
      </c>
      <c r="K66" t="str">
        <f t="shared" ref="K66:K129" si="7">CONCATENATE(B66,";",C66,";",D66,";",E66,";",F66,";",G66)</f>
        <v>functionarea;dscpmarking;FALSE;functionarea;dscpmarking;50</v>
      </c>
    </row>
    <row r="67" spans="1:11" x14ac:dyDescent="0.3">
      <c r="A67">
        <v>7</v>
      </c>
      <c r="B67" t="s">
        <v>129</v>
      </c>
      <c r="C67" t="s">
        <v>152</v>
      </c>
      <c r="D67" t="b">
        <v>0</v>
      </c>
      <c r="E67" t="s">
        <v>129</v>
      </c>
      <c r="F67" t="s">
        <v>152</v>
      </c>
      <c r="G67">
        <v>50</v>
      </c>
      <c r="H67" t="str">
        <f t="shared" si="4"/>
        <v>FALSE</v>
      </c>
      <c r="I67" t="str">
        <f t="shared" si="5"/>
        <v>FALSE</v>
      </c>
      <c r="J67" t="str">
        <f t="shared" si="6"/>
        <v>FALSE</v>
      </c>
      <c r="K67" t="str">
        <f t="shared" si="7"/>
        <v>functionarea;dscpmultimedia;FALSE;functionarea;dscpmultimedia;50</v>
      </c>
    </row>
    <row r="68" spans="1:11" x14ac:dyDescent="0.3">
      <c r="A68">
        <v>7</v>
      </c>
      <c r="B68" t="s">
        <v>129</v>
      </c>
      <c r="C68" t="s">
        <v>60</v>
      </c>
      <c r="D68" t="b">
        <v>0</v>
      </c>
      <c r="E68" t="s">
        <v>129</v>
      </c>
      <c r="F68" t="s">
        <v>60</v>
      </c>
      <c r="G68">
        <v>50</v>
      </c>
      <c r="H68" t="str">
        <f t="shared" si="4"/>
        <v>FALSE</v>
      </c>
      <c r="I68" t="str">
        <f t="shared" si="5"/>
        <v>FALSE</v>
      </c>
      <c r="J68" t="str">
        <f t="shared" si="6"/>
        <v>FALSE</v>
      </c>
      <c r="K68" t="str">
        <f t="shared" si="7"/>
        <v>functionarea;mmasid;FALSE;functionarea;mmasid;50</v>
      </c>
    </row>
    <row r="69" spans="1:11" x14ac:dyDescent="0.3">
      <c r="A69">
        <v>7</v>
      </c>
      <c r="B69" t="s">
        <v>129</v>
      </c>
      <c r="C69" t="s">
        <v>48</v>
      </c>
      <c r="D69" t="b">
        <v>0</v>
      </c>
      <c r="E69" t="s">
        <v>129</v>
      </c>
      <c r="F69" t="s">
        <v>48</v>
      </c>
      <c r="G69">
        <v>50</v>
      </c>
      <c r="H69" t="str">
        <f t="shared" si="4"/>
        <v>FALSE</v>
      </c>
      <c r="I69" t="str">
        <f t="shared" si="5"/>
        <v>FALSE</v>
      </c>
      <c r="J69" t="str">
        <f t="shared" si="6"/>
        <v>FALSE</v>
      </c>
      <c r="K69" t="str">
        <f t="shared" si="7"/>
        <v>functionarea;enableondemandscaling;FALSE;functionarea;enableondemandscaling;50</v>
      </c>
    </row>
    <row r="70" spans="1:11" x14ac:dyDescent="0.3">
      <c r="A70">
        <v>7</v>
      </c>
      <c r="B70" t="s">
        <v>129</v>
      </c>
      <c r="C70" t="s">
        <v>153</v>
      </c>
      <c r="D70" t="b">
        <v>0</v>
      </c>
      <c r="E70" t="s">
        <v>129</v>
      </c>
      <c r="F70" t="s">
        <v>153</v>
      </c>
      <c r="G70">
        <v>50</v>
      </c>
      <c r="H70" t="str">
        <f t="shared" si="4"/>
        <v>FALSE</v>
      </c>
      <c r="I70" t="str">
        <f t="shared" si="5"/>
        <v>FALSE</v>
      </c>
      <c r="J70" t="str">
        <f t="shared" si="6"/>
        <v>FALSE</v>
      </c>
      <c r="K70" t="str">
        <f t="shared" si="7"/>
        <v>functionarea;equipmentid;FALSE;functionarea;equipmentid;50</v>
      </c>
    </row>
    <row r="71" spans="1:11" x14ac:dyDescent="0.3">
      <c r="A71">
        <v>7</v>
      </c>
      <c r="B71" t="s">
        <v>129</v>
      </c>
      <c r="C71" t="s">
        <v>154</v>
      </c>
      <c r="D71" t="b">
        <v>0</v>
      </c>
      <c r="E71" t="s">
        <v>129</v>
      </c>
      <c r="F71" t="s">
        <v>154</v>
      </c>
      <c r="G71">
        <v>50</v>
      </c>
      <c r="H71" t="str">
        <f t="shared" si="4"/>
        <v>FALSE</v>
      </c>
      <c r="I71" t="str">
        <f t="shared" si="5"/>
        <v>FALSE</v>
      </c>
      <c r="J71" t="str">
        <f t="shared" si="6"/>
        <v>FALSE</v>
      </c>
      <c r="K71" t="str">
        <f t="shared" si="7"/>
        <v>functionarea;ethernetswitchfabricid;FALSE;functionarea;ethernetswitchfabricid;50</v>
      </c>
    </row>
    <row r="72" spans="1:11" x14ac:dyDescent="0.3">
      <c r="A72">
        <v>7</v>
      </c>
      <c r="B72" t="s">
        <v>129</v>
      </c>
      <c r="C72" t="s">
        <v>49</v>
      </c>
      <c r="D72" t="b">
        <v>0</v>
      </c>
      <c r="E72" t="s">
        <v>129</v>
      </c>
      <c r="F72" t="s">
        <v>49</v>
      </c>
      <c r="G72">
        <v>50</v>
      </c>
      <c r="H72" t="str">
        <f t="shared" si="4"/>
        <v>FALSE</v>
      </c>
      <c r="I72" t="str">
        <f t="shared" si="5"/>
        <v>FALSE</v>
      </c>
      <c r="J72" t="str">
        <f t="shared" si="6"/>
        <v>FALSE</v>
      </c>
      <c r="K72" t="str">
        <f t="shared" si="7"/>
        <v>functionarea;evssupportedinmrf;FALSE;functionarea;evssupportedinmrf;50</v>
      </c>
    </row>
    <row r="73" spans="1:11" x14ac:dyDescent="0.3">
      <c r="A73">
        <v>7</v>
      </c>
      <c r="B73" t="s">
        <v>129</v>
      </c>
      <c r="C73" t="s">
        <v>155</v>
      </c>
      <c r="D73" t="b">
        <v>0</v>
      </c>
      <c r="E73" t="s">
        <v>129</v>
      </c>
      <c r="F73" t="s">
        <v>155</v>
      </c>
      <c r="G73">
        <v>50</v>
      </c>
      <c r="H73" t="str">
        <f t="shared" si="4"/>
        <v>FALSE</v>
      </c>
      <c r="I73" t="str">
        <f t="shared" si="5"/>
        <v>FALSE</v>
      </c>
      <c r="J73" t="str">
        <f t="shared" si="6"/>
        <v>FALSE</v>
      </c>
      <c r="K73" t="str">
        <f t="shared" si="7"/>
        <v>functionarea;explicitcongestionnotification;FALSE;functionarea;explicitcongestionnotification;50</v>
      </c>
    </row>
    <row r="74" spans="1:11" x14ac:dyDescent="0.3">
      <c r="A74">
        <v>7</v>
      </c>
      <c r="B74" t="s">
        <v>129</v>
      </c>
      <c r="C74" t="s">
        <v>50</v>
      </c>
      <c r="D74" t="b">
        <v>0</v>
      </c>
      <c r="E74" t="s">
        <v>129</v>
      </c>
      <c r="F74" t="s">
        <v>50</v>
      </c>
      <c r="G74">
        <v>50</v>
      </c>
      <c r="H74" t="str">
        <f t="shared" si="4"/>
        <v>FALSE</v>
      </c>
      <c r="I74" t="str">
        <f t="shared" si="5"/>
        <v>FALSE</v>
      </c>
      <c r="J74" t="str">
        <f t="shared" si="6"/>
        <v>FALSE</v>
      </c>
      <c r="K74" t="str">
        <f t="shared" si="7"/>
        <v>functionarea;failoverdetectiontimer;FALSE;functionarea;failoverdetectiontimer;50</v>
      </c>
    </row>
    <row r="75" spans="1:11" x14ac:dyDescent="0.3">
      <c r="A75">
        <v>7</v>
      </c>
      <c r="B75" t="s">
        <v>129</v>
      </c>
      <c r="C75" t="s">
        <v>156</v>
      </c>
      <c r="D75" t="b">
        <v>0</v>
      </c>
      <c r="E75" t="s">
        <v>129</v>
      </c>
      <c r="F75" t="s">
        <v>156</v>
      </c>
      <c r="G75">
        <v>50</v>
      </c>
      <c r="H75" t="str">
        <f t="shared" si="4"/>
        <v>FALSE</v>
      </c>
      <c r="I75" t="str">
        <f t="shared" si="5"/>
        <v>FALSE</v>
      </c>
      <c r="J75" t="str">
        <f t="shared" si="6"/>
        <v>FALSE</v>
      </c>
      <c r="K75" t="str">
        <f t="shared" si="7"/>
        <v>functionarea;featurestatebgfsmsrp;FALSE;functionarea;featurestatebgfsmsrp;50</v>
      </c>
    </row>
    <row r="76" spans="1:11" x14ac:dyDescent="0.3">
      <c r="A76">
        <v>7</v>
      </c>
      <c r="B76" t="s">
        <v>129</v>
      </c>
      <c r="C76" t="s">
        <v>157</v>
      </c>
      <c r="D76" t="b">
        <v>0</v>
      </c>
      <c r="E76" t="s">
        <v>129</v>
      </c>
      <c r="F76" t="s">
        <v>157</v>
      </c>
      <c r="G76">
        <v>50</v>
      </c>
      <c r="H76" t="str">
        <f t="shared" si="4"/>
        <v>FALSE</v>
      </c>
      <c r="I76" t="str">
        <f t="shared" si="5"/>
        <v>FALSE</v>
      </c>
      <c r="J76" t="str">
        <f t="shared" si="6"/>
        <v>FALSE</v>
      </c>
      <c r="K76" t="str">
        <f t="shared" si="7"/>
        <v>functionarea;featurestatebgfwebrtc;FALSE;functionarea;featurestatebgfwebrtc;50</v>
      </c>
    </row>
    <row r="77" spans="1:11" x14ac:dyDescent="0.3">
      <c r="A77">
        <v>7</v>
      </c>
      <c r="B77" t="s">
        <v>129</v>
      </c>
      <c r="C77" t="s">
        <v>158</v>
      </c>
      <c r="D77" t="b">
        <v>0</v>
      </c>
      <c r="E77" t="s">
        <v>129</v>
      </c>
      <c r="F77" t="s">
        <v>158</v>
      </c>
      <c r="G77">
        <v>50</v>
      </c>
      <c r="H77" t="str">
        <f t="shared" si="4"/>
        <v>FALSE</v>
      </c>
      <c r="I77" t="str">
        <f t="shared" si="5"/>
        <v>FALSE</v>
      </c>
      <c r="J77" t="str">
        <f t="shared" si="6"/>
        <v>FALSE</v>
      </c>
      <c r="K77" t="str">
        <f t="shared" si="7"/>
        <v>functionarea;featurestatecontentsharing;FALSE;functionarea;featurestatecontentsharing;50</v>
      </c>
    </row>
    <row r="78" spans="1:11" x14ac:dyDescent="0.3">
      <c r="A78">
        <v>7</v>
      </c>
      <c r="B78" t="s">
        <v>129</v>
      </c>
      <c r="C78" t="s">
        <v>159</v>
      </c>
      <c r="D78" t="b">
        <v>0</v>
      </c>
      <c r="E78" t="s">
        <v>129</v>
      </c>
      <c r="F78" t="s">
        <v>159</v>
      </c>
      <c r="G78">
        <v>50</v>
      </c>
      <c r="H78" t="str">
        <f t="shared" si="4"/>
        <v>FALSE</v>
      </c>
      <c r="I78" t="str">
        <f t="shared" si="5"/>
        <v>FALSE</v>
      </c>
      <c r="J78" t="str">
        <f t="shared" si="6"/>
        <v>FALSE</v>
      </c>
      <c r="K78" t="str">
        <f t="shared" si="7"/>
        <v>functionarea;featurestatedtmfsuppression;FALSE;functionarea;featurestatedtmfsuppression;50</v>
      </c>
    </row>
    <row r="79" spans="1:11" x14ac:dyDescent="0.3">
      <c r="A79">
        <v>7</v>
      </c>
      <c r="B79" t="s">
        <v>129</v>
      </c>
      <c r="C79" t="s">
        <v>160</v>
      </c>
      <c r="D79" t="b">
        <v>0</v>
      </c>
      <c r="E79" t="s">
        <v>129</v>
      </c>
      <c r="F79" t="s">
        <v>160</v>
      </c>
      <c r="G79">
        <v>50</v>
      </c>
      <c r="H79" t="str">
        <f t="shared" si="4"/>
        <v>FALSE</v>
      </c>
      <c r="I79" t="str">
        <f t="shared" si="5"/>
        <v>FALSE</v>
      </c>
      <c r="J79" t="str">
        <f t="shared" si="6"/>
        <v>FALSE</v>
      </c>
      <c r="K79" t="str">
        <f t="shared" si="7"/>
        <v>functionarea;featurestateg722;FALSE;functionarea;featurestateg722;50</v>
      </c>
    </row>
    <row r="80" spans="1:11" x14ac:dyDescent="0.3">
      <c r="A80">
        <v>7</v>
      </c>
      <c r="B80" t="s">
        <v>129</v>
      </c>
      <c r="C80" t="s">
        <v>161</v>
      </c>
      <c r="D80" t="b">
        <v>0</v>
      </c>
      <c r="E80" t="s">
        <v>129</v>
      </c>
      <c r="F80" t="s">
        <v>161</v>
      </c>
      <c r="G80">
        <v>50</v>
      </c>
      <c r="H80" t="str">
        <f t="shared" si="4"/>
        <v>FALSE</v>
      </c>
      <c r="I80" t="str">
        <f t="shared" si="5"/>
        <v>FALSE</v>
      </c>
      <c r="J80" t="str">
        <f t="shared" si="6"/>
        <v>FALSE</v>
      </c>
      <c r="K80" t="str">
        <f t="shared" si="7"/>
        <v>functionarea;featurestatemscpoolproxygsm;FALSE;functionarea;featurestatemscpoolproxygsm;50</v>
      </c>
    </row>
    <row r="81" spans="1:11" x14ac:dyDescent="0.3">
      <c r="A81">
        <v>7</v>
      </c>
      <c r="B81" t="s">
        <v>129</v>
      </c>
      <c r="C81" t="s">
        <v>162</v>
      </c>
      <c r="D81" t="b">
        <v>0</v>
      </c>
      <c r="E81" t="s">
        <v>129</v>
      </c>
      <c r="F81" t="s">
        <v>162</v>
      </c>
      <c r="G81">
        <v>50</v>
      </c>
      <c r="H81" t="str">
        <f t="shared" si="4"/>
        <v>FALSE</v>
      </c>
      <c r="I81" t="str">
        <f t="shared" si="5"/>
        <v>FALSE</v>
      </c>
      <c r="J81" t="str">
        <f t="shared" si="6"/>
        <v>FALSE</v>
      </c>
      <c r="K81" t="str">
        <f t="shared" si="7"/>
        <v>functionarea;featurestatemscpoolproxywcdma;FALSE;functionarea;featurestatemscpoolproxywcdma;50</v>
      </c>
    </row>
    <row r="82" spans="1:11" x14ac:dyDescent="0.3">
      <c r="A82">
        <v>7</v>
      </c>
      <c r="B82" t="s">
        <v>129</v>
      </c>
      <c r="C82" t="s">
        <v>163</v>
      </c>
      <c r="D82" t="b">
        <v>0</v>
      </c>
      <c r="E82" t="s">
        <v>129</v>
      </c>
      <c r="F82" t="s">
        <v>163</v>
      </c>
      <c r="G82">
        <v>50</v>
      </c>
      <c r="H82" t="str">
        <f t="shared" si="4"/>
        <v>FALSE</v>
      </c>
      <c r="I82" t="str">
        <f t="shared" si="5"/>
        <v>FALSE</v>
      </c>
      <c r="J82" t="str">
        <f t="shared" si="6"/>
        <v>FALSE</v>
      </c>
      <c r="K82" t="str">
        <f t="shared" si="7"/>
        <v>functionarea;featurestatevoicetranscoding;FALSE;functionarea;featurestatevoicetranscoding;50</v>
      </c>
    </row>
    <row r="83" spans="1:11" x14ac:dyDescent="0.3">
      <c r="A83">
        <v>7</v>
      </c>
      <c r="B83" t="s">
        <v>129</v>
      </c>
      <c r="C83" t="s">
        <v>164</v>
      </c>
      <c r="D83" t="b">
        <v>0</v>
      </c>
      <c r="E83" t="s">
        <v>129</v>
      </c>
      <c r="F83" t="s">
        <v>164</v>
      </c>
      <c r="G83">
        <v>50</v>
      </c>
      <c r="H83" t="str">
        <f t="shared" si="4"/>
        <v>FALSE</v>
      </c>
      <c r="I83" t="str">
        <f t="shared" si="5"/>
        <v>FALSE</v>
      </c>
      <c r="J83" t="str">
        <f t="shared" si="6"/>
        <v>FALSE</v>
      </c>
      <c r="K83" t="str">
        <f t="shared" si="7"/>
        <v>functionarea;g711packetizationtimenb;FALSE;functionarea;g711packetizationtimenb;50</v>
      </c>
    </row>
    <row r="84" spans="1:11" x14ac:dyDescent="0.3">
      <c r="A84">
        <v>7</v>
      </c>
      <c r="B84" t="s">
        <v>129</v>
      </c>
      <c r="C84" t="s">
        <v>165</v>
      </c>
      <c r="D84" t="b">
        <v>0</v>
      </c>
      <c r="E84" t="s">
        <v>129</v>
      </c>
      <c r="F84" t="s">
        <v>165</v>
      </c>
      <c r="G84">
        <v>50</v>
      </c>
      <c r="H84" t="str">
        <f t="shared" si="4"/>
        <v>FALSE</v>
      </c>
      <c r="I84" t="str">
        <f t="shared" si="5"/>
        <v>FALSE</v>
      </c>
      <c r="J84" t="str">
        <f t="shared" si="6"/>
        <v>FALSE</v>
      </c>
      <c r="K84" t="str">
        <f t="shared" si="7"/>
        <v>functionarea;g729higherthresholdalarm;FALSE;functionarea;g729higherthresholdalarm;50</v>
      </c>
    </row>
    <row r="85" spans="1:11" x14ac:dyDescent="0.3">
      <c r="A85">
        <v>7</v>
      </c>
      <c r="B85" t="s">
        <v>129</v>
      </c>
      <c r="C85" t="s">
        <v>166</v>
      </c>
      <c r="D85" t="b">
        <v>0</v>
      </c>
      <c r="E85" t="s">
        <v>129</v>
      </c>
      <c r="F85" t="s">
        <v>166</v>
      </c>
      <c r="G85">
        <v>50</v>
      </c>
      <c r="H85" t="str">
        <f t="shared" si="4"/>
        <v>FALSE</v>
      </c>
      <c r="I85" t="str">
        <f t="shared" si="5"/>
        <v>FALSE</v>
      </c>
      <c r="J85" t="str">
        <f t="shared" si="6"/>
        <v>FALSE</v>
      </c>
      <c r="K85" t="str">
        <f t="shared" si="7"/>
        <v>functionarea;g729lowerthresholdalarm;FALSE;functionarea;g729lowerthresholdalarm;50</v>
      </c>
    </row>
    <row r="86" spans="1:11" x14ac:dyDescent="0.3">
      <c r="A86">
        <v>7</v>
      </c>
      <c r="B86" t="s">
        <v>129</v>
      </c>
      <c r="C86" t="s">
        <v>234</v>
      </c>
      <c r="D86" t="b">
        <v>0</v>
      </c>
      <c r="E86" t="s">
        <v>129</v>
      </c>
      <c r="F86" t="s">
        <v>234</v>
      </c>
      <c r="G86">
        <v>50</v>
      </c>
      <c r="H86" t="str">
        <f t="shared" si="4"/>
        <v>FALSE</v>
      </c>
      <c r="I86" t="str">
        <f t="shared" si="5"/>
        <v>FALSE</v>
      </c>
      <c r="J86" t="str">
        <f t="shared" si="6"/>
        <v>FALSE</v>
      </c>
      <c r="K86" t="str">
        <f t="shared" si="7"/>
        <v>functionarea;healthcheckresult;FALSE;functionarea;healthcheckresult;50</v>
      </c>
    </row>
    <row r="87" spans="1:11" x14ac:dyDescent="0.3">
      <c r="A87">
        <v>7</v>
      </c>
      <c r="B87" t="s">
        <v>129</v>
      </c>
      <c r="C87" t="s">
        <v>235</v>
      </c>
      <c r="D87" t="b">
        <v>0</v>
      </c>
      <c r="E87" t="s">
        <v>129</v>
      </c>
      <c r="F87" t="s">
        <v>235</v>
      </c>
      <c r="G87">
        <v>50</v>
      </c>
      <c r="H87" t="str">
        <f t="shared" si="4"/>
        <v>FALSE</v>
      </c>
      <c r="I87" t="str">
        <f t="shared" si="5"/>
        <v>FALSE</v>
      </c>
      <c r="J87" t="str">
        <f t="shared" si="6"/>
        <v>FALSE</v>
      </c>
      <c r="K87" t="str">
        <f t="shared" si="7"/>
        <v>functionarea;healthcheckschedule;FALSE;functionarea;healthcheckschedule;50</v>
      </c>
    </row>
    <row r="88" spans="1:11" x14ac:dyDescent="0.3">
      <c r="A88">
        <v>7</v>
      </c>
      <c r="B88" t="s">
        <v>129</v>
      </c>
      <c r="C88" t="s">
        <v>51</v>
      </c>
      <c r="D88" t="b">
        <v>0</v>
      </c>
      <c r="E88" t="s">
        <v>129</v>
      </c>
      <c r="F88" t="s">
        <v>51</v>
      </c>
      <c r="G88">
        <v>50</v>
      </c>
      <c r="H88" t="str">
        <f t="shared" si="4"/>
        <v>FALSE</v>
      </c>
      <c r="I88" t="str">
        <f t="shared" si="5"/>
        <v>FALSE</v>
      </c>
      <c r="J88" t="str">
        <f t="shared" si="6"/>
        <v>FALSE</v>
      </c>
      <c r="K88" t="str">
        <f t="shared" si="7"/>
        <v>functionarea;id;FALSE;functionarea;id;50</v>
      </c>
    </row>
    <row r="89" spans="1:11" x14ac:dyDescent="0.3">
      <c r="A89">
        <v>7</v>
      </c>
      <c r="B89" t="s">
        <v>129</v>
      </c>
      <c r="C89" t="s">
        <v>167</v>
      </c>
      <c r="D89" t="b">
        <v>0</v>
      </c>
      <c r="E89" t="s">
        <v>129</v>
      </c>
      <c r="F89" t="s">
        <v>167</v>
      </c>
      <c r="G89">
        <v>50</v>
      </c>
      <c r="H89" t="str">
        <f t="shared" si="4"/>
        <v>FALSE</v>
      </c>
      <c r="I89" t="str">
        <f t="shared" si="5"/>
        <v>FALSE</v>
      </c>
      <c r="J89" t="str">
        <f t="shared" si="6"/>
        <v>FALSE</v>
      </c>
      <c r="K89" t="str">
        <f t="shared" si="7"/>
        <v>functionarea;interactivemessagingid;FALSE;functionarea;interactivemessagingid;50</v>
      </c>
    </row>
    <row r="90" spans="1:11" x14ac:dyDescent="0.3">
      <c r="A90">
        <v>7</v>
      </c>
      <c r="B90" t="s">
        <v>129</v>
      </c>
      <c r="C90" t="s">
        <v>168</v>
      </c>
      <c r="D90" t="b">
        <v>0</v>
      </c>
      <c r="E90" t="s">
        <v>129</v>
      </c>
      <c r="F90" t="s">
        <v>168</v>
      </c>
      <c r="G90">
        <v>50</v>
      </c>
      <c r="H90" t="str">
        <f t="shared" si="4"/>
        <v>FALSE</v>
      </c>
      <c r="I90" t="str">
        <f t="shared" si="5"/>
        <v>FALSE</v>
      </c>
      <c r="J90" t="str">
        <f t="shared" si="6"/>
        <v>FALSE</v>
      </c>
      <c r="K90" t="str">
        <f t="shared" si="7"/>
        <v>functionarea;intermittentfaultthreshold;FALSE;functionarea;intermittentfaultthreshold;50</v>
      </c>
    </row>
    <row r="91" spans="1:11" x14ac:dyDescent="0.3">
      <c r="A91">
        <v>7</v>
      </c>
      <c r="B91" t="s">
        <v>129</v>
      </c>
      <c r="C91" t="s">
        <v>169</v>
      </c>
      <c r="D91" t="b">
        <v>0</v>
      </c>
      <c r="E91" t="s">
        <v>129</v>
      </c>
      <c r="F91" t="s">
        <v>169</v>
      </c>
      <c r="G91">
        <v>50</v>
      </c>
      <c r="H91" t="str">
        <f t="shared" si="4"/>
        <v>FALSE</v>
      </c>
      <c r="I91" t="str">
        <f t="shared" si="5"/>
        <v>FALSE</v>
      </c>
      <c r="J91" t="str">
        <f t="shared" si="6"/>
        <v>FALSE</v>
      </c>
      <c r="K91" t="str">
        <f t="shared" si="7"/>
        <v>functionarea;ipbcpt1timer;FALSE;functionarea;ipbcpt1timer;50</v>
      </c>
    </row>
    <row r="92" spans="1:11" x14ac:dyDescent="0.3">
      <c r="A92">
        <v>7</v>
      </c>
      <c r="B92" t="s">
        <v>129</v>
      </c>
      <c r="C92" t="s">
        <v>170</v>
      </c>
      <c r="D92" t="b">
        <v>0</v>
      </c>
      <c r="E92" t="s">
        <v>129</v>
      </c>
      <c r="F92" t="s">
        <v>170</v>
      </c>
      <c r="G92">
        <v>50</v>
      </c>
      <c r="H92" t="str">
        <f t="shared" si="4"/>
        <v>FALSE</v>
      </c>
      <c r="I92" t="str">
        <f t="shared" si="5"/>
        <v>FALSE</v>
      </c>
      <c r="J92" t="str">
        <f t="shared" si="6"/>
        <v>FALSE</v>
      </c>
      <c r="K92" t="str">
        <f t="shared" si="7"/>
        <v>functionarea;ipoamid;FALSE;functionarea;ipoamid;50</v>
      </c>
    </row>
    <row r="93" spans="1:11" x14ac:dyDescent="0.3">
      <c r="A93">
        <v>7</v>
      </c>
      <c r="B93" t="s">
        <v>129</v>
      </c>
      <c r="C93" t="s">
        <v>171</v>
      </c>
      <c r="D93" t="b">
        <v>0</v>
      </c>
      <c r="E93" t="s">
        <v>129</v>
      </c>
      <c r="F93" t="s">
        <v>171</v>
      </c>
      <c r="G93">
        <v>50</v>
      </c>
      <c r="H93" t="str">
        <f t="shared" si="4"/>
        <v>FALSE</v>
      </c>
      <c r="I93" t="str">
        <f t="shared" si="5"/>
        <v>FALSE</v>
      </c>
      <c r="J93" t="str">
        <f t="shared" si="6"/>
        <v>FALSE</v>
      </c>
      <c r="K93" t="str">
        <f t="shared" si="7"/>
        <v>functionarea;ipsystemid;FALSE;functionarea;ipsystemid;50</v>
      </c>
    </row>
    <row r="94" spans="1:11" x14ac:dyDescent="0.3">
      <c r="A94">
        <v>7</v>
      </c>
      <c r="B94" t="s">
        <v>129</v>
      </c>
      <c r="C94" t="s">
        <v>236</v>
      </c>
      <c r="D94" t="b">
        <v>0</v>
      </c>
      <c r="E94" t="s">
        <v>129</v>
      </c>
      <c r="F94" t="s">
        <v>236</v>
      </c>
      <c r="G94">
        <v>50</v>
      </c>
      <c r="H94" t="str">
        <f t="shared" si="4"/>
        <v>FALSE</v>
      </c>
      <c r="I94" t="str">
        <f t="shared" si="5"/>
        <v>FALSE</v>
      </c>
      <c r="J94" t="str">
        <f t="shared" si="6"/>
        <v>FALSE</v>
      </c>
      <c r="K94" t="str">
        <f t="shared" si="7"/>
        <v>functionarea;ipworksrootid;FALSE;functionarea;ipworksrootid;50</v>
      </c>
    </row>
    <row r="95" spans="1:11" x14ac:dyDescent="0.3">
      <c r="A95">
        <v>7</v>
      </c>
      <c r="B95" t="s">
        <v>129</v>
      </c>
      <c r="C95" t="s">
        <v>172</v>
      </c>
      <c r="D95" t="b">
        <v>0</v>
      </c>
      <c r="E95" t="s">
        <v>129</v>
      </c>
      <c r="F95" t="s">
        <v>172</v>
      </c>
      <c r="G95">
        <v>50</v>
      </c>
      <c r="H95" t="str">
        <f t="shared" si="4"/>
        <v>FALSE</v>
      </c>
      <c r="I95" t="str">
        <f t="shared" si="5"/>
        <v>FALSE</v>
      </c>
      <c r="J95" t="str">
        <f t="shared" si="6"/>
        <v>FALSE</v>
      </c>
      <c r="K95" t="str">
        <f t="shared" si="7"/>
        <v>functionarea;islsupervisionid;FALSE;functionarea;islsupervisionid;50</v>
      </c>
    </row>
    <row r="96" spans="1:11" x14ac:dyDescent="0.3">
      <c r="A96">
        <v>7</v>
      </c>
      <c r="B96" t="s">
        <v>129</v>
      </c>
      <c r="C96" t="s">
        <v>237</v>
      </c>
      <c r="D96" t="b">
        <v>0</v>
      </c>
      <c r="E96" t="s">
        <v>129</v>
      </c>
      <c r="F96" t="s">
        <v>237</v>
      </c>
      <c r="G96">
        <v>50</v>
      </c>
      <c r="H96" t="str">
        <f t="shared" si="4"/>
        <v>FALSE</v>
      </c>
      <c r="I96" t="str">
        <f t="shared" si="5"/>
        <v>FALSE</v>
      </c>
      <c r="J96" t="str">
        <f t="shared" si="6"/>
        <v>FALSE</v>
      </c>
      <c r="K96" t="str">
        <f t="shared" si="7"/>
        <v>functionarea;javacafid;FALSE;functionarea;javacafid;50</v>
      </c>
    </row>
    <row r="97" spans="1:11" x14ac:dyDescent="0.3">
      <c r="A97">
        <v>7</v>
      </c>
      <c r="B97" t="s">
        <v>129</v>
      </c>
      <c r="C97" t="s">
        <v>173</v>
      </c>
      <c r="D97" t="b">
        <v>0</v>
      </c>
      <c r="E97" t="s">
        <v>129</v>
      </c>
      <c r="F97" t="s">
        <v>173</v>
      </c>
      <c r="G97">
        <v>50</v>
      </c>
      <c r="H97" t="str">
        <f t="shared" si="4"/>
        <v>FALSE</v>
      </c>
      <c r="I97" t="str">
        <f t="shared" si="5"/>
        <v>FALSE</v>
      </c>
      <c r="J97" t="str">
        <f t="shared" si="6"/>
        <v>FALSE</v>
      </c>
      <c r="K97" t="str">
        <f t="shared" si="7"/>
        <v>functionarea;lasthwpichange;FALSE;functionarea;lasthwpichange;50</v>
      </c>
    </row>
    <row r="98" spans="1:11" x14ac:dyDescent="0.3">
      <c r="A98">
        <v>7</v>
      </c>
      <c r="B98" t="s">
        <v>129</v>
      </c>
      <c r="C98" t="s">
        <v>174</v>
      </c>
      <c r="D98" t="b">
        <v>0</v>
      </c>
      <c r="E98" t="s">
        <v>129</v>
      </c>
      <c r="F98" t="s">
        <v>174</v>
      </c>
      <c r="G98">
        <v>50</v>
      </c>
      <c r="H98" t="str">
        <f t="shared" si="4"/>
        <v>FALSE</v>
      </c>
      <c r="I98" t="str">
        <f t="shared" si="5"/>
        <v>FALSE</v>
      </c>
      <c r="J98" t="str">
        <f t="shared" si="6"/>
        <v>FALSE</v>
      </c>
      <c r="K98" t="str">
        <f t="shared" si="7"/>
        <v>functionarea;lastuppichange;FALSE;functionarea;lastuppichange;50</v>
      </c>
    </row>
    <row r="99" spans="1:11" x14ac:dyDescent="0.3">
      <c r="A99">
        <v>7</v>
      </c>
      <c r="B99" t="s">
        <v>129</v>
      </c>
      <c r="C99" t="s">
        <v>175</v>
      </c>
      <c r="D99" t="b">
        <v>0</v>
      </c>
      <c r="E99" t="s">
        <v>129</v>
      </c>
      <c r="F99" t="s">
        <v>175</v>
      </c>
      <c r="G99">
        <v>50</v>
      </c>
      <c r="H99" t="str">
        <f t="shared" si="4"/>
        <v>FALSE</v>
      </c>
      <c r="I99" t="str">
        <f t="shared" si="5"/>
        <v>FALSE</v>
      </c>
      <c r="J99" t="str">
        <f t="shared" si="6"/>
        <v>FALSE</v>
      </c>
      <c r="K99" t="str">
        <f t="shared" si="7"/>
        <v>functionarea;licensecapacitybgf;FALSE;functionarea;licensecapacitybgf;50</v>
      </c>
    </row>
    <row r="100" spans="1:11" x14ac:dyDescent="0.3">
      <c r="A100">
        <v>7</v>
      </c>
      <c r="B100" t="s">
        <v>129</v>
      </c>
      <c r="C100" t="s">
        <v>176</v>
      </c>
      <c r="D100" t="b">
        <v>0</v>
      </c>
      <c r="E100" t="s">
        <v>129</v>
      </c>
      <c r="F100" t="s">
        <v>176</v>
      </c>
      <c r="G100">
        <v>50</v>
      </c>
      <c r="H100" t="str">
        <f t="shared" si="4"/>
        <v>FALSE</v>
      </c>
      <c r="I100" t="str">
        <f t="shared" si="5"/>
        <v>FALSE</v>
      </c>
      <c r="J100" t="str">
        <f t="shared" si="6"/>
        <v>FALSE</v>
      </c>
      <c r="K100" t="str">
        <f t="shared" si="7"/>
        <v>functionarea;licensecapacityhdvoicetrans;FALSE;functionarea;licensecapacityhdvoicetrans;50</v>
      </c>
    </row>
    <row r="101" spans="1:11" x14ac:dyDescent="0.3">
      <c r="A101">
        <v>7</v>
      </c>
      <c r="B101" t="s">
        <v>129</v>
      </c>
      <c r="C101" t="s">
        <v>177</v>
      </c>
      <c r="D101" t="b">
        <v>0</v>
      </c>
      <c r="E101" t="s">
        <v>129</v>
      </c>
      <c r="F101" t="s">
        <v>177</v>
      </c>
      <c r="G101">
        <v>50</v>
      </c>
      <c r="H101" t="str">
        <f t="shared" si="4"/>
        <v>FALSE</v>
      </c>
      <c r="I101" t="str">
        <f t="shared" si="5"/>
        <v>FALSE</v>
      </c>
      <c r="J101" t="str">
        <f t="shared" si="6"/>
        <v>FALSE</v>
      </c>
      <c r="K101" t="str">
        <f t="shared" si="7"/>
        <v>functionarea;licensecapacitymrfp;FALSE;functionarea;licensecapacitymrfp;50</v>
      </c>
    </row>
    <row r="102" spans="1:11" x14ac:dyDescent="0.3">
      <c r="A102">
        <v>7</v>
      </c>
      <c r="B102" t="s">
        <v>129</v>
      </c>
      <c r="C102" t="s">
        <v>178</v>
      </c>
      <c r="D102" t="b">
        <v>0</v>
      </c>
      <c r="E102" t="s">
        <v>129</v>
      </c>
      <c r="F102" t="s">
        <v>178</v>
      </c>
      <c r="G102">
        <v>50</v>
      </c>
      <c r="H102" t="str">
        <f t="shared" si="4"/>
        <v>FALSE</v>
      </c>
      <c r="I102" t="str">
        <f t="shared" si="5"/>
        <v>FALSE</v>
      </c>
      <c r="J102" t="str">
        <f t="shared" si="6"/>
        <v>FALSE</v>
      </c>
      <c r="K102" t="str">
        <f t="shared" si="7"/>
        <v>functionarea;licensecapacityvideo;FALSE;functionarea;licensecapacityvideo;50</v>
      </c>
    </row>
    <row r="103" spans="1:11" x14ac:dyDescent="0.3">
      <c r="A103">
        <v>7</v>
      </c>
      <c r="B103" t="s">
        <v>129</v>
      </c>
      <c r="C103" t="s">
        <v>179</v>
      </c>
      <c r="D103" t="b">
        <v>0</v>
      </c>
      <c r="E103" t="s">
        <v>129</v>
      </c>
      <c r="F103" t="s">
        <v>179</v>
      </c>
      <c r="G103">
        <v>50</v>
      </c>
      <c r="H103" t="str">
        <f t="shared" si="4"/>
        <v>FALSE</v>
      </c>
      <c r="I103" t="str">
        <f t="shared" si="5"/>
        <v>FALSE</v>
      </c>
      <c r="J103" t="str">
        <f t="shared" si="6"/>
        <v>FALSE</v>
      </c>
      <c r="K103" t="str">
        <f t="shared" si="7"/>
        <v>functionarea;licensecapacityvoicetrans;FALSE;functionarea;licensecapacityvoicetrans;50</v>
      </c>
    </row>
    <row r="104" spans="1:11" x14ac:dyDescent="0.3">
      <c r="A104">
        <v>7</v>
      </c>
      <c r="B104" t="s">
        <v>129</v>
      </c>
      <c r="C104" t="s">
        <v>180</v>
      </c>
      <c r="D104" t="b">
        <v>0</v>
      </c>
      <c r="E104" t="s">
        <v>129</v>
      </c>
      <c r="F104" t="s">
        <v>180</v>
      </c>
      <c r="G104">
        <v>50</v>
      </c>
      <c r="H104" t="str">
        <f t="shared" si="4"/>
        <v>FALSE</v>
      </c>
      <c r="I104" t="str">
        <f t="shared" si="5"/>
        <v>FALSE</v>
      </c>
      <c r="J104" t="str">
        <f t="shared" si="6"/>
        <v>FALSE</v>
      </c>
      <c r="K104" t="str">
        <f t="shared" si="7"/>
        <v>functionarea;licensestatebgfatgw;FALSE;functionarea;licensestatebgfatgw;50</v>
      </c>
    </row>
    <row r="105" spans="1:11" x14ac:dyDescent="0.3">
      <c r="A105">
        <v>7</v>
      </c>
      <c r="B105" t="s">
        <v>129</v>
      </c>
      <c r="C105" t="s">
        <v>181</v>
      </c>
      <c r="D105" t="b">
        <v>0</v>
      </c>
      <c r="E105" t="s">
        <v>129</v>
      </c>
      <c r="F105" t="s">
        <v>181</v>
      </c>
      <c r="G105">
        <v>50</v>
      </c>
      <c r="H105" t="str">
        <f t="shared" si="4"/>
        <v>FALSE</v>
      </c>
      <c r="I105" t="str">
        <f t="shared" si="5"/>
        <v>FALSE</v>
      </c>
      <c r="J105" t="str">
        <f t="shared" si="6"/>
        <v>FALSE</v>
      </c>
      <c r="K105" t="str">
        <f t="shared" si="7"/>
        <v>functionarea;licensestatebgfevs;FALSE;functionarea;licensestatebgfevs;50</v>
      </c>
    </row>
    <row r="106" spans="1:11" x14ac:dyDescent="0.3">
      <c r="A106">
        <v>7</v>
      </c>
      <c r="B106" t="s">
        <v>129</v>
      </c>
      <c r="C106" t="s">
        <v>182</v>
      </c>
      <c r="D106" t="b">
        <v>0</v>
      </c>
      <c r="E106" t="s">
        <v>129</v>
      </c>
      <c r="F106" t="s">
        <v>182</v>
      </c>
      <c r="G106">
        <v>50</v>
      </c>
      <c r="H106" t="str">
        <f t="shared" si="4"/>
        <v>FALSE</v>
      </c>
      <c r="I106" t="str">
        <f t="shared" si="5"/>
        <v>FALSE</v>
      </c>
      <c r="J106" t="str">
        <f t="shared" si="6"/>
        <v>FALSE</v>
      </c>
      <c r="K106" t="str">
        <f t="shared" si="7"/>
        <v>functionarea;licensestatebgfipv6;FALSE;functionarea;licensestatebgfipv6;50</v>
      </c>
    </row>
    <row r="107" spans="1:11" x14ac:dyDescent="0.3">
      <c r="A107">
        <v>7</v>
      </c>
      <c r="B107" t="s">
        <v>129</v>
      </c>
      <c r="C107" t="s">
        <v>183</v>
      </c>
      <c r="D107" t="b">
        <v>0</v>
      </c>
      <c r="E107" t="s">
        <v>129</v>
      </c>
      <c r="F107" t="s">
        <v>183</v>
      </c>
      <c r="G107">
        <v>50</v>
      </c>
      <c r="H107" t="str">
        <f t="shared" si="4"/>
        <v>FALSE</v>
      </c>
      <c r="I107" t="str">
        <f t="shared" si="5"/>
        <v>FALSE</v>
      </c>
      <c r="J107" t="str">
        <f t="shared" si="6"/>
        <v>FALSE</v>
      </c>
      <c r="K107" t="str">
        <f t="shared" si="7"/>
        <v>functionarea;licensestatebgfprioritycall;FALSE;functionarea;licensestatebgfprioritycall;50</v>
      </c>
    </row>
    <row r="108" spans="1:11" x14ac:dyDescent="0.3">
      <c r="A108">
        <v>7</v>
      </c>
      <c r="B108" t="s">
        <v>129</v>
      </c>
      <c r="C108" t="s">
        <v>184</v>
      </c>
      <c r="D108" t="b">
        <v>0</v>
      </c>
      <c r="E108" t="s">
        <v>129</v>
      </c>
      <c r="F108" t="s">
        <v>184</v>
      </c>
      <c r="G108">
        <v>50</v>
      </c>
      <c r="H108" t="str">
        <f t="shared" si="4"/>
        <v>FALSE</v>
      </c>
      <c r="I108" t="str">
        <f t="shared" si="5"/>
        <v>FALSE</v>
      </c>
      <c r="J108" t="str">
        <f t="shared" si="6"/>
        <v>FALSE</v>
      </c>
      <c r="K108" t="str">
        <f t="shared" si="7"/>
        <v>functionarea;licensestatebgfsmsrp;FALSE;functionarea;licensestatebgfsmsrp;50</v>
      </c>
    </row>
    <row r="109" spans="1:11" x14ac:dyDescent="0.3">
      <c r="A109">
        <v>7</v>
      </c>
      <c r="B109" t="s">
        <v>129</v>
      </c>
      <c r="C109" t="s">
        <v>185</v>
      </c>
      <c r="D109" t="b">
        <v>0</v>
      </c>
      <c r="E109" t="s">
        <v>129</v>
      </c>
      <c r="F109" t="s">
        <v>185</v>
      </c>
      <c r="G109">
        <v>50</v>
      </c>
      <c r="H109" t="str">
        <f t="shared" si="4"/>
        <v>FALSE</v>
      </c>
      <c r="I109" t="str">
        <f t="shared" si="5"/>
        <v>FALSE</v>
      </c>
      <c r="J109" t="str">
        <f t="shared" si="6"/>
        <v>FALSE</v>
      </c>
      <c r="K109" t="str">
        <f t="shared" si="7"/>
        <v>functionarea;licensestatebgfsrtp;FALSE;functionarea;licensestatebgfsrtp;50</v>
      </c>
    </row>
    <row r="110" spans="1:11" x14ac:dyDescent="0.3">
      <c r="A110">
        <v>7</v>
      </c>
      <c r="B110" t="s">
        <v>129</v>
      </c>
      <c r="C110" t="s">
        <v>186</v>
      </c>
      <c r="D110" t="b">
        <v>0</v>
      </c>
      <c r="E110" t="s">
        <v>129</v>
      </c>
      <c r="F110" t="s">
        <v>186</v>
      </c>
      <c r="G110">
        <v>50</v>
      </c>
      <c r="H110" t="str">
        <f t="shared" si="4"/>
        <v>FALSE</v>
      </c>
      <c r="I110" t="str">
        <f t="shared" si="5"/>
        <v>FALSE</v>
      </c>
      <c r="J110" t="str">
        <f t="shared" si="6"/>
        <v>FALSE</v>
      </c>
      <c r="K110" t="str">
        <f t="shared" si="7"/>
        <v>functionarea;licensestatebgfwebrtc;FALSE;functionarea;licensestatebgfwebrtc;50</v>
      </c>
    </row>
    <row r="111" spans="1:11" x14ac:dyDescent="0.3">
      <c r="A111">
        <v>7</v>
      </c>
      <c r="B111" t="s">
        <v>129</v>
      </c>
      <c r="C111" t="s">
        <v>187</v>
      </c>
      <c r="D111" t="b">
        <v>0</v>
      </c>
      <c r="E111" t="s">
        <v>129</v>
      </c>
      <c r="F111" t="s">
        <v>187</v>
      </c>
      <c r="G111">
        <v>50</v>
      </c>
      <c r="H111" t="str">
        <f t="shared" si="4"/>
        <v>FALSE</v>
      </c>
      <c r="I111" t="str">
        <f t="shared" si="5"/>
        <v>FALSE</v>
      </c>
      <c r="J111" t="str">
        <f t="shared" si="6"/>
        <v>FALSE</v>
      </c>
      <c r="K111" t="str">
        <f t="shared" si="7"/>
        <v>functionarea;licensestatecontentsharing;FALSE;functionarea;licensestatecontentsharing;50</v>
      </c>
    </row>
    <row r="112" spans="1:11" x14ac:dyDescent="0.3">
      <c r="A112">
        <v>7</v>
      </c>
      <c r="B112" t="s">
        <v>129</v>
      </c>
      <c r="C112" t="s">
        <v>188</v>
      </c>
      <c r="D112" t="b">
        <v>0</v>
      </c>
      <c r="E112" t="s">
        <v>129</v>
      </c>
      <c r="F112" t="s">
        <v>188</v>
      </c>
      <c r="G112">
        <v>50</v>
      </c>
      <c r="H112" t="str">
        <f t="shared" si="4"/>
        <v>FALSE</v>
      </c>
      <c r="I112" t="str">
        <f t="shared" si="5"/>
        <v>FALSE</v>
      </c>
      <c r="J112" t="str">
        <f t="shared" si="6"/>
        <v>FALSE</v>
      </c>
      <c r="K112" t="str">
        <f t="shared" si="7"/>
        <v>functionarea;licensestateg722;FALSE;functionarea;licensestateg722;50</v>
      </c>
    </row>
    <row r="113" spans="1:11" x14ac:dyDescent="0.3">
      <c r="A113">
        <v>7</v>
      </c>
      <c r="B113" t="s">
        <v>129</v>
      </c>
      <c r="C113" t="s">
        <v>189</v>
      </c>
      <c r="D113" t="b">
        <v>0</v>
      </c>
      <c r="E113" t="s">
        <v>129</v>
      </c>
      <c r="F113" t="s">
        <v>189</v>
      </c>
      <c r="G113">
        <v>50</v>
      </c>
      <c r="H113" t="str">
        <f t="shared" si="4"/>
        <v>FALSE</v>
      </c>
      <c r="I113" t="str">
        <f t="shared" si="5"/>
        <v>FALSE</v>
      </c>
      <c r="J113" t="str">
        <f t="shared" si="6"/>
        <v>FALSE</v>
      </c>
      <c r="K113" t="str">
        <f t="shared" si="7"/>
        <v>functionarea;licensestatehdaudio;FALSE;functionarea;licensestatehdaudio;50</v>
      </c>
    </row>
    <row r="114" spans="1:11" x14ac:dyDescent="0.3">
      <c r="A114">
        <v>7</v>
      </c>
      <c r="B114" t="s">
        <v>129</v>
      </c>
      <c r="C114" t="s">
        <v>190</v>
      </c>
      <c r="D114" t="b">
        <v>0</v>
      </c>
      <c r="E114" t="s">
        <v>129</v>
      </c>
      <c r="F114" t="s">
        <v>190</v>
      </c>
      <c r="G114">
        <v>50</v>
      </c>
      <c r="H114" t="str">
        <f t="shared" si="4"/>
        <v>FALSE</v>
      </c>
      <c r="I114" t="str">
        <f t="shared" si="5"/>
        <v>FALSE</v>
      </c>
      <c r="J114" t="str">
        <f t="shared" si="6"/>
        <v>FALSE</v>
      </c>
      <c r="K114" t="str">
        <f t="shared" si="7"/>
        <v>functionarea;licensestateipv6;FALSE;functionarea;licensestateipv6;50</v>
      </c>
    </row>
    <row r="115" spans="1:11" x14ac:dyDescent="0.3">
      <c r="A115">
        <v>7</v>
      </c>
      <c r="B115" t="s">
        <v>129</v>
      </c>
      <c r="C115" t="s">
        <v>191</v>
      </c>
      <c r="D115" t="b">
        <v>0</v>
      </c>
      <c r="E115" t="s">
        <v>129</v>
      </c>
      <c r="F115" t="s">
        <v>191</v>
      </c>
      <c r="G115">
        <v>50</v>
      </c>
      <c r="H115" t="str">
        <f t="shared" si="4"/>
        <v>FALSE</v>
      </c>
      <c r="I115" t="str">
        <f t="shared" si="5"/>
        <v>FALSE</v>
      </c>
      <c r="J115" t="str">
        <f t="shared" si="6"/>
        <v>FALSE</v>
      </c>
      <c r="K115" t="str">
        <f t="shared" si="7"/>
        <v>functionarea;licensestatemrfc;FALSE;functionarea;licensestatemrfc;50</v>
      </c>
    </row>
    <row r="116" spans="1:11" x14ac:dyDescent="0.3">
      <c r="A116">
        <v>7</v>
      </c>
      <c r="B116" t="s">
        <v>129</v>
      </c>
      <c r="C116" t="s">
        <v>192</v>
      </c>
      <c r="D116" t="b">
        <v>0</v>
      </c>
      <c r="E116" t="s">
        <v>129</v>
      </c>
      <c r="F116" t="s">
        <v>192</v>
      </c>
      <c r="G116">
        <v>50</v>
      </c>
      <c r="H116" t="str">
        <f t="shared" si="4"/>
        <v>FALSE</v>
      </c>
      <c r="I116" t="str">
        <f t="shared" si="5"/>
        <v>FALSE</v>
      </c>
      <c r="J116" t="str">
        <f t="shared" si="6"/>
        <v>FALSE</v>
      </c>
      <c r="K116" t="str">
        <f t="shared" si="7"/>
        <v>functionarea;licensestatemrfevs;FALSE;functionarea;licensestatemrfevs;50</v>
      </c>
    </row>
    <row r="117" spans="1:11" x14ac:dyDescent="0.3">
      <c r="A117">
        <v>7</v>
      </c>
      <c r="B117" t="s">
        <v>129</v>
      </c>
      <c r="C117" t="s">
        <v>193</v>
      </c>
      <c r="D117" t="b">
        <v>0</v>
      </c>
      <c r="E117" t="s">
        <v>129</v>
      </c>
      <c r="F117" t="s">
        <v>193</v>
      </c>
      <c r="G117">
        <v>50</v>
      </c>
      <c r="H117" t="str">
        <f t="shared" si="4"/>
        <v>FALSE</v>
      </c>
      <c r="I117" t="str">
        <f t="shared" si="5"/>
        <v>FALSE</v>
      </c>
      <c r="J117" t="str">
        <f t="shared" si="6"/>
        <v>FALSE</v>
      </c>
      <c r="K117" t="str">
        <f t="shared" si="7"/>
        <v>functionarea;licensestatemrfipv6;FALSE;functionarea;licensestatemrfipv6;50</v>
      </c>
    </row>
    <row r="118" spans="1:11" x14ac:dyDescent="0.3">
      <c r="A118">
        <v>7</v>
      </c>
      <c r="B118" t="s">
        <v>129</v>
      </c>
      <c r="C118" t="s">
        <v>194</v>
      </c>
      <c r="D118" t="b">
        <v>0</v>
      </c>
      <c r="E118" t="s">
        <v>129</v>
      </c>
      <c r="F118" t="s">
        <v>194</v>
      </c>
      <c r="G118">
        <v>50</v>
      </c>
      <c r="H118" t="str">
        <f t="shared" si="4"/>
        <v>FALSE</v>
      </c>
      <c r="I118" t="str">
        <f t="shared" si="5"/>
        <v>FALSE</v>
      </c>
      <c r="J118" t="str">
        <f t="shared" si="6"/>
        <v>FALSE</v>
      </c>
      <c r="K118" t="str">
        <f t="shared" si="7"/>
        <v>functionarea;licensestatemrfprioritycall;FALSE;functionarea;licensestatemrfprioritycall;50</v>
      </c>
    </row>
    <row r="119" spans="1:11" x14ac:dyDescent="0.3">
      <c r="A119">
        <v>7</v>
      </c>
      <c r="B119" t="s">
        <v>129</v>
      </c>
      <c r="C119" t="s">
        <v>52</v>
      </c>
      <c r="D119" t="b">
        <v>0</v>
      </c>
      <c r="E119" t="s">
        <v>129</v>
      </c>
      <c r="F119" t="s">
        <v>52</v>
      </c>
      <c r="G119">
        <v>50</v>
      </c>
      <c r="H119" t="str">
        <f t="shared" si="4"/>
        <v>FALSE</v>
      </c>
      <c r="I119" t="str">
        <f t="shared" si="5"/>
        <v>FALSE</v>
      </c>
      <c r="J119" t="str">
        <f t="shared" si="6"/>
        <v>FALSE</v>
      </c>
      <c r="K119" t="str">
        <f t="shared" si="7"/>
        <v>functionarea;localdatetime;FALSE;functionarea;localdatetime;50</v>
      </c>
    </row>
    <row r="120" spans="1:11" x14ac:dyDescent="0.3">
      <c r="A120">
        <v>7</v>
      </c>
      <c r="B120" t="s">
        <v>129</v>
      </c>
      <c r="C120" t="s">
        <v>53</v>
      </c>
      <c r="D120" t="b">
        <v>0</v>
      </c>
      <c r="E120" t="s">
        <v>129</v>
      </c>
      <c r="F120" t="s">
        <v>53</v>
      </c>
      <c r="G120">
        <v>50</v>
      </c>
      <c r="H120" t="str">
        <f t="shared" si="4"/>
        <v>FALSE</v>
      </c>
      <c r="I120" t="str">
        <f t="shared" si="5"/>
        <v>FALSE</v>
      </c>
      <c r="J120" t="str">
        <f t="shared" si="6"/>
        <v>FALSE</v>
      </c>
      <c r="K120" t="str">
        <f t="shared" si="7"/>
        <v>functionarea;locationname;FALSE;functionarea;locationname;50</v>
      </c>
    </row>
    <row r="121" spans="1:11" x14ac:dyDescent="0.3">
      <c r="A121">
        <v>7</v>
      </c>
      <c r="B121" t="s">
        <v>129</v>
      </c>
      <c r="C121" t="s">
        <v>54</v>
      </c>
      <c r="D121" t="b">
        <v>0</v>
      </c>
      <c r="E121" t="s">
        <v>129</v>
      </c>
      <c r="F121" t="s">
        <v>54</v>
      </c>
      <c r="G121">
        <v>50</v>
      </c>
      <c r="H121" t="str">
        <f t="shared" si="4"/>
        <v>FALSE</v>
      </c>
      <c r="I121" t="str">
        <f t="shared" si="5"/>
        <v>FALSE</v>
      </c>
      <c r="J121" t="str">
        <f t="shared" si="6"/>
        <v>FALSE</v>
      </c>
      <c r="K121" t="str">
        <f t="shared" si="7"/>
        <v>functionarea;logicalname;FALSE;functionarea;logicalname;50</v>
      </c>
    </row>
    <row r="122" spans="1:11" x14ac:dyDescent="0.3">
      <c r="A122">
        <v>7</v>
      </c>
      <c r="B122" t="s">
        <v>129</v>
      </c>
      <c r="C122" t="s">
        <v>195</v>
      </c>
      <c r="D122" t="b">
        <v>0</v>
      </c>
      <c r="E122" t="s">
        <v>129</v>
      </c>
      <c r="F122" t="s">
        <v>195</v>
      </c>
      <c r="G122">
        <v>50</v>
      </c>
      <c r="H122" t="str">
        <f t="shared" si="4"/>
        <v>FALSE</v>
      </c>
      <c r="I122" t="str">
        <f t="shared" si="5"/>
        <v>FALSE</v>
      </c>
      <c r="J122" t="str">
        <f t="shared" si="6"/>
        <v>FALSE</v>
      </c>
      <c r="K122" t="str">
        <f t="shared" si="7"/>
        <v>functionarea;logonserveraddress;FALSE;functionarea;logonserveraddress;50</v>
      </c>
    </row>
    <row r="123" spans="1:11" x14ac:dyDescent="0.3">
      <c r="A123">
        <v>7</v>
      </c>
      <c r="B123" t="s">
        <v>129</v>
      </c>
      <c r="C123" t="s">
        <v>196</v>
      </c>
      <c r="D123" t="b">
        <v>0</v>
      </c>
      <c r="E123" t="s">
        <v>129</v>
      </c>
      <c r="F123" t="s">
        <v>196</v>
      </c>
      <c r="G123">
        <v>50</v>
      </c>
      <c r="H123" t="str">
        <f t="shared" si="4"/>
        <v>FALSE</v>
      </c>
      <c r="I123" t="str">
        <f t="shared" si="5"/>
        <v>FALSE</v>
      </c>
      <c r="J123" t="str">
        <f t="shared" si="6"/>
        <v>FALSE</v>
      </c>
      <c r="K123" t="str">
        <f t="shared" si="7"/>
        <v>functionarea;managedelementdataid;FALSE;functionarea;managedelementdataid;50</v>
      </c>
    </row>
    <row r="124" spans="1:11" x14ac:dyDescent="0.3">
      <c r="A124">
        <v>7</v>
      </c>
      <c r="B124" t="s">
        <v>129</v>
      </c>
      <c r="C124" t="s">
        <v>55</v>
      </c>
      <c r="D124" t="b">
        <v>0</v>
      </c>
      <c r="E124" t="s">
        <v>129</v>
      </c>
      <c r="F124" t="s">
        <v>55</v>
      </c>
      <c r="G124">
        <v>50</v>
      </c>
      <c r="H124" t="str">
        <f t="shared" si="4"/>
        <v>FALSE</v>
      </c>
      <c r="I124" t="str">
        <f t="shared" si="5"/>
        <v>FALSE</v>
      </c>
      <c r="J124" t="str">
        <f t="shared" si="6"/>
        <v>FALSE</v>
      </c>
      <c r="K124" t="str">
        <f t="shared" si="7"/>
        <v>functionarea;managedelementid;FALSE;functionarea;managedelementid;50</v>
      </c>
    </row>
    <row r="125" spans="1:11" x14ac:dyDescent="0.3">
      <c r="A125">
        <v>7</v>
      </c>
      <c r="B125" t="s">
        <v>129</v>
      </c>
      <c r="C125" t="s">
        <v>56</v>
      </c>
      <c r="D125" t="b">
        <v>0</v>
      </c>
      <c r="E125" t="s">
        <v>129</v>
      </c>
      <c r="F125" t="s">
        <v>56</v>
      </c>
      <c r="G125">
        <v>50</v>
      </c>
      <c r="H125" t="str">
        <f t="shared" si="4"/>
        <v>FALSE</v>
      </c>
      <c r="I125" t="str">
        <f t="shared" si="5"/>
        <v>FALSE</v>
      </c>
      <c r="J125" t="str">
        <f t="shared" si="6"/>
        <v>FALSE</v>
      </c>
      <c r="K125" t="str">
        <f t="shared" si="7"/>
        <v>functionarea;managedelementtype;FALSE;functionarea;managedelementtype;50</v>
      </c>
    </row>
    <row r="126" spans="1:11" x14ac:dyDescent="0.3">
      <c r="A126">
        <v>7</v>
      </c>
      <c r="B126" t="s">
        <v>129</v>
      </c>
      <c r="C126" t="s">
        <v>57</v>
      </c>
      <c r="D126" t="b">
        <v>0</v>
      </c>
      <c r="E126" t="s">
        <v>129</v>
      </c>
      <c r="F126" t="s">
        <v>57</v>
      </c>
      <c r="G126">
        <v>50</v>
      </c>
      <c r="H126" t="str">
        <f t="shared" si="4"/>
        <v>FALSE</v>
      </c>
      <c r="I126" t="str">
        <f t="shared" si="5"/>
        <v>FALSE</v>
      </c>
      <c r="J126" t="str">
        <f t="shared" si="6"/>
        <v>FALSE</v>
      </c>
      <c r="K126" t="str">
        <f t="shared" si="7"/>
        <v>functionarea;managedelementtypelist;FALSE;functionarea;managedelementtypelist;50</v>
      </c>
    </row>
    <row r="127" spans="1:11" x14ac:dyDescent="0.3">
      <c r="A127">
        <v>7</v>
      </c>
      <c r="B127" t="s">
        <v>129</v>
      </c>
      <c r="C127" t="s">
        <v>197</v>
      </c>
      <c r="D127" t="b">
        <v>0</v>
      </c>
      <c r="E127" t="s">
        <v>129</v>
      </c>
      <c r="F127" s="2" t="s">
        <v>197</v>
      </c>
      <c r="G127">
        <v>50</v>
      </c>
      <c r="H127" t="str">
        <f t="shared" si="4"/>
        <v>FALSE</v>
      </c>
      <c r="I127" t="str">
        <f t="shared" si="5"/>
        <v>FALSE</v>
      </c>
      <c r="J127" t="str">
        <f t="shared" si="6"/>
        <v>FALSE</v>
      </c>
      <c r="K127" t="str">
        <f t="shared" si="7"/>
        <v>functionarea;maxbandwidthforiptransport;FALSE;functionarea;maxbandwidthforiptransport;50</v>
      </c>
    </row>
    <row r="128" spans="1:11" x14ac:dyDescent="0.3">
      <c r="A128">
        <v>7</v>
      </c>
      <c r="B128" t="s">
        <v>129</v>
      </c>
      <c r="C128" t="s">
        <v>198</v>
      </c>
      <c r="D128" t="b">
        <v>0</v>
      </c>
      <c r="E128" t="s">
        <v>129</v>
      </c>
      <c r="F128" t="s">
        <v>198</v>
      </c>
      <c r="G128">
        <v>50</v>
      </c>
      <c r="H128" t="str">
        <f t="shared" si="4"/>
        <v>FALSE</v>
      </c>
      <c r="I128" t="str">
        <f t="shared" si="5"/>
        <v>FALSE</v>
      </c>
      <c r="J128" t="str">
        <f t="shared" si="6"/>
        <v>FALSE</v>
      </c>
      <c r="K128" t="str">
        <f t="shared" si="7"/>
        <v>functionarea;mbaccongestiondscpmode;FALSE;functionarea;mbaccongestiondscpmode;50</v>
      </c>
    </row>
    <row r="129" spans="1:11" x14ac:dyDescent="0.3">
      <c r="A129">
        <v>7</v>
      </c>
      <c r="B129" t="s">
        <v>129</v>
      </c>
      <c r="C129" t="s">
        <v>199</v>
      </c>
      <c r="D129" t="b">
        <v>0</v>
      </c>
      <c r="E129" t="s">
        <v>129</v>
      </c>
      <c r="F129" s="2" t="s">
        <v>199</v>
      </c>
      <c r="G129">
        <v>50</v>
      </c>
      <c r="H129" t="str">
        <f t="shared" si="4"/>
        <v>FALSE</v>
      </c>
      <c r="I129" t="str">
        <f t="shared" si="5"/>
        <v>FALSE</v>
      </c>
      <c r="J129" t="str">
        <f t="shared" si="6"/>
        <v>FALSE</v>
      </c>
      <c r="K129" t="str">
        <f t="shared" si="7"/>
        <v>functionarea;mbaccongestiondscpvalue;FALSE;functionarea;mbaccongestiondscpvalue;50</v>
      </c>
    </row>
    <row r="130" spans="1:11" x14ac:dyDescent="0.3">
      <c r="A130">
        <v>7</v>
      </c>
      <c r="B130" t="s">
        <v>129</v>
      </c>
      <c r="C130" t="s">
        <v>200</v>
      </c>
      <c r="D130" t="b">
        <v>0</v>
      </c>
      <c r="E130" t="s">
        <v>129</v>
      </c>
      <c r="F130" t="s">
        <v>200</v>
      </c>
      <c r="G130">
        <v>50</v>
      </c>
      <c r="H130" t="str">
        <f t="shared" ref="H130:H193" si="8">IF(LEN(C130)&gt;30,"TRUE","FALSE")</f>
        <v>FALSE</v>
      </c>
      <c r="I130" t="str">
        <f t="shared" ref="I130:I193" si="9">IF(LEN(F130)&gt;30,"TRUE","FALSE")</f>
        <v>FALSE</v>
      </c>
      <c r="J130" t="str">
        <f t="shared" ref="J130:J193" si="10">IF(G130&gt;50,"TRUE","FALSE")</f>
        <v>FALSE</v>
      </c>
      <c r="K130" t="str">
        <f t="shared" ref="K130:K193" si="11">CONCATENATE(B130,";",C130,";",D130,";",E130,";",F130,";",G130)</f>
        <v>functionarea;mbaclicensingstatus;FALSE;functionarea;mbaclicensingstatus;50</v>
      </c>
    </row>
    <row r="131" spans="1:11" x14ac:dyDescent="0.3">
      <c r="A131">
        <v>7</v>
      </c>
      <c r="B131" t="s">
        <v>129</v>
      </c>
      <c r="C131" t="s">
        <v>201</v>
      </c>
      <c r="D131" t="b">
        <v>0</v>
      </c>
      <c r="E131" t="s">
        <v>129</v>
      </c>
      <c r="F131" t="s">
        <v>201</v>
      </c>
      <c r="G131">
        <v>50</v>
      </c>
      <c r="H131" t="str">
        <f t="shared" si="8"/>
        <v>FALSE</v>
      </c>
      <c r="I131" t="str">
        <f t="shared" si="9"/>
        <v>FALSE</v>
      </c>
      <c r="J131" t="str">
        <f t="shared" si="10"/>
        <v>FALSE</v>
      </c>
      <c r="K131" t="str">
        <f t="shared" si="11"/>
        <v>functionarea;mbaclostpacketscalculationmode;FALSE;functionarea;mbaclostpacketscalculationmode;50</v>
      </c>
    </row>
    <row r="132" spans="1:11" x14ac:dyDescent="0.3">
      <c r="A132">
        <v>7</v>
      </c>
      <c r="B132" t="s">
        <v>129</v>
      </c>
      <c r="C132" t="s">
        <v>202</v>
      </c>
      <c r="D132" t="b">
        <v>0</v>
      </c>
      <c r="E132" t="s">
        <v>129</v>
      </c>
      <c r="F132" t="s">
        <v>202</v>
      </c>
      <c r="G132">
        <v>50</v>
      </c>
      <c r="H132" t="str">
        <f t="shared" si="8"/>
        <v>FALSE</v>
      </c>
      <c r="I132" t="str">
        <f t="shared" si="9"/>
        <v>FALSE</v>
      </c>
      <c r="J132" t="str">
        <f t="shared" si="10"/>
        <v>FALSE</v>
      </c>
      <c r="K132" t="str">
        <f t="shared" si="11"/>
        <v>functionarea;mbacmeasurementinterval;FALSE;functionarea;mbacmeasurementinterval;50</v>
      </c>
    </row>
    <row r="133" spans="1:11" x14ac:dyDescent="0.3">
      <c r="A133">
        <v>7</v>
      </c>
      <c r="B133" t="s">
        <v>129</v>
      </c>
      <c r="C133" t="s">
        <v>203</v>
      </c>
      <c r="D133" t="b">
        <v>0</v>
      </c>
      <c r="E133" t="s">
        <v>129</v>
      </c>
      <c r="F133" t="s">
        <v>203</v>
      </c>
      <c r="G133">
        <v>50</v>
      </c>
      <c r="H133" t="str">
        <f t="shared" si="8"/>
        <v>FALSE</v>
      </c>
      <c r="I133" t="str">
        <f t="shared" si="9"/>
        <v>FALSE</v>
      </c>
      <c r="J133" t="str">
        <f t="shared" si="10"/>
        <v>FALSE</v>
      </c>
      <c r="K133" t="str">
        <f t="shared" si="11"/>
        <v>functionarea;mbacmode;FALSE;functionarea;mbacmode;50</v>
      </c>
    </row>
    <row r="134" spans="1:11" x14ac:dyDescent="0.3">
      <c r="A134">
        <v>7</v>
      </c>
      <c r="B134" t="s">
        <v>129</v>
      </c>
      <c r="C134" t="s">
        <v>204</v>
      </c>
      <c r="D134" t="b">
        <v>0</v>
      </c>
      <c r="E134" t="s">
        <v>129</v>
      </c>
      <c r="F134" t="s">
        <v>204</v>
      </c>
      <c r="G134">
        <v>50</v>
      </c>
      <c r="H134" t="str">
        <f t="shared" si="8"/>
        <v>FALSE</v>
      </c>
      <c r="I134" t="str">
        <f t="shared" si="9"/>
        <v>FALSE</v>
      </c>
      <c r="J134" t="str">
        <f t="shared" si="10"/>
        <v>FALSE</v>
      </c>
      <c r="K134" t="str">
        <f t="shared" si="11"/>
        <v>functionarea;mbacthreshold;FALSE;functionarea;mbacthreshold;50</v>
      </c>
    </row>
    <row r="135" spans="1:11" x14ac:dyDescent="0.3">
      <c r="A135">
        <v>7</v>
      </c>
      <c r="B135" t="s">
        <v>129</v>
      </c>
      <c r="C135" t="s">
        <v>205</v>
      </c>
      <c r="D135" t="b">
        <v>0</v>
      </c>
      <c r="E135" t="s">
        <v>129</v>
      </c>
      <c r="F135" t="s">
        <v>205</v>
      </c>
      <c r="G135">
        <v>50</v>
      </c>
      <c r="H135" t="str">
        <f t="shared" si="8"/>
        <v>FALSE</v>
      </c>
      <c r="I135" t="str">
        <f t="shared" si="9"/>
        <v>FALSE</v>
      </c>
      <c r="J135" t="str">
        <f t="shared" si="10"/>
        <v>FALSE</v>
      </c>
      <c r="K135" t="str">
        <f t="shared" si="11"/>
        <v>functionarea;mbacweightingfactor;FALSE;functionarea;mbacweightingfactor;50</v>
      </c>
    </row>
    <row r="136" spans="1:11" x14ac:dyDescent="0.3">
      <c r="A136">
        <v>7</v>
      </c>
      <c r="B136" t="s">
        <v>129</v>
      </c>
      <c r="C136" t="s">
        <v>58</v>
      </c>
      <c r="D136" t="b">
        <v>0</v>
      </c>
      <c r="E136" t="s">
        <v>129</v>
      </c>
      <c r="F136" t="s">
        <v>58</v>
      </c>
      <c r="G136">
        <v>50</v>
      </c>
      <c r="H136" t="str">
        <f t="shared" si="8"/>
        <v>FALSE</v>
      </c>
      <c r="I136" t="str">
        <f t="shared" si="9"/>
        <v>FALSE</v>
      </c>
      <c r="J136" t="str">
        <f t="shared" si="10"/>
        <v>FALSE</v>
      </c>
      <c r="K136" t="str">
        <f t="shared" si="11"/>
        <v>functionarea;mediaipversion;FALSE;functionarea;mediaipversion;50</v>
      </c>
    </row>
    <row r="137" spans="1:11" x14ac:dyDescent="0.3">
      <c r="A137">
        <v>7</v>
      </c>
      <c r="B137" t="s">
        <v>129</v>
      </c>
      <c r="C137" t="s">
        <v>59</v>
      </c>
      <c r="D137" t="b">
        <v>0</v>
      </c>
      <c r="E137" t="s">
        <v>129</v>
      </c>
      <c r="F137" t="s">
        <v>59</v>
      </c>
      <c r="G137">
        <v>50</v>
      </c>
      <c r="H137" t="str">
        <f t="shared" si="8"/>
        <v>FALSE</v>
      </c>
      <c r="I137" t="str">
        <f t="shared" si="9"/>
        <v>FALSE</v>
      </c>
      <c r="J137" t="str">
        <f t="shared" si="10"/>
        <v>FALSE</v>
      </c>
      <c r="K137" t="str">
        <f t="shared" si="11"/>
        <v>functionarea;mediaresourcefunctionid;FALSE;functionarea;mediaresourcefunctionid;50</v>
      </c>
    </row>
    <row r="138" spans="1:11" x14ac:dyDescent="0.3">
      <c r="A138">
        <v>7</v>
      </c>
      <c r="B138" t="s">
        <v>129</v>
      </c>
      <c r="C138" t="s">
        <v>206</v>
      </c>
      <c r="D138" t="b">
        <v>0</v>
      </c>
      <c r="E138" t="s">
        <v>129</v>
      </c>
      <c r="F138" t="s">
        <v>206</v>
      </c>
      <c r="G138">
        <v>50</v>
      </c>
      <c r="H138" t="str">
        <f t="shared" si="8"/>
        <v>FALSE</v>
      </c>
      <c r="I138" t="str">
        <f t="shared" si="9"/>
        <v>FALSE</v>
      </c>
      <c r="J138" t="str">
        <f t="shared" si="10"/>
        <v>FALSE</v>
      </c>
      <c r="K138" t="str">
        <f t="shared" si="11"/>
        <v>functionarea;mgwapplicationid;FALSE;functionarea;mgwapplicationid;50</v>
      </c>
    </row>
    <row r="139" spans="1:11" x14ac:dyDescent="0.3">
      <c r="A139">
        <v>7</v>
      </c>
      <c r="B139" t="s">
        <v>129</v>
      </c>
      <c r="C139" t="s">
        <v>238</v>
      </c>
      <c r="D139" t="b">
        <v>0</v>
      </c>
      <c r="E139" t="s">
        <v>129</v>
      </c>
      <c r="F139" t="s">
        <v>238</v>
      </c>
      <c r="G139">
        <v>50</v>
      </c>
      <c r="H139" t="str">
        <f t="shared" si="8"/>
        <v>FALSE</v>
      </c>
      <c r="I139" t="str">
        <f t="shared" si="9"/>
        <v>FALSE</v>
      </c>
      <c r="J139" t="str">
        <f t="shared" si="10"/>
        <v>FALSE</v>
      </c>
      <c r="K139" t="str">
        <f t="shared" si="11"/>
        <v>functionarea;miminfo;FALSE;functionarea;miminfo;50</v>
      </c>
    </row>
    <row r="140" spans="1:11" x14ac:dyDescent="0.3">
      <c r="A140">
        <v>7</v>
      </c>
      <c r="B140" t="s">
        <v>129</v>
      </c>
      <c r="C140" t="s">
        <v>207</v>
      </c>
      <c r="D140" t="b">
        <v>0</v>
      </c>
      <c r="E140" t="s">
        <v>129</v>
      </c>
      <c r="F140" t="s">
        <v>207</v>
      </c>
      <c r="G140">
        <v>50</v>
      </c>
      <c r="H140" t="str">
        <f t="shared" si="8"/>
        <v>FALSE</v>
      </c>
      <c r="I140" t="str">
        <f t="shared" si="9"/>
        <v>FALSE</v>
      </c>
      <c r="J140" t="str">
        <f t="shared" si="10"/>
        <v>FALSE</v>
      </c>
      <c r="K140" t="str">
        <f t="shared" si="11"/>
        <v>functionarea;minimumhdvolumecfreespace;FALSE;functionarea;minimumhdvolumecfreespace;50</v>
      </c>
    </row>
    <row r="141" spans="1:11" x14ac:dyDescent="0.3">
      <c r="A141">
        <v>7</v>
      </c>
      <c r="B141" t="s">
        <v>129</v>
      </c>
      <c r="C141" t="s">
        <v>208</v>
      </c>
      <c r="D141" t="b">
        <v>0</v>
      </c>
      <c r="E141" t="s">
        <v>129</v>
      </c>
      <c r="F141" t="s">
        <v>208</v>
      </c>
      <c r="G141">
        <v>50</v>
      </c>
      <c r="H141" t="str">
        <f t="shared" si="8"/>
        <v>FALSE</v>
      </c>
      <c r="I141" t="str">
        <f t="shared" si="9"/>
        <v>FALSE</v>
      </c>
      <c r="J141" t="str">
        <f t="shared" si="10"/>
        <v>FALSE</v>
      </c>
      <c r="K141" t="str">
        <f t="shared" si="11"/>
        <v>functionarea;mrfcfunctionid;FALSE;functionarea;mrfcfunctionid;50</v>
      </c>
    </row>
    <row r="142" spans="1:11" x14ac:dyDescent="0.3">
      <c r="A142">
        <v>7</v>
      </c>
      <c r="B142" t="s">
        <v>129</v>
      </c>
      <c r="C142" t="s">
        <v>209</v>
      </c>
      <c r="D142" t="b">
        <v>0</v>
      </c>
      <c r="E142" t="s">
        <v>129</v>
      </c>
      <c r="F142" t="s">
        <v>209</v>
      </c>
      <c r="G142">
        <v>50</v>
      </c>
      <c r="H142" t="str">
        <f t="shared" si="8"/>
        <v>FALSE</v>
      </c>
      <c r="I142" t="str">
        <f t="shared" si="9"/>
        <v>FALSE</v>
      </c>
      <c r="J142" t="str">
        <f t="shared" si="10"/>
        <v>FALSE</v>
      </c>
      <c r="K142" t="str">
        <f t="shared" si="11"/>
        <v>functionarea;mrfpfunctionid;FALSE;functionarea;mrfpfunctionid;50</v>
      </c>
    </row>
    <row r="143" spans="1:11" x14ac:dyDescent="0.3">
      <c r="A143">
        <v>7</v>
      </c>
      <c r="B143" t="s">
        <v>129</v>
      </c>
      <c r="C143" t="s">
        <v>107</v>
      </c>
      <c r="D143" t="b">
        <v>0</v>
      </c>
      <c r="E143" t="s">
        <v>129</v>
      </c>
      <c r="F143" t="s">
        <v>107</v>
      </c>
      <c r="G143">
        <v>50</v>
      </c>
      <c r="H143" t="str">
        <f t="shared" si="8"/>
        <v>FALSE</v>
      </c>
      <c r="I143" t="str">
        <f t="shared" si="9"/>
        <v>FALSE</v>
      </c>
      <c r="J143" t="str">
        <f t="shared" si="10"/>
        <v>FALSE</v>
      </c>
      <c r="K143" t="str">
        <f t="shared" si="11"/>
        <v>functionarea;msprocessingid;FALSE;functionarea;msprocessingid;50</v>
      </c>
    </row>
    <row r="144" spans="1:11" x14ac:dyDescent="0.3">
      <c r="A144">
        <v>7</v>
      </c>
      <c r="B144" t="s">
        <v>129</v>
      </c>
      <c r="C144" t="s">
        <v>61</v>
      </c>
      <c r="D144" t="b">
        <v>0</v>
      </c>
      <c r="E144" t="s">
        <v>129</v>
      </c>
      <c r="F144" t="s">
        <v>61</v>
      </c>
      <c r="G144">
        <v>50</v>
      </c>
      <c r="H144" t="str">
        <f t="shared" si="8"/>
        <v>FALSE</v>
      </c>
      <c r="I144" t="str">
        <f t="shared" si="9"/>
        <v>FALSE</v>
      </c>
      <c r="J144" t="str">
        <f t="shared" si="10"/>
        <v>FALSE</v>
      </c>
      <c r="K144" t="str">
        <f t="shared" si="11"/>
        <v>functionarea;mtasfunctionblacklisttime;FALSE;functionarea;mtasfunctionblacklisttime;50</v>
      </c>
    </row>
    <row r="145" spans="1:11" x14ac:dyDescent="0.3">
      <c r="A145">
        <v>7</v>
      </c>
      <c r="B145" t="s">
        <v>129</v>
      </c>
      <c r="C145" t="s">
        <v>239</v>
      </c>
      <c r="D145" t="b">
        <v>0</v>
      </c>
      <c r="E145" t="s">
        <v>129</v>
      </c>
      <c r="F145" t="s">
        <v>239</v>
      </c>
      <c r="G145">
        <v>50</v>
      </c>
      <c r="H145" t="str">
        <f t="shared" si="8"/>
        <v>FALSE</v>
      </c>
      <c r="I145" t="str">
        <f t="shared" si="9"/>
        <v>FALSE</v>
      </c>
      <c r="J145" t="str">
        <f t="shared" si="10"/>
        <v>FALSE</v>
      </c>
      <c r="K145" t="str">
        <f t="shared" si="11"/>
        <v>functionarea;mtasfunctionfqdn;FALSE;functionarea;mtasfunctionfqdn;50</v>
      </c>
    </row>
    <row r="146" spans="1:11" x14ac:dyDescent="0.3">
      <c r="A146">
        <v>7</v>
      </c>
      <c r="B146" t="s">
        <v>129</v>
      </c>
      <c r="C146" t="s">
        <v>62</v>
      </c>
      <c r="D146" t="b">
        <v>0</v>
      </c>
      <c r="E146" t="s">
        <v>129</v>
      </c>
      <c r="F146" t="s">
        <v>426</v>
      </c>
      <c r="G146">
        <v>50</v>
      </c>
      <c r="H146" t="str">
        <f t="shared" si="8"/>
        <v>FALSE</v>
      </c>
      <c r="I146" t="str">
        <f t="shared" si="9"/>
        <v>FALSE</v>
      </c>
      <c r="J146" t="str">
        <f t="shared" si="10"/>
        <v>FALSE</v>
      </c>
      <c r="K146" t="str">
        <f t="shared" si="11"/>
        <v>functionarea;mtasfunctionfulldiskpercentage;FALSE;functionarea;mtas_fulldiskpercentage;50</v>
      </c>
    </row>
    <row r="147" spans="1:11" x14ac:dyDescent="0.3">
      <c r="A147">
        <v>7</v>
      </c>
      <c r="B147" t="s">
        <v>129</v>
      </c>
      <c r="C147" t="s">
        <v>63</v>
      </c>
      <c r="D147" t="b">
        <v>0</v>
      </c>
      <c r="E147" t="s">
        <v>129</v>
      </c>
      <c r="F147" t="s">
        <v>63</v>
      </c>
      <c r="G147">
        <v>50</v>
      </c>
      <c r="H147" t="str">
        <f t="shared" si="8"/>
        <v>FALSE</v>
      </c>
      <c r="I147" t="str">
        <f t="shared" si="9"/>
        <v>FALSE</v>
      </c>
      <c r="J147" t="str">
        <f t="shared" si="10"/>
        <v>FALSE</v>
      </c>
      <c r="K147" t="str">
        <f t="shared" si="11"/>
        <v>functionarea;mtasfunctioninvalidaddress;FALSE;functionarea;mtasfunctioninvalidaddress;50</v>
      </c>
    </row>
    <row r="148" spans="1:11" x14ac:dyDescent="0.3">
      <c r="A148">
        <v>7</v>
      </c>
      <c r="B148" t="s">
        <v>129</v>
      </c>
      <c r="C148" t="s">
        <v>64</v>
      </c>
      <c r="D148" t="b">
        <v>0</v>
      </c>
      <c r="E148" t="s">
        <v>129</v>
      </c>
      <c r="F148" t="s">
        <v>428</v>
      </c>
      <c r="G148">
        <v>50</v>
      </c>
      <c r="H148" t="str">
        <f t="shared" si="8"/>
        <v>FALSE</v>
      </c>
      <c r="I148" t="str">
        <f t="shared" si="9"/>
        <v>FALSE</v>
      </c>
      <c r="J148" t="str">
        <f t="shared" si="10"/>
        <v>FALSE</v>
      </c>
      <c r="K148" t="str">
        <f t="shared" si="11"/>
        <v>functionarea;mtasfunctionmaxsessionduration;FALSE;functionarea;mtas_maxsessionduration;50</v>
      </c>
    </row>
    <row r="149" spans="1:11" x14ac:dyDescent="0.3">
      <c r="A149">
        <v>7</v>
      </c>
      <c r="B149" t="s">
        <v>129</v>
      </c>
      <c r="C149" t="s">
        <v>65</v>
      </c>
      <c r="D149" t="b">
        <v>0</v>
      </c>
      <c r="E149" t="s">
        <v>129</v>
      </c>
      <c r="F149" t="s">
        <v>65</v>
      </c>
      <c r="G149">
        <v>50</v>
      </c>
      <c r="H149" t="str">
        <f t="shared" si="8"/>
        <v>FALSE</v>
      </c>
      <c r="I149" t="str">
        <f t="shared" si="9"/>
        <v>FALSE</v>
      </c>
      <c r="J149" t="str">
        <f t="shared" si="10"/>
        <v>FALSE</v>
      </c>
      <c r="K149" t="str">
        <f t="shared" si="11"/>
        <v>functionarea;mtasfunctionmccmnc;FALSE;functionarea;mtasfunctionmccmnc;50</v>
      </c>
    </row>
    <row r="150" spans="1:11" x14ac:dyDescent="0.3">
      <c r="A150">
        <v>7</v>
      </c>
      <c r="B150" t="s">
        <v>129</v>
      </c>
      <c r="C150" t="s">
        <v>240</v>
      </c>
      <c r="D150" t="b">
        <v>0</v>
      </c>
      <c r="E150" t="s">
        <v>129</v>
      </c>
      <c r="F150" t="s">
        <v>240</v>
      </c>
      <c r="G150">
        <v>50</v>
      </c>
      <c r="H150" t="str">
        <f t="shared" si="8"/>
        <v>FALSE</v>
      </c>
      <c r="I150" t="str">
        <f t="shared" si="9"/>
        <v>FALSE</v>
      </c>
      <c r="J150" t="str">
        <f t="shared" si="10"/>
        <v>FALSE</v>
      </c>
      <c r="K150" t="str">
        <f t="shared" si="11"/>
        <v>functionarea;mtasfunctionmmtasname;FALSE;functionarea;mtasfunctionmmtasname;50</v>
      </c>
    </row>
    <row r="151" spans="1:11" x14ac:dyDescent="0.3">
      <c r="A151">
        <v>7</v>
      </c>
      <c r="B151" t="s">
        <v>129</v>
      </c>
      <c r="C151" t="s">
        <v>66</v>
      </c>
      <c r="D151" t="b">
        <v>0</v>
      </c>
      <c r="E151" t="s">
        <v>129</v>
      </c>
      <c r="F151" t="s">
        <v>66</v>
      </c>
      <c r="G151">
        <v>50</v>
      </c>
      <c r="H151" t="str">
        <f t="shared" si="8"/>
        <v>FALSE</v>
      </c>
      <c r="I151" t="str">
        <f t="shared" si="9"/>
        <v>FALSE</v>
      </c>
      <c r="J151" t="str">
        <f t="shared" si="10"/>
        <v>FALSE</v>
      </c>
      <c r="K151" t="str">
        <f t="shared" si="11"/>
        <v>functionarea;mtasfunctionnettraceversion;FALSE;functionarea;mtasfunctionnettraceversion;50</v>
      </c>
    </row>
    <row r="152" spans="1:11" x14ac:dyDescent="0.3">
      <c r="A152">
        <v>7</v>
      </c>
      <c r="B152" t="s">
        <v>129</v>
      </c>
      <c r="C152" t="s">
        <v>241</v>
      </c>
      <c r="D152" t="b">
        <v>0</v>
      </c>
      <c r="E152" t="s">
        <v>129</v>
      </c>
      <c r="F152" t="s">
        <v>241</v>
      </c>
      <c r="G152">
        <v>50</v>
      </c>
      <c r="H152" t="str">
        <f t="shared" si="8"/>
        <v>FALSE</v>
      </c>
      <c r="I152" t="str">
        <f t="shared" si="9"/>
        <v>FALSE</v>
      </c>
      <c r="J152" t="str">
        <f t="shared" si="10"/>
        <v>FALSE</v>
      </c>
      <c r="K152" t="str">
        <f t="shared" si="11"/>
        <v>functionarea;mtasfunctionnwfoiwasname;FALSE;functionarea;mtasfunctionnwfoiwasname;50</v>
      </c>
    </row>
    <row r="153" spans="1:11" x14ac:dyDescent="0.3">
      <c r="A153">
        <v>7</v>
      </c>
      <c r="B153" t="s">
        <v>129</v>
      </c>
      <c r="C153" t="s">
        <v>242</v>
      </c>
      <c r="D153" t="b">
        <v>0</v>
      </c>
      <c r="E153" t="s">
        <v>129</v>
      </c>
      <c r="F153" t="s">
        <v>242</v>
      </c>
      <c r="G153">
        <v>50</v>
      </c>
      <c r="H153" t="str">
        <f t="shared" si="8"/>
        <v>FALSE</v>
      </c>
      <c r="I153" t="str">
        <f t="shared" si="9"/>
        <v>FALSE</v>
      </c>
      <c r="J153" t="str">
        <f t="shared" si="10"/>
        <v>FALSE</v>
      </c>
      <c r="K153" t="str">
        <f t="shared" si="11"/>
        <v>functionarea;mtasfunctionnwpriwasname;FALSE;functionarea;mtasfunctionnwpriwasname;50</v>
      </c>
    </row>
    <row r="154" spans="1:11" x14ac:dyDescent="0.3">
      <c r="A154">
        <v>7</v>
      </c>
      <c r="B154" t="s">
        <v>129</v>
      </c>
      <c r="C154" t="s">
        <v>67</v>
      </c>
      <c r="D154" t="b">
        <v>0</v>
      </c>
      <c r="E154" t="s">
        <v>129</v>
      </c>
      <c r="F154" t="s">
        <v>67</v>
      </c>
      <c r="G154">
        <v>50</v>
      </c>
      <c r="H154" t="str">
        <f t="shared" si="8"/>
        <v>FALSE</v>
      </c>
      <c r="I154" t="str">
        <f t="shared" si="9"/>
        <v>FALSE</v>
      </c>
      <c r="J154" t="str">
        <f t="shared" si="10"/>
        <v>FALSE</v>
      </c>
      <c r="K154" t="str">
        <f t="shared" si="11"/>
        <v>functionarea;mtasfunctionrestart;FALSE;functionarea;mtasfunctionrestart;50</v>
      </c>
    </row>
    <row r="155" spans="1:11" x14ac:dyDescent="0.3">
      <c r="A155">
        <v>7</v>
      </c>
      <c r="B155" t="s">
        <v>129</v>
      </c>
      <c r="C155" t="s">
        <v>243</v>
      </c>
      <c r="D155" t="b">
        <v>0</v>
      </c>
      <c r="E155" t="s">
        <v>129</v>
      </c>
      <c r="F155" t="s">
        <v>243</v>
      </c>
      <c r="G155">
        <v>50</v>
      </c>
      <c r="H155" t="str">
        <f t="shared" si="8"/>
        <v>FALSE</v>
      </c>
      <c r="I155" t="str">
        <f t="shared" si="9"/>
        <v>FALSE</v>
      </c>
      <c r="J155" t="str">
        <f t="shared" si="10"/>
        <v>FALSE</v>
      </c>
      <c r="K155" t="str">
        <f t="shared" si="11"/>
        <v>functionarea;mtasfunctionsccasname;FALSE;functionarea;mtasfunctionsccasname;50</v>
      </c>
    </row>
    <row r="156" spans="1:11" x14ac:dyDescent="0.3">
      <c r="A156">
        <v>7</v>
      </c>
      <c r="B156" t="s">
        <v>129</v>
      </c>
      <c r="C156" t="s">
        <v>68</v>
      </c>
      <c r="D156" t="b">
        <v>0</v>
      </c>
      <c r="E156" t="s">
        <v>129</v>
      </c>
      <c r="F156" t="s">
        <v>68</v>
      </c>
      <c r="G156">
        <v>50</v>
      </c>
      <c r="H156" t="str">
        <f t="shared" si="8"/>
        <v>FALSE</v>
      </c>
      <c r="I156" t="str">
        <f t="shared" si="9"/>
        <v>FALSE</v>
      </c>
      <c r="J156" t="str">
        <f t="shared" si="10"/>
        <v>FALSE</v>
      </c>
      <c r="K156" t="str">
        <f t="shared" si="11"/>
        <v>functionarea;mtasfunctionversion;FALSE;functionarea;mtasfunctionversion;50</v>
      </c>
    </row>
    <row r="157" spans="1:11" x14ac:dyDescent="0.3">
      <c r="A157">
        <v>7</v>
      </c>
      <c r="B157" t="s">
        <v>129</v>
      </c>
      <c r="C157" t="s">
        <v>69</v>
      </c>
      <c r="D157" t="b">
        <v>0</v>
      </c>
      <c r="E157" t="s">
        <v>129</v>
      </c>
      <c r="F157" t="s">
        <v>69</v>
      </c>
      <c r="G157">
        <v>50</v>
      </c>
      <c r="H157" t="str">
        <f t="shared" si="8"/>
        <v>FALSE</v>
      </c>
      <c r="I157" t="str">
        <f t="shared" si="9"/>
        <v>FALSE</v>
      </c>
      <c r="J157" t="str">
        <f t="shared" si="10"/>
        <v>FALSE</v>
      </c>
      <c r="K157" t="str">
        <f t="shared" si="11"/>
        <v>functionarea;networkmanagedelementid;FALSE;functionarea;networkmanagedelementid;50</v>
      </c>
    </row>
    <row r="158" spans="1:11" x14ac:dyDescent="0.3">
      <c r="A158">
        <v>7</v>
      </c>
      <c r="B158" t="s">
        <v>129</v>
      </c>
      <c r="C158" t="s">
        <v>70</v>
      </c>
      <c r="D158" t="b">
        <v>0</v>
      </c>
      <c r="E158" t="s">
        <v>129</v>
      </c>
      <c r="F158" t="s">
        <v>70</v>
      </c>
      <c r="G158">
        <v>50</v>
      </c>
      <c r="H158" t="str">
        <f t="shared" si="8"/>
        <v>FALSE</v>
      </c>
      <c r="I158" t="str">
        <f t="shared" si="9"/>
        <v>FALSE</v>
      </c>
      <c r="J158" t="str">
        <f t="shared" si="10"/>
        <v>FALSE</v>
      </c>
      <c r="K158" t="str">
        <f t="shared" si="11"/>
        <v>functionarea;netype;FALSE;functionarea;netype;50</v>
      </c>
    </row>
    <row r="159" spans="1:11" x14ac:dyDescent="0.3">
      <c r="A159">
        <v>7</v>
      </c>
      <c r="B159" t="s">
        <v>129</v>
      </c>
      <c r="C159" t="s">
        <v>210</v>
      </c>
      <c r="D159" t="b">
        <v>0</v>
      </c>
      <c r="E159" t="s">
        <v>129</v>
      </c>
      <c r="F159" t="s">
        <v>210</v>
      </c>
      <c r="G159">
        <v>50</v>
      </c>
      <c r="H159" t="str">
        <f t="shared" si="8"/>
        <v>FALSE</v>
      </c>
      <c r="I159" t="str">
        <f t="shared" si="9"/>
        <v>FALSE</v>
      </c>
      <c r="J159" t="str">
        <f t="shared" si="10"/>
        <v>FALSE</v>
      </c>
      <c r="K159" t="str">
        <f t="shared" si="11"/>
        <v>functionarea;piugroupescalationtype;FALSE;functionarea;piugroupescalationtype;50</v>
      </c>
    </row>
    <row r="160" spans="1:11" x14ac:dyDescent="0.3">
      <c r="A160">
        <v>7</v>
      </c>
      <c r="B160" t="s">
        <v>129</v>
      </c>
      <c r="C160" t="s">
        <v>7</v>
      </c>
      <c r="D160" t="b">
        <v>0</v>
      </c>
      <c r="E160" t="s">
        <v>129</v>
      </c>
      <c r="F160" t="s">
        <v>7</v>
      </c>
      <c r="G160">
        <v>50</v>
      </c>
      <c r="H160" t="str">
        <f t="shared" si="8"/>
        <v>FALSE</v>
      </c>
      <c r="I160" t="str">
        <f t="shared" si="9"/>
        <v>FALSE</v>
      </c>
      <c r="J160" t="str">
        <f t="shared" si="10"/>
        <v>FALSE</v>
      </c>
      <c r="K160" t="str">
        <f t="shared" si="11"/>
        <v>functionarea;platformtype;FALSE;functionarea;platformtype;50</v>
      </c>
    </row>
    <row r="161" spans="1:11" x14ac:dyDescent="0.3">
      <c r="A161">
        <v>7</v>
      </c>
      <c r="B161" t="s">
        <v>129</v>
      </c>
      <c r="C161" t="s">
        <v>244</v>
      </c>
      <c r="D161" t="b">
        <v>0</v>
      </c>
      <c r="E161" t="s">
        <v>129</v>
      </c>
      <c r="F161" t="s">
        <v>244</v>
      </c>
      <c r="G161">
        <v>50</v>
      </c>
      <c r="H161" t="str">
        <f t="shared" si="8"/>
        <v>FALSE</v>
      </c>
      <c r="I161" t="str">
        <f t="shared" si="9"/>
        <v>FALSE</v>
      </c>
      <c r="J161" t="str">
        <f t="shared" si="10"/>
        <v>FALSE</v>
      </c>
      <c r="K161" t="str">
        <f t="shared" si="11"/>
        <v>functionarea;policycontrolfunctionid;FALSE;functionarea;policycontrolfunctionid;50</v>
      </c>
    </row>
    <row r="162" spans="1:11" x14ac:dyDescent="0.3">
      <c r="A162">
        <v>7</v>
      </c>
      <c r="B162" t="s">
        <v>129</v>
      </c>
      <c r="C162" t="s">
        <v>211</v>
      </c>
      <c r="D162" t="b">
        <v>0</v>
      </c>
      <c r="E162" t="s">
        <v>129</v>
      </c>
      <c r="F162" t="s">
        <v>211</v>
      </c>
      <c r="G162">
        <v>50</v>
      </c>
      <c r="H162" t="str">
        <f t="shared" si="8"/>
        <v>FALSE</v>
      </c>
      <c r="I162" t="str">
        <f t="shared" si="9"/>
        <v>FALSE</v>
      </c>
      <c r="J162" t="str">
        <f t="shared" si="10"/>
        <v>FALSE</v>
      </c>
      <c r="K162" t="str">
        <f t="shared" si="11"/>
        <v>functionarea;powersavemodeenabled;FALSE;functionarea;powersavemodeenabled;50</v>
      </c>
    </row>
    <row r="163" spans="1:11" x14ac:dyDescent="0.3">
      <c r="A163">
        <v>7</v>
      </c>
      <c r="B163" t="s">
        <v>129</v>
      </c>
      <c r="C163" t="s">
        <v>110</v>
      </c>
      <c r="D163" t="b">
        <v>0</v>
      </c>
      <c r="E163" t="s">
        <v>129</v>
      </c>
      <c r="F163" t="s">
        <v>110</v>
      </c>
      <c r="G163">
        <v>50</v>
      </c>
      <c r="H163" t="str">
        <f t="shared" si="8"/>
        <v>FALSE</v>
      </c>
      <c r="I163" t="str">
        <f t="shared" si="9"/>
        <v>FALSE</v>
      </c>
      <c r="J163" t="str">
        <f t="shared" si="10"/>
        <v>FALSE</v>
      </c>
      <c r="K163" t="str">
        <f t="shared" si="11"/>
        <v>functionarea;productname;FALSE;functionarea;productname;50</v>
      </c>
    </row>
    <row r="164" spans="1:11" x14ac:dyDescent="0.3">
      <c r="A164">
        <v>7</v>
      </c>
      <c r="B164" t="s">
        <v>129</v>
      </c>
      <c r="C164" t="s">
        <v>245</v>
      </c>
      <c r="D164" t="b">
        <v>0</v>
      </c>
      <c r="E164" t="s">
        <v>129</v>
      </c>
      <c r="F164" t="s">
        <v>245</v>
      </c>
      <c r="G164">
        <v>50</v>
      </c>
      <c r="H164" t="str">
        <f t="shared" si="8"/>
        <v>FALSE</v>
      </c>
      <c r="I164" t="str">
        <f t="shared" si="9"/>
        <v>FALSE</v>
      </c>
      <c r="J164" t="str">
        <f t="shared" si="10"/>
        <v>FALSE</v>
      </c>
      <c r="K164" t="str">
        <f t="shared" si="11"/>
        <v>functionarea;productnumber;FALSE;functionarea;productnumber;50</v>
      </c>
    </row>
    <row r="165" spans="1:11" x14ac:dyDescent="0.3">
      <c r="A165">
        <v>7</v>
      </c>
      <c r="B165" t="s">
        <v>129</v>
      </c>
      <c r="C165" t="s">
        <v>112</v>
      </c>
      <c r="D165" t="b">
        <v>0</v>
      </c>
      <c r="E165" t="s">
        <v>129</v>
      </c>
      <c r="F165" t="s">
        <v>112</v>
      </c>
      <c r="G165">
        <v>50</v>
      </c>
      <c r="H165" t="str">
        <f t="shared" si="8"/>
        <v>FALSE</v>
      </c>
      <c r="I165" t="str">
        <f t="shared" si="9"/>
        <v>FALSE</v>
      </c>
      <c r="J165" t="str">
        <f t="shared" si="10"/>
        <v>FALSE</v>
      </c>
      <c r="K165" t="str">
        <f t="shared" si="11"/>
        <v>functionarea;productrevision;FALSE;functionarea;productrevision;50</v>
      </c>
    </row>
    <row r="166" spans="1:11" x14ac:dyDescent="0.3">
      <c r="A166">
        <v>7</v>
      </c>
      <c r="B166" t="s">
        <v>129</v>
      </c>
      <c r="C166" t="s">
        <v>246</v>
      </c>
      <c r="D166" t="b">
        <v>0</v>
      </c>
      <c r="E166" t="s">
        <v>129</v>
      </c>
      <c r="F166" t="s">
        <v>246</v>
      </c>
      <c r="G166">
        <v>50</v>
      </c>
      <c r="H166" t="str">
        <f t="shared" si="8"/>
        <v>FALSE</v>
      </c>
      <c r="I166" t="str">
        <f t="shared" si="9"/>
        <v>FALSE</v>
      </c>
      <c r="J166" t="str">
        <f t="shared" si="10"/>
        <v>FALSE</v>
      </c>
      <c r="K166" t="str">
        <f t="shared" si="11"/>
        <v>functionarea;producttype;FALSE;functionarea;producttype;50</v>
      </c>
    </row>
    <row r="167" spans="1:11" x14ac:dyDescent="0.3">
      <c r="A167">
        <v>7</v>
      </c>
      <c r="B167" t="s">
        <v>129</v>
      </c>
      <c r="C167" t="s">
        <v>71</v>
      </c>
      <c r="D167" t="b">
        <v>0</v>
      </c>
      <c r="E167" t="s">
        <v>129</v>
      </c>
      <c r="F167" t="s">
        <v>71</v>
      </c>
      <c r="G167">
        <v>50</v>
      </c>
      <c r="H167" t="str">
        <f t="shared" si="8"/>
        <v>FALSE</v>
      </c>
      <c r="I167" t="str">
        <f t="shared" si="9"/>
        <v>FALSE</v>
      </c>
      <c r="J167" t="str">
        <f t="shared" si="10"/>
        <v>FALSE</v>
      </c>
      <c r="K167" t="str">
        <f t="shared" si="11"/>
        <v>functionarea;release;FALSE;functionarea;release;50</v>
      </c>
    </row>
    <row r="168" spans="1:11" x14ac:dyDescent="0.3">
      <c r="A168">
        <v>7</v>
      </c>
      <c r="B168" t="s">
        <v>129</v>
      </c>
      <c r="C168" t="s">
        <v>212</v>
      </c>
      <c r="D168" t="b">
        <v>0</v>
      </c>
      <c r="E168" t="s">
        <v>129</v>
      </c>
      <c r="F168" t="s">
        <v>212</v>
      </c>
      <c r="G168">
        <v>50</v>
      </c>
      <c r="H168" t="str">
        <f t="shared" si="8"/>
        <v>FALSE</v>
      </c>
      <c r="I168" t="str">
        <f t="shared" si="9"/>
        <v>FALSE</v>
      </c>
      <c r="J168" t="str">
        <f t="shared" si="10"/>
        <v>FALSE</v>
      </c>
      <c r="K168" t="str">
        <f t="shared" si="11"/>
        <v>functionarea;rtcpbearersupervisiontimeraoip;FALSE;functionarea;rtcpbearersupervisiontimeraoip;50</v>
      </c>
    </row>
    <row r="169" spans="1:11" x14ac:dyDescent="0.3">
      <c r="A169">
        <v>7</v>
      </c>
      <c r="B169" t="s">
        <v>129</v>
      </c>
      <c r="C169" t="s">
        <v>213</v>
      </c>
      <c r="D169" t="b">
        <v>0</v>
      </c>
      <c r="E169" t="s">
        <v>129</v>
      </c>
      <c r="F169" t="s">
        <v>213</v>
      </c>
      <c r="G169">
        <v>50</v>
      </c>
      <c r="H169" t="str">
        <f t="shared" si="8"/>
        <v>FALSE</v>
      </c>
      <c r="I169" t="str">
        <f t="shared" si="9"/>
        <v>FALSE</v>
      </c>
      <c r="J169" t="str">
        <f t="shared" si="10"/>
        <v>FALSE</v>
      </c>
      <c r="K169" t="str">
        <f t="shared" si="11"/>
        <v>functionarea;rtcpbearersupervisiontimermb;FALSE;functionarea;rtcpbearersupervisiontimermb;50</v>
      </c>
    </row>
    <row r="170" spans="1:11" x14ac:dyDescent="0.3">
      <c r="A170">
        <v>7</v>
      </c>
      <c r="B170" t="s">
        <v>129</v>
      </c>
      <c r="C170" t="s">
        <v>214</v>
      </c>
      <c r="D170" t="b">
        <v>0</v>
      </c>
      <c r="E170" t="s">
        <v>129</v>
      </c>
      <c r="F170" t="s">
        <v>214</v>
      </c>
      <c r="G170">
        <v>50</v>
      </c>
      <c r="H170" t="str">
        <f t="shared" si="8"/>
        <v>FALSE</v>
      </c>
      <c r="I170" t="str">
        <f t="shared" si="9"/>
        <v>FALSE</v>
      </c>
      <c r="J170" t="str">
        <f t="shared" si="10"/>
        <v>FALSE</v>
      </c>
      <c r="K170" t="str">
        <f t="shared" si="11"/>
        <v>functionarea;rtcpbearersupervisiontimernb;FALSE;functionarea;rtcpbearersupervisiontimernb;50</v>
      </c>
    </row>
    <row r="171" spans="1:11" x14ac:dyDescent="0.3">
      <c r="A171">
        <v>7</v>
      </c>
      <c r="B171" t="s">
        <v>129</v>
      </c>
      <c r="C171" t="s">
        <v>215</v>
      </c>
      <c r="D171" t="b">
        <v>0</v>
      </c>
      <c r="E171" t="s">
        <v>129</v>
      </c>
      <c r="F171" t="s">
        <v>215</v>
      </c>
      <c r="G171">
        <v>50</v>
      </c>
      <c r="H171" t="str">
        <f t="shared" si="8"/>
        <v>FALSE</v>
      </c>
      <c r="I171" t="str">
        <f t="shared" si="9"/>
        <v>FALSE</v>
      </c>
      <c r="J171" t="str">
        <f t="shared" si="10"/>
        <v>FALSE</v>
      </c>
      <c r="K171" t="str">
        <f t="shared" si="11"/>
        <v>functionarea;rtcpbearersupervisiontimervoip;FALSE;functionarea;rtcpbearersupervisiontimervoip;50</v>
      </c>
    </row>
    <row r="172" spans="1:11" x14ac:dyDescent="0.3">
      <c r="A172">
        <v>7</v>
      </c>
      <c r="B172" t="s">
        <v>129</v>
      </c>
      <c r="C172" t="s">
        <v>216</v>
      </c>
      <c r="D172" t="b">
        <v>0</v>
      </c>
      <c r="E172" t="s">
        <v>129</v>
      </c>
      <c r="F172" t="s">
        <v>216</v>
      </c>
      <c r="G172">
        <v>50</v>
      </c>
      <c r="H172" t="str">
        <f t="shared" si="8"/>
        <v>FALSE</v>
      </c>
      <c r="I172" t="str">
        <f t="shared" si="9"/>
        <v>FALSE</v>
      </c>
      <c r="J172" t="str">
        <f t="shared" si="10"/>
        <v>FALSE</v>
      </c>
      <c r="K172" t="str">
        <f t="shared" si="11"/>
        <v>functionarea;rtcponnbactive;FALSE;functionarea;rtcponnbactive;50</v>
      </c>
    </row>
    <row r="173" spans="1:11" x14ac:dyDescent="0.3">
      <c r="A173">
        <v>7</v>
      </c>
      <c r="B173" t="s">
        <v>129</v>
      </c>
      <c r="C173" t="s">
        <v>217</v>
      </c>
      <c r="D173" t="b">
        <v>0</v>
      </c>
      <c r="E173" t="s">
        <v>129</v>
      </c>
      <c r="F173" t="s">
        <v>217</v>
      </c>
      <c r="G173">
        <v>50</v>
      </c>
      <c r="H173" t="str">
        <f t="shared" si="8"/>
        <v>FALSE</v>
      </c>
      <c r="I173" t="str">
        <f t="shared" si="9"/>
        <v>FALSE</v>
      </c>
      <c r="J173" t="str">
        <f t="shared" si="10"/>
        <v>FALSE</v>
      </c>
      <c r="K173" t="str">
        <f t="shared" si="11"/>
        <v>functionarea;sachigherthresholdalarm;FALSE;functionarea;sachigherthresholdalarm;50</v>
      </c>
    </row>
    <row r="174" spans="1:11" x14ac:dyDescent="0.3">
      <c r="A174">
        <v>7</v>
      </c>
      <c r="B174" t="s">
        <v>129</v>
      </c>
      <c r="C174" t="s">
        <v>218</v>
      </c>
      <c r="D174" t="b">
        <v>0</v>
      </c>
      <c r="E174" t="s">
        <v>129</v>
      </c>
      <c r="F174" t="s">
        <v>218</v>
      </c>
      <c r="G174">
        <v>50</v>
      </c>
      <c r="H174" t="str">
        <f t="shared" si="8"/>
        <v>FALSE</v>
      </c>
      <c r="I174" t="str">
        <f t="shared" si="9"/>
        <v>FALSE</v>
      </c>
      <c r="J174" t="str">
        <f t="shared" si="10"/>
        <v>FALSE</v>
      </c>
      <c r="K174" t="str">
        <f t="shared" si="11"/>
        <v>functionarea;saclowerthresholdalarm;FALSE;functionarea;saclowerthresholdalarm;50</v>
      </c>
    </row>
    <row r="175" spans="1:11" x14ac:dyDescent="0.3">
      <c r="A175">
        <v>7</v>
      </c>
      <c r="B175" t="s">
        <v>129</v>
      </c>
      <c r="C175" t="s">
        <v>219</v>
      </c>
      <c r="D175" t="b">
        <v>0</v>
      </c>
      <c r="E175" t="s">
        <v>129</v>
      </c>
      <c r="F175" t="s">
        <v>219</v>
      </c>
      <c r="G175">
        <v>50</v>
      </c>
      <c r="H175" t="str">
        <f t="shared" si="8"/>
        <v>FALSE</v>
      </c>
      <c r="I175" t="str">
        <f t="shared" si="9"/>
        <v>FALSE</v>
      </c>
      <c r="J175" t="str">
        <f t="shared" si="10"/>
        <v>FALSE</v>
      </c>
      <c r="K175" t="str">
        <f t="shared" si="11"/>
        <v>functionarea;sacmode;FALSE;functionarea;sacmode;50</v>
      </c>
    </row>
    <row r="176" spans="1:11" x14ac:dyDescent="0.3">
      <c r="A176">
        <v>7</v>
      </c>
      <c r="B176" t="s">
        <v>129</v>
      </c>
      <c r="C176" t="s">
        <v>72</v>
      </c>
      <c r="D176" t="b">
        <v>0</v>
      </c>
      <c r="E176" t="s">
        <v>129</v>
      </c>
      <c r="F176" t="s">
        <v>72</v>
      </c>
      <c r="G176">
        <v>50</v>
      </c>
      <c r="H176" t="str">
        <f t="shared" si="8"/>
        <v>FALSE</v>
      </c>
      <c r="I176" t="str">
        <f t="shared" si="9"/>
        <v>FALSE</v>
      </c>
      <c r="J176" t="str">
        <f t="shared" si="10"/>
        <v>FALSE</v>
      </c>
      <c r="K176" t="str">
        <f t="shared" si="11"/>
        <v>functionarea;scaleinthreshold;FALSE;functionarea;scaleinthreshold;50</v>
      </c>
    </row>
    <row r="177" spans="1:11" x14ac:dyDescent="0.3">
      <c r="A177">
        <v>7</v>
      </c>
      <c r="B177" t="s">
        <v>129</v>
      </c>
      <c r="C177" t="s">
        <v>73</v>
      </c>
      <c r="D177" t="b">
        <v>0</v>
      </c>
      <c r="E177" t="s">
        <v>129</v>
      </c>
      <c r="F177" t="s">
        <v>73</v>
      </c>
      <c r="G177">
        <v>50</v>
      </c>
      <c r="H177" t="str">
        <f t="shared" si="8"/>
        <v>FALSE</v>
      </c>
      <c r="I177" t="str">
        <f t="shared" si="9"/>
        <v>FALSE</v>
      </c>
      <c r="J177" t="str">
        <f t="shared" si="10"/>
        <v>FALSE</v>
      </c>
      <c r="K177" t="str">
        <f t="shared" si="11"/>
        <v>functionarea;scaleoutthreshold;FALSE;functionarea;scaleoutthreshold;50</v>
      </c>
    </row>
    <row r="178" spans="1:11" x14ac:dyDescent="0.3">
      <c r="A178">
        <v>7</v>
      </c>
      <c r="B178" t="s">
        <v>129</v>
      </c>
      <c r="C178" t="s">
        <v>74</v>
      </c>
      <c r="D178" t="b">
        <v>0</v>
      </c>
      <c r="E178" t="s">
        <v>129</v>
      </c>
      <c r="F178" t="s">
        <v>74</v>
      </c>
      <c r="G178">
        <v>50</v>
      </c>
      <c r="H178" t="str">
        <f t="shared" si="8"/>
        <v>FALSE</v>
      </c>
      <c r="I178" t="str">
        <f t="shared" si="9"/>
        <v>FALSE</v>
      </c>
      <c r="J178" t="str">
        <f t="shared" si="10"/>
        <v>FALSE</v>
      </c>
      <c r="K178" t="str">
        <f t="shared" si="11"/>
        <v>functionarea;scalingmonitorinterval;FALSE;functionarea;scalingmonitorinterval;50</v>
      </c>
    </row>
    <row r="179" spans="1:11" x14ac:dyDescent="0.3">
      <c r="A179">
        <v>7</v>
      </c>
      <c r="B179" t="s">
        <v>129</v>
      </c>
      <c r="C179" t="s">
        <v>220</v>
      </c>
      <c r="D179" t="b">
        <v>0</v>
      </c>
      <c r="E179" t="s">
        <v>129</v>
      </c>
      <c r="F179" t="s">
        <v>220</v>
      </c>
      <c r="G179">
        <v>50</v>
      </c>
      <c r="H179" t="str">
        <f t="shared" si="8"/>
        <v>FALSE</v>
      </c>
      <c r="I179" t="str">
        <f t="shared" si="9"/>
        <v>FALSE</v>
      </c>
      <c r="J179" t="str">
        <f t="shared" si="10"/>
        <v>FALSE</v>
      </c>
      <c r="K179" t="str">
        <f t="shared" si="11"/>
        <v>functionarea;scchigherthresholdalarm;FALSE;functionarea;scchigherthresholdalarm;50</v>
      </c>
    </row>
    <row r="180" spans="1:11" x14ac:dyDescent="0.3">
      <c r="A180">
        <v>7</v>
      </c>
      <c r="B180" t="s">
        <v>129</v>
      </c>
      <c r="C180" t="s">
        <v>221</v>
      </c>
      <c r="D180" t="b">
        <v>0</v>
      </c>
      <c r="E180" t="s">
        <v>129</v>
      </c>
      <c r="F180" t="s">
        <v>221</v>
      </c>
      <c r="G180">
        <v>50</v>
      </c>
      <c r="H180" t="str">
        <f t="shared" si="8"/>
        <v>FALSE</v>
      </c>
      <c r="I180" t="str">
        <f t="shared" si="9"/>
        <v>FALSE</v>
      </c>
      <c r="J180" t="str">
        <f t="shared" si="10"/>
        <v>FALSE</v>
      </c>
      <c r="K180" t="str">
        <f t="shared" si="11"/>
        <v>functionarea;scclowerthresholdalarm;FALSE;functionarea;scclowerthresholdalarm;50</v>
      </c>
    </row>
    <row r="181" spans="1:11" x14ac:dyDescent="0.3">
      <c r="A181">
        <v>7</v>
      </c>
      <c r="B181" t="s">
        <v>129</v>
      </c>
      <c r="C181" t="s">
        <v>222</v>
      </c>
      <c r="D181" t="b">
        <v>0</v>
      </c>
      <c r="E181" t="s">
        <v>129</v>
      </c>
      <c r="F181" t="s">
        <v>222</v>
      </c>
      <c r="G181">
        <v>50</v>
      </c>
      <c r="H181" t="str">
        <f t="shared" si="8"/>
        <v>FALSE</v>
      </c>
      <c r="I181" t="str">
        <f t="shared" si="9"/>
        <v>FALSE</v>
      </c>
      <c r="J181" t="str">
        <f t="shared" si="10"/>
        <v>FALSE</v>
      </c>
      <c r="K181" t="str">
        <f t="shared" si="11"/>
        <v>functionarea;sersupervisiontimer;FALSE;functionarea;sersupervisiontimer;50</v>
      </c>
    </row>
    <row r="182" spans="1:11" x14ac:dyDescent="0.3">
      <c r="A182">
        <v>7</v>
      </c>
      <c r="B182" t="s">
        <v>129</v>
      </c>
      <c r="C182" t="s">
        <v>75</v>
      </c>
      <c r="D182" t="b">
        <v>0</v>
      </c>
      <c r="E182" t="s">
        <v>129</v>
      </c>
      <c r="F182" t="s">
        <v>75</v>
      </c>
      <c r="G182">
        <v>50</v>
      </c>
      <c r="H182" t="str">
        <f t="shared" si="8"/>
        <v>FALSE</v>
      </c>
      <c r="I182" t="str">
        <f t="shared" si="9"/>
        <v>FALSE</v>
      </c>
      <c r="J182" t="str">
        <f t="shared" si="10"/>
        <v>FALSE</v>
      </c>
      <c r="K182" t="str">
        <f t="shared" si="11"/>
        <v>functionarea;shuttingdowntimer;FALSE;functionarea;shuttingdowntimer;50</v>
      </c>
    </row>
    <row r="183" spans="1:11" x14ac:dyDescent="0.3">
      <c r="A183">
        <v>7</v>
      </c>
      <c r="B183" t="s">
        <v>129</v>
      </c>
      <c r="C183" t="s">
        <v>76</v>
      </c>
      <c r="D183" t="b">
        <v>0</v>
      </c>
      <c r="E183" t="s">
        <v>129</v>
      </c>
      <c r="F183" t="s">
        <v>76</v>
      </c>
      <c r="G183">
        <v>50</v>
      </c>
      <c r="H183" t="str">
        <f t="shared" si="8"/>
        <v>FALSE</v>
      </c>
      <c r="I183" t="str">
        <f t="shared" si="9"/>
        <v>FALSE</v>
      </c>
      <c r="J183" t="str">
        <f t="shared" si="10"/>
        <v>FALSE</v>
      </c>
      <c r="K183" t="str">
        <f t="shared" si="11"/>
        <v>functionarea;signalinglocalport;FALSE;functionarea;signalinglocalport;50</v>
      </c>
    </row>
    <row r="184" spans="1:11" x14ac:dyDescent="0.3">
      <c r="A184">
        <v>7</v>
      </c>
      <c r="B184" t="s">
        <v>129</v>
      </c>
      <c r="C184" t="s">
        <v>77</v>
      </c>
      <c r="D184" t="b">
        <v>0</v>
      </c>
      <c r="E184" t="s">
        <v>129</v>
      </c>
      <c r="F184" t="s">
        <v>77</v>
      </c>
      <c r="G184">
        <v>50</v>
      </c>
      <c r="H184" t="str">
        <f t="shared" si="8"/>
        <v>FALSE</v>
      </c>
      <c r="I184" t="str">
        <f t="shared" si="9"/>
        <v>FALSE</v>
      </c>
      <c r="J184" t="str">
        <f t="shared" si="10"/>
        <v>FALSE</v>
      </c>
      <c r="K184" t="str">
        <f t="shared" si="11"/>
        <v>functionarea;signalingvlanid;FALSE;functionarea;signalingvlanid;50</v>
      </c>
    </row>
    <row r="185" spans="1:11" x14ac:dyDescent="0.3">
      <c r="A185">
        <v>7</v>
      </c>
      <c r="B185" t="s">
        <v>129</v>
      </c>
      <c r="C185" t="s">
        <v>223</v>
      </c>
      <c r="D185" t="b">
        <v>0</v>
      </c>
      <c r="E185" t="s">
        <v>129</v>
      </c>
      <c r="F185" t="s">
        <v>223</v>
      </c>
      <c r="G185">
        <v>50</v>
      </c>
      <c r="H185" t="str">
        <f t="shared" si="8"/>
        <v>FALSE</v>
      </c>
      <c r="I185" t="str">
        <f t="shared" si="9"/>
        <v>FALSE</v>
      </c>
      <c r="J185" t="str">
        <f t="shared" si="10"/>
        <v>FALSE</v>
      </c>
      <c r="K185" t="str">
        <f t="shared" si="11"/>
        <v>functionarea;signallingproxyid;FALSE;functionarea;signallingproxyid;50</v>
      </c>
    </row>
    <row r="186" spans="1:11" x14ac:dyDescent="0.3">
      <c r="A186">
        <v>7</v>
      </c>
      <c r="B186" t="s">
        <v>129</v>
      </c>
      <c r="C186" t="s">
        <v>247</v>
      </c>
      <c r="D186" t="b">
        <v>0</v>
      </c>
      <c r="E186" t="s">
        <v>129</v>
      </c>
      <c r="F186" t="s">
        <v>247</v>
      </c>
      <c r="G186">
        <v>50</v>
      </c>
      <c r="H186" t="str">
        <f t="shared" si="8"/>
        <v>FALSE</v>
      </c>
      <c r="I186" t="str">
        <f t="shared" si="9"/>
        <v>FALSE</v>
      </c>
      <c r="J186" t="str">
        <f t="shared" si="10"/>
        <v>FALSE</v>
      </c>
      <c r="K186" t="str">
        <f t="shared" si="11"/>
        <v>functionarea;site;FALSE;functionarea;site;50</v>
      </c>
    </row>
    <row r="187" spans="1:11" x14ac:dyDescent="0.3">
      <c r="A187">
        <v>7</v>
      </c>
      <c r="B187" t="s">
        <v>129</v>
      </c>
      <c r="C187" t="s">
        <v>78</v>
      </c>
      <c r="D187" t="b">
        <v>0</v>
      </c>
      <c r="E187" t="s">
        <v>129</v>
      </c>
      <c r="F187" t="s">
        <v>78</v>
      </c>
      <c r="G187">
        <v>50</v>
      </c>
      <c r="H187" t="str">
        <f t="shared" si="8"/>
        <v>FALSE</v>
      </c>
      <c r="I187" t="str">
        <f t="shared" si="9"/>
        <v>FALSE</v>
      </c>
      <c r="J187" t="str">
        <f t="shared" si="10"/>
        <v>FALSE</v>
      </c>
      <c r="K187" t="str">
        <f t="shared" si="11"/>
        <v>functionarea;siteid;FALSE;functionarea;siteid;50</v>
      </c>
    </row>
    <row r="188" spans="1:11" x14ac:dyDescent="0.3">
      <c r="A188">
        <v>7</v>
      </c>
      <c r="B188" t="s">
        <v>129</v>
      </c>
      <c r="C188" t="s">
        <v>8</v>
      </c>
      <c r="D188" t="b">
        <v>0</v>
      </c>
      <c r="E188" t="s">
        <v>129</v>
      </c>
      <c r="F188" t="s">
        <v>8</v>
      </c>
      <c r="G188">
        <v>50</v>
      </c>
      <c r="H188" t="str">
        <f t="shared" si="8"/>
        <v>FALSE</v>
      </c>
      <c r="I188" t="str">
        <f t="shared" si="9"/>
        <v>FALSE</v>
      </c>
      <c r="J188" t="str">
        <f t="shared" si="10"/>
        <v>FALSE</v>
      </c>
      <c r="K188" t="str">
        <f t="shared" si="11"/>
        <v>functionarea;sitelocation;FALSE;functionarea;sitelocation;50</v>
      </c>
    </row>
    <row r="189" spans="1:11" x14ac:dyDescent="0.3">
      <c r="A189">
        <v>7</v>
      </c>
      <c r="B189" t="s">
        <v>129</v>
      </c>
      <c r="C189" t="s">
        <v>79</v>
      </c>
      <c r="D189" t="b">
        <v>0</v>
      </c>
      <c r="E189" t="s">
        <v>129</v>
      </c>
      <c r="F189" t="s">
        <v>79</v>
      </c>
      <c r="G189">
        <v>50</v>
      </c>
      <c r="H189" t="str">
        <f t="shared" si="8"/>
        <v>FALSE</v>
      </c>
      <c r="I189" t="str">
        <f t="shared" si="9"/>
        <v>FALSE</v>
      </c>
      <c r="J189" t="str">
        <f t="shared" si="10"/>
        <v>FALSE</v>
      </c>
      <c r="K189" t="str">
        <f t="shared" si="11"/>
        <v>functionarea;slaacinuse;FALSE;functionarea;slaacinuse;50</v>
      </c>
    </row>
    <row r="190" spans="1:11" x14ac:dyDescent="0.3">
      <c r="A190">
        <v>7</v>
      </c>
      <c r="B190" t="s">
        <v>129</v>
      </c>
      <c r="C190" t="s">
        <v>248</v>
      </c>
      <c r="D190" t="b">
        <v>0</v>
      </c>
      <c r="E190" t="s">
        <v>129</v>
      </c>
      <c r="F190" t="s">
        <v>248</v>
      </c>
      <c r="G190">
        <v>50</v>
      </c>
      <c r="H190" t="str">
        <f t="shared" si="8"/>
        <v>FALSE</v>
      </c>
      <c r="I190" t="str">
        <f t="shared" si="9"/>
        <v>FALSE</v>
      </c>
      <c r="J190" t="str">
        <f t="shared" si="10"/>
        <v>FALSE</v>
      </c>
      <c r="K190" t="str">
        <f t="shared" si="11"/>
        <v>functionarea;spdh;FALSE;functionarea;spdh;50</v>
      </c>
    </row>
    <row r="191" spans="1:11" x14ac:dyDescent="0.3">
      <c r="A191">
        <v>7</v>
      </c>
      <c r="B191" t="s">
        <v>129</v>
      </c>
      <c r="C191" t="s">
        <v>224</v>
      </c>
      <c r="D191" t="b">
        <v>0</v>
      </c>
      <c r="E191" t="s">
        <v>129</v>
      </c>
      <c r="F191" t="s">
        <v>224</v>
      </c>
      <c r="G191">
        <v>50</v>
      </c>
      <c r="H191" t="str">
        <f t="shared" si="8"/>
        <v>FALSE</v>
      </c>
      <c r="I191" t="str">
        <f t="shared" si="9"/>
        <v>FALSE</v>
      </c>
      <c r="J191" t="str">
        <f t="shared" si="10"/>
        <v>FALSE</v>
      </c>
      <c r="K191" t="str">
        <f t="shared" si="11"/>
        <v>functionarea;speechactivityfactor;FALSE;functionarea;speechactivityfactor;50</v>
      </c>
    </row>
    <row r="192" spans="1:11" x14ac:dyDescent="0.3">
      <c r="A192">
        <v>7</v>
      </c>
      <c r="B192" t="s">
        <v>129</v>
      </c>
      <c r="C192" t="s">
        <v>225</v>
      </c>
      <c r="D192" t="b">
        <v>0</v>
      </c>
      <c r="E192" t="s">
        <v>129</v>
      </c>
      <c r="F192" t="s">
        <v>225</v>
      </c>
      <c r="G192">
        <v>50</v>
      </c>
      <c r="H192" t="str">
        <f t="shared" si="8"/>
        <v>FALSE</v>
      </c>
      <c r="I192" t="str">
        <f t="shared" si="9"/>
        <v>FALSE</v>
      </c>
      <c r="J192" t="str">
        <f t="shared" si="10"/>
        <v>FALSE</v>
      </c>
      <c r="K192" t="str">
        <f t="shared" si="11"/>
        <v>functionarea;switchfabricid;FALSE;functionarea;switchfabricid;50</v>
      </c>
    </row>
    <row r="193" spans="1:11" x14ac:dyDescent="0.3">
      <c r="A193">
        <v>7</v>
      </c>
      <c r="B193" t="s">
        <v>129</v>
      </c>
      <c r="C193" t="s">
        <v>226</v>
      </c>
      <c r="D193" t="b">
        <v>0</v>
      </c>
      <c r="E193" t="s">
        <v>129</v>
      </c>
      <c r="F193" t="s">
        <v>226</v>
      </c>
      <c r="G193">
        <v>50</v>
      </c>
      <c r="H193" t="str">
        <f t="shared" si="8"/>
        <v>FALSE</v>
      </c>
      <c r="I193" t="str">
        <f t="shared" si="9"/>
        <v>FALSE</v>
      </c>
      <c r="J193" t="str">
        <f t="shared" si="10"/>
        <v>FALSE</v>
      </c>
      <c r="K193" t="str">
        <f t="shared" si="11"/>
        <v>functionarea;swmanagementid;FALSE;functionarea;swmanagementid;50</v>
      </c>
    </row>
    <row r="194" spans="1:11" x14ac:dyDescent="0.3">
      <c r="A194">
        <v>7</v>
      </c>
      <c r="B194" t="s">
        <v>129</v>
      </c>
      <c r="C194" t="s">
        <v>227</v>
      </c>
      <c r="D194" t="b">
        <v>0</v>
      </c>
      <c r="E194" t="s">
        <v>129</v>
      </c>
      <c r="F194" t="s">
        <v>227</v>
      </c>
      <c r="G194">
        <v>50</v>
      </c>
      <c r="H194" t="str">
        <f t="shared" ref="H194:H257" si="12">IF(LEN(C194)&gt;30,"TRUE","FALSE")</f>
        <v>FALSE</v>
      </c>
      <c r="I194" t="str">
        <f t="shared" ref="I194:I257" si="13">IF(LEN(F194)&gt;30,"TRUE","FALSE")</f>
        <v>FALSE</v>
      </c>
      <c r="J194" t="str">
        <f t="shared" ref="J194:J257" si="14">IF(G194&gt;50,"TRUE","FALSE")</f>
        <v>FALSE</v>
      </c>
      <c r="K194" t="str">
        <f t="shared" ref="K194:K257" si="15">CONCATENATE(B194,";",C194,";",D194,";",E194,";",F194,";",G194)</f>
        <v>functionarea;swserverurllist;FALSE;functionarea;swserverurllist;50</v>
      </c>
    </row>
    <row r="195" spans="1:11" x14ac:dyDescent="0.3">
      <c r="A195">
        <v>7</v>
      </c>
      <c r="B195" t="s">
        <v>129</v>
      </c>
      <c r="C195" t="s">
        <v>80</v>
      </c>
      <c r="D195" t="b">
        <v>0</v>
      </c>
      <c r="E195" t="s">
        <v>129</v>
      </c>
      <c r="F195" t="s">
        <v>80</v>
      </c>
      <c r="G195">
        <v>50</v>
      </c>
      <c r="H195" t="str">
        <f t="shared" si="12"/>
        <v>FALSE</v>
      </c>
      <c r="I195" t="str">
        <f t="shared" si="13"/>
        <v>FALSE</v>
      </c>
      <c r="J195" t="str">
        <f t="shared" si="14"/>
        <v>FALSE</v>
      </c>
      <c r="K195" t="str">
        <f t="shared" si="15"/>
        <v>functionarea;swversion;FALSE;functionarea;swversion;50</v>
      </c>
    </row>
    <row r="196" spans="1:11" x14ac:dyDescent="0.3">
      <c r="A196">
        <v>7</v>
      </c>
      <c r="B196" t="s">
        <v>129</v>
      </c>
      <c r="C196" t="s">
        <v>81</v>
      </c>
      <c r="D196" t="b">
        <v>0</v>
      </c>
      <c r="E196" t="s">
        <v>129</v>
      </c>
      <c r="F196" t="s">
        <v>81</v>
      </c>
      <c r="G196">
        <v>50</v>
      </c>
      <c r="H196" t="str">
        <f t="shared" si="12"/>
        <v>FALSE</v>
      </c>
      <c r="I196" t="str">
        <f t="shared" si="13"/>
        <v>FALSE</v>
      </c>
      <c r="J196" t="str">
        <f t="shared" si="14"/>
        <v>FALSE</v>
      </c>
      <c r="K196" t="str">
        <f t="shared" si="15"/>
        <v>functionarea;systemfunctionsid;FALSE;functionarea;systemfunctionsid;50</v>
      </c>
    </row>
    <row r="197" spans="1:11" x14ac:dyDescent="0.3">
      <c r="A197">
        <v>7</v>
      </c>
      <c r="B197" t="s">
        <v>129</v>
      </c>
      <c r="C197" t="s">
        <v>228</v>
      </c>
      <c r="D197" t="b">
        <v>0</v>
      </c>
      <c r="E197" t="s">
        <v>129</v>
      </c>
      <c r="F197" t="s">
        <v>228</v>
      </c>
      <c r="G197">
        <v>50</v>
      </c>
      <c r="H197" t="str">
        <f t="shared" si="12"/>
        <v>FALSE</v>
      </c>
      <c r="I197" t="str">
        <f t="shared" si="13"/>
        <v>FALSE</v>
      </c>
      <c r="J197" t="str">
        <f t="shared" si="14"/>
        <v>FALSE</v>
      </c>
      <c r="K197" t="str">
        <f t="shared" si="15"/>
        <v>functionarea;tfoipemode;FALSE;functionarea;tfoipemode;50</v>
      </c>
    </row>
    <row r="198" spans="1:11" x14ac:dyDescent="0.3">
      <c r="A198">
        <v>7</v>
      </c>
      <c r="B198" t="s">
        <v>129</v>
      </c>
      <c r="C198" t="s">
        <v>82</v>
      </c>
      <c r="D198" t="b">
        <v>0</v>
      </c>
      <c r="E198" t="s">
        <v>129</v>
      </c>
      <c r="F198" t="s">
        <v>82</v>
      </c>
      <c r="G198">
        <v>50</v>
      </c>
      <c r="H198" t="str">
        <f t="shared" si="12"/>
        <v>FALSE</v>
      </c>
      <c r="I198" t="str">
        <f t="shared" si="13"/>
        <v>FALSE</v>
      </c>
      <c r="J198" t="str">
        <f t="shared" si="14"/>
        <v>FALSE</v>
      </c>
      <c r="K198" t="str">
        <f t="shared" si="15"/>
        <v>functionarea;timezone;FALSE;functionarea;timezone;50</v>
      </c>
    </row>
    <row r="199" spans="1:11" x14ac:dyDescent="0.3">
      <c r="A199">
        <v>7</v>
      </c>
      <c r="B199" t="s">
        <v>129</v>
      </c>
      <c r="C199" t="s">
        <v>83</v>
      </c>
      <c r="D199" t="b">
        <v>0</v>
      </c>
      <c r="E199" t="s">
        <v>129</v>
      </c>
      <c r="F199" t="s">
        <v>83</v>
      </c>
      <c r="G199">
        <v>50</v>
      </c>
      <c r="H199" t="str">
        <f t="shared" si="12"/>
        <v>FALSE</v>
      </c>
      <c r="I199" t="str">
        <f t="shared" si="13"/>
        <v>FALSE</v>
      </c>
      <c r="J199" t="str">
        <f t="shared" si="14"/>
        <v>FALSE</v>
      </c>
      <c r="K199" t="str">
        <f t="shared" si="15"/>
        <v>functionarea;transcodingretention;FALSE;functionarea;transcodingretention;50</v>
      </c>
    </row>
    <row r="200" spans="1:11" x14ac:dyDescent="0.3">
      <c r="A200">
        <v>7</v>
      </c>
      <c r="B200" t="s">
        <v>129</v>
      </c>
      <c r="C200" t="s">
        <v>84</v>
      </c>
      <c r="D200" t="b">
        <v>0</v>
      </c>
      <c r="E200" t="s">
        <v>129</v>
      </c>
      <c r="F200" t="s">
        <v>84</v>
      </c>
      <c r="G200">
        <v>50</v>
      </c>
      <c r="H200" t="str">
        <f t="shared" si="12"/>
        <v>FALSE</v>
      </c>
      <c r="I200" t="str">
        <f t="shared" si="13"/>
        <v>FALSE</v>
      </c>
      <c r="J200" t="str">
        <f t="shared" si="14"/>
        <v>FALSE</v>
      </c>
      <c r="K200" t="str">
        <f t="shared" si="15"/>
        <v>functionarea;transportid;FALSE;functionarea;transportid;50</v>
      </c>
    </row>
    <row r="201" spans="1:11" x14ac:dyDescent="0.3">
      <c r="A201">
        <v>7</v>
      </c>
      <c r="B201" t="s">
        <v>129</v>
      </c>
      <c r="C201" t="s">
        <v>249</v>
      </c>
      <c r="D201" t="b">
        <v>0</v>
      </c>
      <c r="E201" t="s">
        <v>129</v>
      </c>
      <c r="F201" t="s">
        <v>249</v>
      </c>
      <c r="G201">
        <v>50</v>
      </c>
      <c r="H201" t="str">
        <f t="shared" si="12"/>
        <v>FALSE</v>
      </c>
      <c r="I201" t="str">
        <f t="shared" si="13"/>
        <v>FALSE</v>
      </c>
      <c r="J201" t="str">
        <f t="shared" si="14"/>
        <v>FALSE</v>
      </c>
      <c r="K201" t="str">
        <f t="shared" si="15"/>
        <v>functionarea;transportnetworkid;FALSE;functionarea;transportnetworkid;50</v>
      </c>
    </row>
    <row r="202" spans="1:11" x14ac:dyDescent="0.3">
      <c r="A202">
        <v>7</v>
      </c>
      <c r="B202" t="s">
        <v>129</v>
      </c>
      <c r="C202" t="s">
        <v>85</v>
      </c>
      <c r="D202" t="b">
        <v>0</v>
      </c>
      <c r="E202" t="s">
        <v>129</v>
      </c>
      <c r="F202" t="s">
        <v>85</v>
      </c>
      <c r="G202">
        <v>50</v>
      </c>
      <c r="H202" t="str">
        <f t="shared" si="12"/>
        <v>FALSE</v>
      </c>
      <c r="I202" t="str">
        <f t="shared" si="13"/>
        <v>FALSE</v>
      </c>
      <c r="J202" t="str">
        <f t="shared" si="14"/>
        <v>FALSE</v>
      </c>
      <c r="K202" t="str">
        <f t="shared" si="15"/>
        <v>functionarea;userdefinedstate;FALSE;functionarea;userdefinedstate;50</v>
      </c>
    </row>
    <row r="203" spans="1:11" x14ac:dyDescent="0.3">
      <c r="A203">
        <v>7</v>
      </c>
      <c r="B203" t="s">
        <v>129</v>
      </c>
      <c r="C203" t="s">
        <v>87</v>
      </c>
      <c r="D203" t="b">
        <v>0</v>
      </c>
      <c r="E203" t="s">
        <v>129</v>
      </c>
      <c r="F203" t="s">
        <v>87</v>
      </c>
      <c r="G203">
        <v>50</v>
      </c>
      <c r="H203" t="str">
        <f t="shared" si="12"/>
        <v>FALSE</v>
      </c>
      <c r="I203" t="str">
        <f t="shared" si="13"/>
        <v>FALSE</v>
      </c>
      <c r="J203" t="str">
        <f t="shared" si="14"/>
        <v>FALSE</v>
      </c>
      <c r="K203" t="str">
        <f t="shared" si="15"/>
        <v>functionarea;vendorname;FALSE;functionarea;vendorname;50</v>
      </c>
    </row>
    <row r="204" spans="1:11" x14ac:dyDescent="0.3">
      <c r="A204">
        <v>7</v>
      </c>
      <c r="B204" t="s">
        <v>129</v>
      </c>
      <c r="C204" t="s">
        <v>229</v>
      </c>
      <c r="D204" t="b">
        <v>0</v>
      </c>
      <c r="E204" t="s">
        <v>129</v>
      </c>
      <c r="F204" t="s">
        <v>229</v>
      </c>
      <c r="G204">
        <v>50</v>
      </c>
      <c r="H204" t="str">
        <f t="shared" si="12"/>
        <v>FALSE</v>
      </c>
      <c r="I204" t="str">
        <f t="shared" si="13"/>
        <v>FALSE</v>
      </c>
      <c r="J204" t="str">
        <f t="shared" si="14"/>
        <v>FALSE</v>
      </c>
      <c r="K204" t="str">
        <f t="shared" si="15"/>
        <v>functionarea;voiphigherthresholdalarm;FALSE;functionarea;voiphigherthresholdalarm;50</v>
      </c>
    </row>
    <row r="205" spans="1:11" x14ac:dyDescent="0.3">
      <c r="A205">
        <v>7</v>
      </c>
      <c r="B205" t="s">
        <v>129</v>
      </c>
      <c r="C205" t="s">
        <v>230</v>
      </c>
      <c r="D205" t="b">
        <v>0</v>
      </c>
      <c r="E205" t="s">
        <v>129</v>
      </c>
      <c r="F205" t="s">
        <v>230</v>
      </c>
      <c r="G205">
        <v>50</v>
      </c>
      <c r="H205" t="str">
        <f t="shared" si="12"/>
        <v>FALSE</v>
      </c>
      <c r="I205" t="str">
        <f t="shared" si="13"/>
        <v>FALSE</v>
      </c>
      <c r="J205" t="str">
        <f t="shared" si="14"/>
        <v>FALSE</v>
      </c>
      <c r="K205" t="str">
        <f t="shared" si="15"/>
        <v>functionarea;voiplowerthresholdalarm;FALSE;functionarea;voiplowerthresholdalarm;50</v>
      </c>
    </row>
    <row r="206" spans="1:11" x14ac:dyDescent="0.3">
      <c r="A206">
        <v>7</v>
      </c>
      <c r="B206" t="s">
        <v>129</v>
      </c>
      <c r="C206" t="s">
        <v>47</v>
      </c>
      <c r="D206" t="b">
        <v>0</v>
      </c>
      <c r="E206" t="s">
        <v>129</v>
      </c>
      <c r="F206" t="s">
        <v>47</v>
      </c>
      <c r="G206">
        <v>60</v>
      </c>
      <c r="H206" t="str">
        <f t="shared" si="12"/>
        <v>FALSE</v>
      </c>
      <c r="I206" t="str">
        <f t="shared" si="13"/>
        <v>FALSE</v>
      </c>
      <c r="J206" t="str">
        <f t="shared" si="14"/>
        <v>TRUE</v>
      </c>
      <c r="K206" t="str">
        <f t="shared" si="15"/>
        <v>functionarea;dnprefix;FALSE;functionarea;dnprefix;60</v>
      </c>
    </row>
    <row r="207" spans="1:11" x14ac:dyDescent="0.3">
      <c r="A207">
        <v>7</v>
      </c>
      <c r="B207" t="s">
        <v>129</v>
      </c>
      <c r="C207" t="s">
        <v>86</v>
      </c>
      <c r="D207" t="b">
        <v>0</v>
      </c>
      <c r="E207" t="s">
        <v>129</v>
      </c>
      <c r="F207" t="s">
        <v>86</v>
      </c>
      <c r="G207">
        <v>400</v>
      </c>
      <c r="H207" t="str">
        <f t="shared" si="12"/>
        <v>FALSE</v>
      </c>
      <c r="I207" t="str">
        <f t="shared" si="13"/>
        <v>FALSE</v>
      </c>
      <c r="J207" t="str">
        <f t="shared" si="14"/>
        <v>TRUE</v>
      </c>
      <c r="K207" t="str">
        <f t="shared" si="15"/>
        <v>functionarea;userlabel;FALSE;functionarea;userlabel;400</v>
      </c>
    </row>
    <row r="208" spans="1:11" x14ac:dyDescent="0.3">
      <c r="A208">
        <v>7</v>
      </c>
      <c r="B208" t="s">
        <v>129</v>
      </c>
      <c r="C208" t="s">
        <v>279</v>
      </c>
      <c r="D208" t="b">
        <v>0</v>
      </c>
      <c r="E208" t="s">
        <v>129</v>
      </c>
      <c r="F208" t="s">
        <v>250</v>
      </c>
      <c r="G208">
        <v>50</v>
      </c>
      <c r="H208" t="str">
        <f t="shared" si="12"/>
        <v>TRUE</v>
      </c>
      <c r="I208" t="str">
        <f t="shared" si="13"/>
        <v>FALSE</v>
      </c>
      <c r="J208" t="str">
        <f t="shared" si="14"/>
        <v>FALSE</v>
      </c>
      <c r="K208" t="str">
        <f t="shared" si="15"/>
        <v>functionarea;licensecapacityaudioconferencing;FALSE;functionarea;licensecapacityaudioconference;50</v>
      </c>
    </row>
    <row r="209" spans="1:11" x14ac:dyDescent="0.3">
      <c r="A209">
        <v>7</v>
      </c>
      <c r="B209" t="s">
        <v>129</v>
      </c>
      <c r="C209" t="s">
        <v>280</v>
      </c>
      <c r="D209" t="b">
        <v>0</v>
      </c>
      <c r="E209" t="s">
        <v>129</v>
      </c>
      <c r="F209" t="s">
        <v>252</v>
      </c>
      <c r="G209">
        <v>50</v>
      </c>
      <c r="H209" t="str">
        <f t="shared" si="12"/>
        <v>TRUE</v>
      </c>
      <c r="I209" t="str">
        <f t="shared" si="13"/>
        <v>FALSE</v>
      </c>
      <c r="J209" t="str">
        <f t="shared" si="14"/>
        <v>FALSE</v>
      </c>
      <c r="K209" t="str">
        <f t="shared" si="15"/>
        <v>functionarea;licensecapacityhdvideoconferencing;FALSE;functionarea;licensecapacityhdvidoconfernce;50</v>
      </c>
    </row>
    <row r="210" spans="1:11" x14ac:dyDescent="0.3">
      <c r="A210">
        <v>7</v>
      </c>
      <c r="B210" t="s">
        <v>129</v>
      </c>
      <c r="C210" t="s">
        <v>278</v>
      </c>
      <c r="D210" t="b">
        <v>0</v>
      </c>
      <c r="E210" t="s">
        <v>129</v>
      </c>
      <c r="F210" t="s">
        <v>251</v>
      </c>
      <c r="G210">
        <v>50</v>
      </c>
      <c r="H210" t="str">
        <f t="shared" si="12"/>
        <v>TRUE</v>
      </c>
      <c r="I210" t="str">
        <f t="shared" si="13"/>
        <v>FALSE</v>
      </c>
      <c r="J210" t="str">
        <f t="shared" si="14"/>
        <v>FALSE</v>
      </c>
      <c r="K210" t="str">
        <f t="shared" si="15"/>
        <v>functionarea;licensecapacityvideoconferencing;FALSE;functionarea;licensecapacityvideoconference;50</v>
      </c>
    </row>
    <row r="211" spans="1:11" x14ac:dyDescent="0.3">
      <c r="A211">
        <v>7</v>
      </c>
      <c r="B211" t="s">
        <v>129</v>
      </c>
      <c r="C211" t="s">
        <v>282</v>
      </c>
      <c r="D211" t="b">
        <v>0</v>
      </c>
      <c r="E211" t="s">
        <v>129</v>
      </c>
      <c r="F211" t="s">
        <v>427</v>
      </c>
      <c r="G211">
        <v>50</v>
      </c>
      <c r="H211" t="str">
        <f t="shared" si="12"/>
        <v>TRUE</v>
      </c>
      <c r="I211" t="str">
        <f t="shared" si="13"/>
        <v>FALSE</v>
      </c>
      <c r="J211" t="str">
        <f t="shared" si="14"/>
        <v>FALSE</v>
      </c>
      <c r="K211" t="str">
        <f t="shared" si="15"/>
        <v>functionarea;mtasfunctionadministrativestate;FALSE;functionarea;mtas_administrativestate;50</v>
      </c>
    </row>
    <row r="212" spans="1:11" x14ac:dyDescent="0.3">
      <c r="A212">
        <v>7</v>
      </c>
      <c r="B212" t="s">
        <v>129</v>
      </c>
      <c r="C212" t="s">
        <v>259</v>
      </c>
      <c r="D212" t="b">
        <v>0</v>
      </c>
      <c r="E212" t="s">
        <v>129</v>
      </c>
      <c r="F212" t="s">
        <v>434</v>
      </c>
      <c r="G212">
        <v>50</v>
      </c>
      <c r="H212" t="str">
        <f t="shared" si="12"/>
        <v>TRUE</v>
      </c>
      <c r="I212" t="str">
        <f t="shared" si="13"/>
        <v>FALSE</v>
      </c>
      <c r="J212" t="str">
        <f t="shared" si="14"/>
        <v>FALSE</v>
      </c>
      <c r="K212" t="str">
        <f t="shared" si="15"/>
        <v>functionarea;mtasfunctionadministrativestateafterrestart;FALSE;functionarea;mtas_admin_stateafterrestrt;50</v>
      </c>
    </row>
    <row r="213" spans="1:11" x14ac:dyDescent="0.3">
      <c r="A213">
        <v>7</v>
      </c>
      <c r="B213" t="s">
        <v>129</v>
      </c>
      <c r="C213" t="s">
        <v>284</v>
      </c>
      <c r="D213" t="b">
        <v>0</v>
      </c>
      <c r="E213" t="s">
        <v>129</v>
      </c>
      <c r="F213" t="s">
        <v>431</v>
      </c>
      <c r="G213">
        <v>50</v>
      </c>
      <c r="H213" t="str">
        <f t="shared" si="12"/>
        <v>TRUE</v>
      </c>
      <c r="I213" t="str">
        <f t="shared" si="13"/>
        <v>FALSE</v>
      </c>
      <c r="J213" t="str">
        <f t="shared" si="14"/>
        <v>FALSE</v>
      </c>
      <c r="K213" t="str">
        <f t="shared" si="15"/>
        <v>functionarea;mtasfunctionmaxnumberofsessions;FALSE;functionarea;mtas_maxnumofsessions;50</v>
      </c>
    </row>
    <row r="214" spans="1:11" x14ac:dyDescent="0.3">
      <c r="A214">
        <v>7</v>
      </c>
      <c r="B214" t="s">
        <v>129</v>
      </c>
      <c r="C214" t="s">
        <v>1272</v>
      </c>
      <c r="D214" t="b">
        <v>0</v>
      </c>
      <c r="E214" t="s">
        <v>129</v>
      </c>
      <c r="F214" t="s">
        <v>430</v>
      </c>
      <c r="G214">
        <v>50</v>
      </c>
      <c r="H214" t="str">
        <f t="shared" si="12"/>
        <v>TRUE</v>
      </c>
      <c r="I214" t="str">
        <f t="shared" si="13"/>
        <v>FALSE</v>
      </c>
      <c r="J214" t="str">
        <f t="shared" si="14"/>
        <v>FALSE</v>
      </c>
      <c r="K214" t="str">
        <f t="shared" si="15"/>
        <v>functionarea;mtasfunctionmaxnumberOfsessions;FALSE;functionarea;mtas_maxnumofsesionsaction;50</v>
      </c>
    </row>
    <row r="215" spans="1:11" x14ac:dyDescent="0.3">
      <c r="A215">
        <v>7</v>
      </c>
      <c r="B215" t="s">
        <v>129</v>
      </c>
      <c r="C215" t="s">
        <v>253</v>
      </c>
      <c r="D215" t="b">
        <v>0</v>
      </c>
      <c r="E215" t="s">
        <v>129</v>
      </c>
      <c r="F215" t="s">
        <v>430</v>
      </c>
      <c r="G215">
        <v>50</v>
      </c>
      <c r="H215" t="str">
        <f t="shared" si="12"/>
        <v>TRUE</v>
      </c>
      <c r="I215" t="str">
        <f t="shared" si="13"/>
        <v>FALSE</v>
      </c>
      <c r="J215" t="str">
        <f t="shared" si="14"/>
        <v>FALSE</v>
      </c>
      <c r="K215" t="str">
        <f t="shared" si="15"/>
        <v>functionarea;mtasfunctionmaxnumberofsessionsaction;FALSE;functionarea;mtas_maxnumofsesionsaction;50</v>
      </c>
    </row>
    <row r="216" spans="1:11" x14ac:dyDescent="0.3">
      <c r="A216">
        <v>7</v>
      </c>
      <c r="B216" t="s">
        <v>129</v>
      </c>
      <c r="C216" t="s">
        <v>285</v>
      </c>
      <c r="D216" t="b">
        <v>0</v>
      </c>
      <c r="E216" t="s">
        <v>129</v>
      </c>
      <c r="F216" t="s">
        <v>432</v>
      </c>
      <c r="G216">
        <v>50</v>
      </c>
      <c r="H216" t="str">
        <f t="shared" si="12"/>
        <v>TRUE</v>
      </c>
      <c r="I216" t="str">
        <f t="shared" si="13"/>
        <v>FALSE</v>
      </c>
      <c r="J216" t="str">
        <f t="shared" si="14"/>
        <v>FALSE</v>
      </c>
      <c r="K216" t="str">
        <f t="shared" si="15"/>
        <v>functionarea;mtasfunctionmaxnumberofsubscriptionsessions;FALSE;functionarea;mtas_maxnumsubscriptsesion;50</v>
      </c>
    </row>
    <row r="217" spans="1:11" x14ac:dyDescent="0.3">
      <c r="A217">
        <v>7</v>
      </c>
      <c r="B217" t="s">
        <v>129</v>
      </c>
      <c r="C217" t="s">
        <v>283</v>
      </c>
      <c r="D217" t="b">
        <v>0</v>
      </c>
      <c r="E217" t="s">
        <v>129</v>
      </c>
      <c r="F217" t="s">
        <v>429</v>
      </c>
      <c r="G217">
        <v>50</v>
      </c>
      <c r="H217" t="str">
        <f t="shared" si="12"/>
        <v>TRUE</v>
      </c>
      <c r="I217" t="str">
        <f t="shared" si="13"/>
        <v>FALSE</v>
      </c>
      <c r="J217" t="str">
        <f t="shared" si="14"/>
        <v>FALSE</v>
      </c>
      <c r="K217" t="str">
        <f t="shared" si="15"/>
        <v>functionarea;mtasfunctionnotfulldiskpercentage;FALSE;functionarea;mtas_notfulldiskpercentage;50</v>
      </c>
    </row>
    <row r="218" spans="1:11" x14ac:dyDescent="0.3">
      <c r="A218">
        <v>7</v>
      </c>
      <c r="B218" t="s">
        <v>129</v>
      </c>
      <c r="C218" t="s">
        <v>346</v>
      </c>
      <c r="D218" t="b">
        <v>0</v>
      </c>
      <c r="E218" t="s">
        <v>129</v>
      </c>
      <c r="F218" t="s">
        <v>433</v>
      </c>
      <c r="G218">
        <v>50</v>
      </c>
      <c r="H218" t="str">
        <f t="shared" si="12"/>
        <v>TRUE</v>
      </c>
      <c r="I218" t="str">
        <f t="shared" si="13"/>
        <v>FALSE</v>
      </c>
      <c r="J218" t="str">
        <f t="shared" si="14"/>
        <v>FALSE</v>
      </c>
      <c r="K218" t="str">
        <f t="shared" si="15"/>
        <v>functionarea;mtasfunctionscalingterminatewaittime;FALSE;functionarea;mtas_scalingterminatwaitime;50</v>
      </c>
    </row>
    <row r="219" spans="1:11" x14ac:dyDescent="0.3">
      <c r="A219">
        <v>7</v>
      </c>
      <c r="B219" t="s">
        <v>129</v>
      </c>
      <c r="C219" t="s">
        <v>281</v>
      </c>
      <c r="D219" t="b">
        <v>0</v>
      </c>
      <c r="E219" t="s">
        <v>129</v>
      </c>
      <c r="F219" t="s">
        <v>425</v>
      </c>
      <c r="G219">
        <v>50</v>
      </c>
      <c r="H219" t="str">
        <f t="shared" si="12"/>
        <v>TRUE</v>
      </c>
      <c r="I219" t="str">
        <f t="shared" si="13"/>
        <v>FALSE</v>
      </c>
      <c r="J219" t="str">
        <f t="shared" si="14"/>
        <v>FALSE</v>
      </c>
      <c r="K219" t="str">
        <f t="shared" si="15"/>
        <v>functionarea;mtasfunctionvtpadministrativestate;FALSE;functionarea;mtas_vtpadmin_state;50</v>
      </c>
    </row>
    <row r="220" spans="1:11" x14ac:dyDescent="0.3">
      <c r="A220">
        <v>8</v>
      </c>
      <c r="B220" t="s">
        <v>130</v>
      </c>
      <c r="C220" t="s">
        <v>781</v>
      </c>
      <c r="D220" t="b">
        <v>0</v>
      </c>
      <c r="E220" t="s">
        <v>130</v>
      </c>
      <c r="F220" t="s">
        <v>781</v>
      </c>
      <c r="G220">
        <v>50</v>
      </c>
      <c r="H220" t="str">
        <f t="shared" si="12"/>
        <v>FALSE</v>
      </c>
      <c r="I220" t="str">
        <f t="shared" si="13"/>
        <v>FALSE</v>
      </c>
      <c r="J220" t="str">
        <f t="shared" si="14"/>
        <v>FALSE</v>
      </c>
      <c r="K220" t="str">
        <f t="shared" si="15"/>
        <v>subfunctionarea;a2ea;FALSE;subfunctionarea;a2ea;50</v>
      </c>
    </row>
    <row r="221" spans="1:11" x14ac:dyDescent="0.3">
      <c r="A221">
        <v>8</v>
      </c>
      <c r="B221" t="s">
        <v>130</v>
      </c>
      <c r="C221" t="s">
        <v>782</v>
      </c>
      <c r="D221" t="b">
        <v>0</v>
      </c>
      <c r="E221" t="s">
        <v>130</v>
      </c>
      <c r="F221" t="s">
        <v>782</v>
      </c>
      <c r="G221">
        <v>50</v>
      </c>
      <c r="H221" t="str">
        <f t="shared" si="12"/>
        <v>FALSE</v>
      </c>
      <c r="I221" t="str">
        <f t="shared" si="13"/>
        <v>FALSE</v>
      </c>
      <c r="J221" t="str">
        <f t="shared" si="14"/>
        <v>FALSE</v>
      </c>
      <c r="K221" t="str">
        <f t="shared" si="15"/>
        <v>subfunctionarea;aal2spid;FALSE;subfunctionarea;aal2spid;50</v>
      </c>
    </row>
    <row r="222" spans="1:11" x14ac:dyDescent="0.3">
      <c r="A222">
        <v>8</v>
      </c>
      <c r="B222" t="s">
        <v>130</v>
      </c>
      <c r="C222" t="s">
        <v>1270</v>
      </c>
      <c r="D222" t="b">
        <v>0</v>
      </c>
      <c r="E222" t="s">
        <v>130</v>
      </c>
      <c r="F222" t="s">
        <v>1270</v>
      </c>
      <c r="G222">
        <v>50</v>
      </c>
      <c r="H222" t="str">
        <f t="shared" si="12"/>
        <v>FALSE</v>
      </c>
      <c r="I222" t="str">
        <f t="shared" si="13"/>
        <v>FALSE</v>
      </c>
      <c r="J222" t="str">
        <f t="shared" si="14"/>
        <v>FALSE</v>
      </c>
      <c r="K222" t="str">
        <f t="shared" si="15"/>
        <v>subfunctionarea;actioncapable;FALSE;subfunctionarea;actioncapable;50</v>
      </c>
    </row>
    <row r="223" spans="1:11" x14ac:dyDescent="0.3">
      <c r="A223">
        <v>8</v>
      </c>
      <c r="B223" t="s">
        <v>130</v>
      </c>
      <c r="C223" t="s">
        <v>783</v>
      </c>
      <c r="D223" t="b">
        <v>0</v>
      </c>
      <c r="E223" t="s">
        <v>130</v>
      </c>
      <c r="F223" t="s">
        <v>783</v>
      </c>
      <c r="G223">
        <v>50</v>
      </c>
      <c r="H223" t="str">
        <f t="shared" si="12"/>
        <v>FALSE</v>
      </c>
      <c r="I223" t="str">
        <f t="shared" si="13"/>
        <v>FALSE</v>
      </c>
      <c r="J223" t="str">
        <f t="shared" si="14"/>
        <v>FALSE</v>
      </c>
      <c r="K223" t="str">
        <f t="shared" si="15"/>
        <v>subfunctionarea;activegcptransportlayer;FALSE;subfunctionarea;activegcptransportlayer;50</v>
      </c>
    </row>
    <row r="224" spans="1:11" x14ac:dyDescent="0.3">
      <c r="A224">
        <v>8</v>
      </c>
      <c r="B224" t="s">
        <v>130</v>
      </c>
      <c r="C224" t="s">
        <v>406</v>
      </c>
      <c r="D224" t="b">
        <v>0</v>
      </c>
      <c r="E224" t="s">
        <v>130</v>
      </c>
      <c r="F224" t="s">
        <v>406</v>
      </c>
      <c r="G224">
        <v>50</v>
      </c>
      <c r="H224" t="str">
        <f t="shared" si="12"/>
        <v>FALSE</v>
      </c>
      <c r="I224" t="str">
        <f t="shared" si="13"/>
        <v>FALSE</v>
      </c>
      <c r="J224" t="str">
        <f t="shared" si="14"/>
        <v>FALSE</v>
      </c>
      <c r="K224" t="str">
        <f t="shared" si="15"/>
        <v>subfunctionarea;activeswversion;FALSE;subfunctionarea;activeswversion;50</v>
      </c>
    </row>
    <row r="225" spans="1:11" x14ac:dyDescent="0.3">
      <c r="A225">
        <v>8</v>
      </c>
      <c r="B225" t="s">
        <v>130</v>
      </c>
      <c r="C225" t="s">
        <v>1269</v>
      </c>
      <c r="D225" t="b">
        <v>0</v>
      </c>
      <c r="E225" t="s">
        <v>130</v>
      </c>
      <c r="F225" t="s">
        <v>1269</v>
      </c>
      <c r="G225">
        <v>50</v>
      </c>
      <c r="H225" t="str">
        <f t="shared" si="12"/>
        <v>FALSE</v>
      </c>
      <c r="I225" t="str">
        <f t="shared" si="13"/>
        <v>FALSE</v>
      </c>
      <c r="J225" t="str">
        <f t="shared" si="14"/>
        <v>FALSE</v>
      </c>
      <c r="K225" t="str">
        <f t="shared" si="15"/>
        <v>subfunctionarea;administrativestate;FALSE;subfunctionarea;administrativestate;50</v>
      </c>
    </row>
    <row r="226" spans="1:11" x14ac:dyDescent="0.3">
      <c r="A226">
        <v>8</v>
      </c>
      <c r="B226" t="s">
        <v>130</v>
      </c>
      <c r="C226" t="s">
        <v>784</v>
      </c>
      <c r="D226" t="b">
        <v>0</v>
      </c>
      <c r="E226" t="s">
        <v>130</v>
      </c>
      <c r="F226" t="s">
        <v>784</v>
      </c>
      <c r="G226">
        <v>50</v>
      </c>
      <c r="H226" t="str">
        <f t="shared" si="12"/>
        <v>FALSE</v>
      </c>
      <c r="I226" t="str">
        <f t="shared" si="13"/>
        <v>FALSE</v>
      </c>
      <c r="J226" t="str">
        <f t="shared" si="14"/>
        <v>FALSE</v>
      </c>
      <c r="K226" t="str">
        <f t="shared" si="15"/>
        <v>subfunctionarea;admmain;FALSE;subfunctionarea;admmain;50</v>
      </c>
    </row>
    <row r="227" spans="1:11" x14ac:dyDescent="0.3">
      <c r="A227">
        <v>8</v>
      </c>
      <c r="B227" t="s">
        <v>130</v>
      </c>
      <c r="C227" t="s">
        <v>785</v>
      </c>
      <c r="D227" t="b">
        <v>0</v>
      </c>
      <c r="E227" t="s">
        <v>130</v>
      </c>
      <c r="F227" t="s">
        <v>785</v>
      </c>
      <c r="G227">
        <v>100</v>
      </c>
      <c r="H227" t="str">
        <f t="shared" si="12"/>
        <v>FALSE</v>
      </c>
      <c r="I227" t="str">
        <f t="shared" si="13"/>
        <v>FALSE</v>
      </c>
      <c r="J227" t="str">
        <f t="shared" si="14"/>
        <v>TRUE</v>
      </c>
      <c r="K227" t="str">
        <f t="shared" si="15"/>
        <v>subfunctionarea;admoptions;FALSE;subfunctionarea;admoptions;100</v>
      </c>
    </row>
    <row r="228" spans="1:11" x14ac:dyDescent="0.3">
      <c r="A228">
        <v>8</v>
      </c>
      <c r="B228" t="s">
        <v>130</v>
      </c>
      <c r="C228" t="s">
        <v>1268</v>
      </c>
      <c r="D228" t="b">
        <v>0</v>
      </c>
      <c r="E228" t="s">
        <v>130</v>
      </c>
      <c r="F228" t="s">
        <v>1268</v>
      </c>
      <c r="G228">
        <v>50</v>
      </c>
      <c r="H228" t="str">
        <f t="shared" si="12"/>
        <v>FALSE</v>
      </c>
      <c r="I228" t="str">
        <f t="shared" si="13"/>
        <v>FALSE</v>
      </c>
      <c r="J228" t="str">
        <f t="shared" si="14"/>
        <v>FALSE</v>
      </c>
      <c r="K228" t="str">
        <f t="shared" si="15"/>
        <v>subfunctionarea;alphaindex;FALSE;subfunctionarea;alphaindex;50</v>
      </c>
    </row>
    <row r="229" spans="1:11" x14ac:dyDescent="0.3">
      <c r="A229">
        <v>8</v>
      </c>
      <c r="B229" t="s">
        <v>130</v>
      </c>
      <c r="C229" t="s">
        <v>786</v>
      </c>
      <c r="D229" t="b">
        <v>0</v>
      </c>
      <c r="E229" t="s">
        <v>130</v>
      </c>
      <c r="F229" t="s">
        <v>786</v>
      </c>
      <c r="G229">
        <v>50</v>
      </c>
      <c r="H229" t="str">
        <f t="shared" si="12"/>
        <v>FALSE</v>
      </c>
      <c r="I229" t="str">
        <f t="shared" si="13"/>
        <v>FALSE</v>
      </c>
      <c r="J229" t="str">
        <f t="shared" si="14"/>
        <v>FALSE</v>
      </c>
      <c r="K229" t="str">
        <f t="shared" si="15"/>
        <v>subfunctionarea;amrserviceid;FALSE;subfunctionarea;amrserviceid;50</v>
      </c>
    </row>
    <row r="230" spans="1:11" x14ac:dyDescent="0.3">
      <c r="A230">
        <v>8</v>
      </c>
      <c r="B230" t="s">
        <v>130</v>
      </c>
      <c r="C230" t="s">
        <v>1267</v>
      </c>
      <c r="D230" t="b">
        <v>0</v>
      </c>
      <c r="E230" t="s">
        <v>130</v>
      </c>
      <c r="F230" t="s">
        <v>1267</v>
      </c>
      <c r="G230">
        <v>50</v>
      </c>
      <c r="H230" t="str">
        <f t="shared" si="12"/>
        <v>FALSE</v>
      </c>
      <c r="I230" t="str">
        <f t="shared" si="13"/>
        <v>FALSE</v>
      </c>
      <c r="J230" t="str">
        <f t="shared" si="14"/>
        <v>FALSE</v>
      </c>
      <c r="K230" t="str">
        <f t="shared" si="15"/>
        <v>subfunctionarea;announcementsid;FALSE;subfunctionarea;announcementsid;50</v>
      </c>
    </row>
    <row r="231" spans="1:11" x14ac:dyDescent="0.3">
      <c r="A231">
        <v>8</v>
      </c>
      <c r="B231" t="s">
        <v>130</v>
      </c>
      <c r="C231" t="s">
        <v>41</v>
      </c>
      <c r="D231" t="b">
        <v>0</v>
      </c>
      <c r="E231" t="s">
        <v>130</v>
      </c>
      <c r="F231" t="s">
        <v>41</v>
      </c>
      <c r="G231">
        <v>50</v>
      </c>
      <c r="H231" t="str">
        <f t="shared" si="12"/>
        <v>FALSE</v>
      </c>
      <c r="I231" t="str">
        <f t="shared" si="13"/>
        <v>FALSE</v>
      </c>
      <c r="J231" t="str">
        <f t="shared" si="14"/>
        <v>FALSE</v>
      </c>
      <c r="K231" t="str">
        <f t="shared" si="15"/>
        <v>subfunctionarea;applicationname;FALSE;subfunctionarea;applicationname;50</v>
      </c>
    </row>
    <row r="232" spans="1:11" x14ac:dyDescent="0.3">
      <c r="A232">
        <v>8</v>
      </c>
      <c r="B232" t="s">
        <v>130</v>
      </c>
      <c r="C232" t="s">
        <v>435</v>
      </c>
      <c r="D232" t="b">
        <v>0</v>
      </c>
      <c r="E232" t="s">
        <v>130</v>
      </c>
      <c r="F232" t="s">
        <v>435</v>
      </c>
      <c r="G232">
        <v>50</v>
      </c>
      <c r="H232" t="str">
        <f t="shared" si="12"/>
        <v>FALSE</v>
      </c>
      <c r="I232" t="str">
        <f t="shared" si="13"/>
        <v>FALSE</v>
      </c>
      <c r="J232" t="str">
        <f t="shared" si="14"/>
        <v>FALSE</v>
      </c>
      <c r="K232" t="str">
        <f t="shared" si="15"/>
        <v>subfunctionarea;area1;FALSE;subfunctionarea;area1;50</v>
      </c>
    </row>
    <row r="233" spans="1:11" x14ac:dyDescent="0.3">
      <c r="A233">
        <v>8</v>
      </c>
      <c r="B233" t="s">
        <v>130</v>
      </c>
      <c r="C233" t="s">
        <v>1266</v>
      </c>
      <c r="D233" t="b">
        <v>0</v>
      </c>
      <c r="E233" t="s">
        <v>130</v>
      </c>
      <c r="F233" t="s">
        <v>1266</v>
      </c>
      <c r="G233">
        <v>50</v>
      </c>
      <c r="H233" t="str">
        <f t="shared" si="12"/>
        <v>FALSE</v>
      </c>
      <c r="I233" t="str">
        <f t="shared" si="13"/>
        <v>FALSE</v>
      </c>
      <c r="J233" t="str">
        <f t="shared" si="14"/>
        <v>FALSE</v>
      </c>
      <c r="K233" t="str">
        <f t="shared" si="15"/>
        <v>subfunctionarea;assocmaxrtx;FALSE;subfunctionarea;assocmaxrtx;50</v>
      </c>
    </row>
    <row r="234" spans="1:11" x14ac:dyDescent="0.3">
      <c r="A234">
        <v>8</v>
      </c>
      <c r="B234" t="s">
        <v>130</v>
      </c>
      <c r="C234" t="s">
        <v>787</v>
      </c>
      <c r="D234" t="b">
        <v>0</v>
      </c>
      <c r="E234" t="s">
        <v>130</v>
      </c>
      <c r="F234" t="s">
        <v>787</v>
      </c>
      <c r="G234">
        <v>50</v>
      </c>
      <c r="H234" t="str">
        <f t="shared" si="12"/>
        <v>FALSE</v>
      </c>
      <c r="I234" t="str">
        <f t="shared" si="13"/>
        <v>FALSE</v>
      </c>
      <c r="J234" t="str">
        <f t="shared" si="14"/>
        <v>FALSE</v>
      </c>
      <c r="K234" t="str">
        <f t="shared" si="15"/>
        <v>subfunctionarea;autoconfig;FALSE;subfunctionarea;autoconfig;50</v>
      </c>
    </row>
    <row r="235" spans="1:11" x14ac:dyDescent="0.3">
      <c r="A235">
        <v>8</v>
      </c>
      <c r="B235" t="s">
        <v>130</v>
      </c>
      <c r="C235" t="s">
        <v>788</v>
      </c>
      <c r="D235" t="b">
        <v>0</v>
      </c>
      <c r="E235" t="s">
        <v>130</v>
      </c>
      <c r="F235" t="s">
        <v>788</v>
      </c>
      <c r="G235">
        <v>50</v>
      </c>
      <c r="H235" t="str">
        <f t="shared" si="12"/>
        <v>FALSE</v>
      </c>
      <c r="I235" t="str">
        <f t="shared" si="13"/>
        <v>FALSE</v>
      </c>
      <c r="J235" t="str">
        <f t="shared" si="14"/>
        <v>FALSE</v>
      </c>
      <c r="K235" t="str">
        <f t="shared" si="15"/>
        <v>subfunctionarea;autoconfigidentity;FALSE;subfunctionarea;autoconfigidentity;50</v>
      </c>
    </row>
    <row r="236" spans="1:11" x14ac:dyDescent="0.3">
      <c r="A236">
        <v>8</v>
      </c>
      <c r="B236" t="s">
        <v>130</v>
      </c>
      <c r="C236" t="s">
        <v>789</v>
      </c>
      <c r="D236" t="b">
        <v>0</v>
      </c>
      <c r="E236" t="s">
        <v>130</v>
      </c>
      <c r="F236" t="s">
        <v>789</v>
      </c>
      <c r="G236">
        <v>50</v>
      </c>
      <c r="H236" t="str">
        <f t="shared" si="12"/>
        <v>FALSE</v>
      </c>
      <c r="I236" t="str">
        <f t="shared" si="13"/>
        <v>FALSE</v>
      </c>
      <c r="J236" t="str">
        <f t="shared" si="14"/>
        <v>FALSE</v>
      </c>
      <c r="K236" t="str">
        <f t="shared" si="15"/>
        <v>subfunctionarea;autoconfigidentity2;FALSE;subfunctionarea;autoconfigidentity2;50</v>
      </c>
    </row>
    <row r="237" spans="1:11" x14ac:dyDescent="0.3">
      <c r="A237">
        <v>8</v>
      </c>
      <c r="B237" t="s">
        <v>130</v>
      </c>
      <c r="C237" t="s">
        <v>790</v>
      </c>
      <c r="D237" t="b">
        <v>0</v>
      </c>
      <c r="E237" t="s">
        <v>130</v>
      </c>
      <c r="F237" t="s">
        <v>790</v>
      </c>
      <c r="G237">
        <v>50</v>
      </c>
      <c r="H237" t="str">
        <f t="shared" si="12"/>
        <v>FALSE</v>
      </c>
      <c r="I237" t="str">
        <f t="shared" si="13"/>
        <v>FALSE</v>
      </c>
      <c r="J237" t="str">
        <f t="shared" si="14"/>
        <v>FALSE</v>
      </c>
      <c r="K237" t="str">
        <f t="shared" si="15"/>
        <v>subfunctionarea;availabilitystatus;FALSE;subfunctionarea;availabilitystatus;50</v>
      </c>
    </row>
    <row r="238" spans="1:11" x14ac:dyDescent="0.3">
      <c r="A238">
        <v>8</v>
      </c>
      <c r="B238" t="s">
        <v>130</v>
      </c>
      <c r="C238" t="s">
        <v>791</v>
      </c>
      <c r="D238" t="b">
        <v>0</v>
      </c>
      <c r="E238" t="s">
        <v>130</v>
      </c>
      <c r="F238" t="s">
        <v>791</v>
      </c>
      <c r="G238">
        <v>50</v>
      </c>
      <c r="H238" t="str">
        <f t="shared" si="12"/>
        <v>FALSE</v>
      </c>
      <c r="I238" t="str">
        <f t="shared" si="13"/>
        <v>FALSE</v>
      </c>
      <c r="J238" t="str">
        <f t="shared" si="14"/>
        <v>FALSE</v>
      </c>
      <c r="K238" t="str">
        <f t="shared" si="15"/>
        <v>subfunctionarea;baudrateul;FALSE;subfunctionarea;baudrateul;50</v>
      </c>
    </row>
    <row r="239" spans="1:11" x14ac:dyDescent="0.3">
      <c r="A239">
        <v>8</v>
      </c>
      <c r="B239" t="s">
        <v>130</v>
      </c>
      <c r="C239" t="s">
        <v>1265</v>
      </c>
      <c r="D239" t="b">
        <v>0</v>
      </c>
      <c r="E239" t="s">
        <v>130</v>
      </c>
      <c r="F239" t="s">
        <v>1265</v>
      </c>
      <c r="G239">
        <v>50</v>
      </c>
      <c r="H239" t="str">
        <f t="shared" si="12"/>
        <v>FALSE</v>
      </c>
      <c r="I239" t="str">
        <f t="shared" si="13"/>
        <v>FALSE</v>
      </c>
      <c r="J239" t="str">
        <f t="shared" si="14"/>
        <v>FALSE</v>
      </c>
      <c r="K239" t="str">
        <f t="shared" si="15"/>
        <v>subfunctionarea;bcfdomainnameentry;FALSE;subfunctionarea;bcfdomainnameentry;50</v>
      </c>
    </row>
    <row r="240" spans="1:11" x14ac:dyDescent="0.3">
      <c r="A240">
        <v>8</v>
      </c>
      <c r="B240" t="s">
        <v>130</v>
      </c>
      <c r="C240" t="s">
        <v>1264</v>
      </c>
      <c r="D240" t="b">
        <v>0</v>
      </c>
      <c r="E240" t="s">
        <v>130</v>
      </c>
      <c r="F240" t="s">
        <v>1264</v>
      </c>
      <c r="G240">
        <v>50</v>
      </c>
      <c r="H240" t="str">
        <f t="shared" si="12"/>
        <v>FALSE</v>
      </c>
      <c r="I240" t="str">
        <f t="shared" si="13"/>
        <v>FALSE</v>
      </c>
      <c r="J240" t="str">
        <f t="shared" si="14"/>
        <v>FALSE</v>
      </c>
      <c r="K240" t="str">
        <f t="shared" si="15"/>
        <v>subfunctionarea;bcfenabled;FALSE;subfunctionarea;bcfenabled;50</v>
      </c>
    </row>
    <row r="241" spans="1:11" x14ac:dyDescent="0.3">
      <c r="A241">
        <v>8</v>
      </c>
      <c r="B241" t="s">
        <v>130</v>
      </c>
      <c r="C241" t="s">
        <v>1263</v>
      </c>
      <c r="D241" t="b">
        <v>0</v>
      </c>
      <c r="E241" t="s">
        <v>130</v>
      </c>
      <c r="F241" t="s">
        <v>1263</v>
      </c>
      <c r="G241">
        <v>50</v>
      </c>
      <c r="H241" t="str">
        <f t="shared" si="12"/>
        <v>FALSE</v>
      </c>
      <c r="I241" t="str">
        <f t="shared" si="13"/>
        <v>FALSE</v>
      </c>
      <c r="J241" t="str">
        <f t="shared" si="14"/>
        <v>FALSE</v>
      </c>
      <c r="K241" t="str">
        <f t="shared" si="15"/>
        <v>subfunctionarea;bcfoperationalstate;FALSE;subfunctionarea;bcfoperationalstate;50</v>
      </c>
    </row>
    <row r="242" spans="1:11" x14ac:dyDescent="0.3">
      <c r="A242">
        <v>8</v>
      </c>
      <c r="B242" t="s">
        <v>130</v>
      </c>
      <c r="C242" t="s">
        <v>1262</v>
      </c>
      <c r="D242" t="b">
        <v>0</v>
      </c>
      <c r="E242" t="s">
        <v>130</v>
      </c>
      <c r="F242" t="s">
        <v>1262</v>
      </c>
      <c r="G242">
        <v>50</v>
      </c>
      <c r="H242" t="str">
        <f t="shared" si="12"/>
        <v>FALSE</v>
      </c>
      <c r="I242" t="str">
        <f t="shared" si="13"/>
        <v>FALSE</v>
      </c>
      <c r="J242" t="str">
        <f t="shared" si="14"/>
        <v>FALSE</v>
      </c>
      <c r="K242" t="str">
        <f t="shared" si="15"/>
        <v>subfunctionarea;betaindex;FALSE;subfunctionarea;betaindex;50</v>
      </c>
    </row>
    <row r="243" spans="1:11" x14ac:dyDescent="0.3">
      <c r="A243">
        <v>8</v>
      </c>
      <c r="B243" t="s">
        <v>130</v>
      </c>
      <c r="C243" t="s">
        <v>792</v>
      </c>
      <c r="D243" t="b">
        <v>0</v>
      </c>
      <c r="E243" t="s">
        <v>130</v>
      </c>
      <c r="F243" t="s">
        <v>792</v>
      </c>
      <c r="G243">
        <v>50</v>
      </c>
      <c r="H243" t="str">
        <f t="shared" si="12"/>
        <v>FALSE</v>
      </c>
      <c r="I243" t="str">
        <f t="shared" si="13"/>
        <v>FALSE</v>
      </c>
      <c r="J243" t="str">
        <f t="shared" si="14"/>
        <v>FALSE</v>
      </c>
      <c r="K243" t="str">
        <f t="shared" si="15"/>
        <v>subfunctionarea;bgfapplicationid;FALSE;subfunctionarea;bgfapplicationid;50</v>
      </c>
    </row>
    <row r="244" spans="1:11" x14ac:dyDescent="0.3">
      <c r="A244">
        <v>8</v>
      </c>
      <c r="B244" t="s">
        <v>130</v>
      </c>
      <c r="C244" t="s">
        <v>1261</v>
      </c>
      <c r="D244" t="b">
        <v>0</v>
      </c>
      <c r="E244" t="s">
        <v>130</v>
      </c>
      <c r="F244" t="s">
        <v>1261</v>
      </c>
      <c r="G244">
        <v>50</v>
      </c>
      <c r="H244" t="str">
        <f t="shared" si="12"/>
        <v>FALSE</v>
      </c>
      <c r="I244" t="str">
        <f t="shared" si="13"/>
        <v>FALSE</v>
      </c>
      <c r="J244" t="str">
        <f t="shared" si="14"/>
        <v>FALSE</v>
      </c>
      <c r="K244" t="str">
        <f t="shared" si="15"/>
        <v>subfunctionarea;bgfnetworksid;FALSE;subfunctionarea;bgfnetworksid;50</v>
      </c>
    </row>
    <row r="245" spans="1:11" x14ac:dyDescent="0.3">
      <c r="A245">
        <v>8</v>
      </c>
      <c r="B245" t="s">
        <v>130</v>
      </c>
      <c r="C245" t="s">
        <v>1260</v>
      </c>
      <c r="D245" t="b">
        <v>0</v>
      </c>
      <c r="E245" t="s">
        <v>130</v>
      </c>
      <c r="F245" t="s">
        <v>1260</v>
      </c>
      <c r="G245">
        <v>50</v>
      </c>
      <c r="H245" t="str">
        <f t="shared" si="12"/>
        <v>FALSE</v>
      </c>
      <c r="I245" t="str">
        <f t="shared" si="13"/>
        <v>FALSE</v>
      </c>
      <c r="J245" t="str">
        <f t="shared" si="14"/>
        <v>FALSE</v>
      </c>
      <c r="K245" t="str">
        <f t="shared" si="15"/>
        <v>subfunctionarea;bgfresourceid;FALSE;subfunctionarea;bgfresourceid;50</v>
      </c>
    </row>
    <row r="246" spans="1:11" x14ac:dyDescent="0.3">
      <c r="A246">
        <v>8</v>
      </c>
      <c r="B246" t="s">
        <v>130</v>
      </c>
      <c r="C246" t="s">
        <v>1259</v>
      </c>
      <c r="D246" t="b">
        <v>0</v>
      </c>
      <c r="E246" t="s">
        <v>130</v>
      </c>
      <c r="F246" t="s">
        <v>1259</v>
      </c>
      <c r="G246">
        <v>50</v>
      </c>
      <c r="H246" t="str">
        <f t="shared" si="12"/>
        <v>FALSE</v>
      </c>
      <c r="I246" t="str">
        <f t="shared" si="13"/>
        <v>FALSE</v>
      </c>
      <c r="J246" t="str">
        <f t="shared" si="14"/>
        <v>FALSE</v>
      </c>
      <c r="K246" t="str">
        <f t="shared" si="15"/>
        <v>subfunctionarea;bgftrafficsupervisionid;FALSE;subfunctionarea;bgftrafficsupervisionid;50</v>
      </c>
    </row>
    <row r="247" spans="1:11" x14ac:dyDescent="0.3">
      <c r="A247">
        <v>8</v>
      </c>
      <c r="B247" t="s">
        <v>130</v>
      </c>
      <c r="C247" t="s">
        <v>1258</v>
      </c>
      <c r="D247" t="b">
        <v>0</v>
      </c>
      <c r="E247" t="s">
        <v>130</v>
      </c>
      <c r="F247" t="s">
        <v>1258</v>
      </c>
      <c r="G247">
        <v>50</v>
      </c>
      <c r="H247" t="str">
        <f t="shared" si="12"/>
        <v>FALSE</v>
      </c>
      <c r="I247" t="str">
        <f t="shared" si="13"/>
        <v>FALSE</v>
      </c>
      <c r="J247" t="str">
        <f t="shared" si="14"/>
        <v>FALSE</v>
      </c>
      <c r="K247" t="str">
        <f t="shared" si="15"/>
        <v>subfunctionarea;brmid;FALSE;subfunctionarea;brmid;50</v>
      </c>
    </row>
    <row r="248" spans="1:11" x14ac:dyDescent="0.3">
      <c r="A248">
        <v>8</v>
      </c>
      <c r="B248" t="s">
        <v>130</v>
      </c>
      <c r="C248" t="s">
        <v>793</v>
      </c>
      <c r="D248" t="b">
        <v>0</v>
      </c>
      <c r="E248" t="s">
        <v>130</v>
      </c>
      <c r="F248" t="s">
        <v>793</v>
      </c>
      <c r="G248">
        <v>50</v>
      </c>
      <c r="H248" t="str">
        <f t="shared" si="12"/>
        <v>FALSE</v>
      </c>
      <c r="I248" t="str">
        <f t="shared" si="13"/>
        <v>FALSE</v>
      </c>
      <c r="J248" t="str">
        <f t="shared" si="14"/>
        <v>FALSE</v>
      </c>
      <c r="K248" t="str">
        <f t="shared" si="15"/>
        <v>subfunctionarea;cabinetposition;FALSE;subfunctionarea;cabinetposition;50</v>
      </c>
    </row>
    <row r="249" spans="1:11" x14ac:dyDescent="0.3">
      <c r="A249">
        <v>8</v>
      </c>
      <c r="B249" t="s">
        <v>130</v>
      </c>
      <c r="C249" t="s">
        <v>1257</v>
      </c>
      <c r="D249" t="b">
        <v>0</v>
      </c>
      <c r="E249" t="s">
        <v>130</v>
      </c>
      <c r="F249" t="s">
        <v>1257</v>
      </c>
      <c r="G249">
        <v>50</v>
      </c>
      <c r="H249" t="str">
        <f t="shared" si="12"/>
        <v>FALSE</v>
      </c>
      <c r="I249" t="str">
        <f t="shared" si="13"/>
        <v>FALSE</v>
      </c>
      <c r="J249" t="str">
        <f t="shared" si="14"/>
        <v>FALSE</v>
      </c>
      <c r="K249" t="str">
        <f t="shared" si="15"/>
        <v>subfunctionarea;capacityalarmhysteresis;FALSE;subfunctionarea;capacityalarmhysteresis;50</v>
      </c>
    </row>
    <row r="250" spans="1:11" x14ac:dyDescent="0.3">
      <c r="A250">
        <v>8</v>
      </c>
      <c r="B250" t="s">
        <v>130</v>
      </c>
      <c r="C250" t="s">
        <v>1256</v>
      </c>
      <c r="D250" t="b">
        <v>0</v>
      </c>
      <c r="E250" t="s">
        <v>130</v>
      </c>
      <c r="F250" t="s">
        <v>1256</v>
      </c>
      <c r="G250">
        <v>50</v>
      </c>
      <c r="H250" t="str">
        <f t="shared" si="12"/>
        <v>FALSE</v>
      </c>
      <c r="I250" t="str">
        <f t="shared" si="13"/>
        <v>FALSE</v>
      </c>
      <c r="J250" t="str">
        <f t="shared" si="14"/>
        <v>FALSE</v>
      </c>
      <c r="K250" t="str">
        <f t="shared" si="15"/>
        <v>subfunctionarea;capacityalarmthreshold;FALSE;subfunctionarea;capacityalarmthreshold;50</v>
      </c>
    </row>
    <row r="251" spans="1:11" x14ac:dyDescent="0.3">
      <c r="A251">
        <v>8</v>
      </c>
      <c r="B251" t="s">
        <v>130</v>
      </c>
      <c r="C251" t="s">
        <v>794</v>
      </c>
      <c r="D251" t="b">
        <v>0</v>
      </c>
      <c r="E251" t="s">
        <v>130</v>
      </c>
      <c r="F251" t="s">
        <v>794</v>
      </c>
      <c r="G251">
        <v>50</v>
      </c>
      <c r="H251" t="str">
        <f t="shared" si="12"/>
        <v>FALSE</v>
      </c>
      <c r="I251" t="str">
        <f t="shared" si="13"/>
        <v>FALSE</v>
      </c>
      <c r="J251" t="str">
        <f t="shared" si="14"/>
        <v>FALSE</v>
      </c>
      <c r="K251" t="str">
        <f t="shared" si="15"/>
        <v>subfunctionarea;ccauagentuserlimit;FALSE;subfunctionarea;ccauagentuserlimit;50</v>
      </c>
    </row>
    <row r="252" spans="1:11" x14ac:dyDescent="0.3">
      <c r="A252">
        <v>8</v>
      </c>
      <c r="B252" t="s">
        <v>130</v>
      </c>
      <c r="C252" t="s">
        <v>795</v>
      </c>
      <c r="D252" t="b">
        <v>0</v>
      </c>
      <c r="E252" t="s">
        <v>130</v>
      </c>
      <c r="F252" t="s">
        <v>795</v>
      </c>
      <c r="G252">
        <v>50</v>
      </c>
      <c r="H252" t="str">
        <f t="shared" si="12"/>
        <v>FALSE</v>
      </c>
      <c r="I252" t="str">
        <f t="shared" si="13"/>
        <v>FALSE</v>
      </c>
      <c r="J252" t="str">
        <f t="shared" si="14"/>
        <v>FALSE</v>
      </c>
      <c r="K252" t="str">
        <f t="shared" si="15"/>
        <v>subfunctionarea;ccauid;FALSE;subfunctionarea;ccauid;50</v>
      </c>
    </row>
    <row r="253" spans="1:11" x14ac:dyDescent="0.3">
      <c r="A253">
        <v>8</v>
      </c>
      <c r="B253" t="s">
        <v>130</v>
      </c>
      <c r="C253" t="s">
        <v>796</v>
      </c>
      <c r="D253" t="b">
        <v>0</v>
      </c>
      <c r="E253" t="s">
        <v>130</v>
      </c>
      <c r="F253" t="s">
        <v>796</v>
      </c>
      <c r="G253">
        <v>50</v>
      </c>
      <c r="H253" t="str">
        <f t="shared" si="12"/>
        <v>FALSE</v>
      </c>
      <c r="I253" t="str">
        <f t="shared" si="13"/>
        <v>FALSE</v>
      </c>
      <c r="J253" t="str">
        <f t="shared" si="14"/>
        <v>FALSE</v>
      </c>
      <c r="K253" t="str">
        <f t="shared" si="15"/>
        <v>subfunctionarea;ccaureportingperiod;FALSE;subfunctionarea;ccaureportingperiod;50</v>
      </c>
    </row>
    <row r="254" spans="1:11" x14ac:dyDescent="0.3">
      <c r="A254">
        <v>8</v>
      </c>
      <c r="B254" t="s">
        <v>130</v>
      </c>
      <c r="C254" t="s">
        <v>797</v>
      </c>
      <c r="D254" t="b">
        <v>0</v>
      </c>
      <c r="E254" t="s">
        <v>130</v>
      </c>
      <c r="F254" t="s">
        <v>797</v>
      </c>
      <c r="G254">
        <v>50</v>
      </c>
      <c r="H254" t="str">
        <f t="shared" si="12"/>
        <v>FALSE</v>
      </c>
      <c r="I254" t="str">
        <f t="shared" si="13"/>
        <v>FALSE</v>
      </c>
      <c r="J254" t="str">
        <f t="shared" si="14"/>
        <v>FALSE</v>
      </c>
      <c r="K254" t="str">
        <f t="shared" si="15"/>
        <v>subfunctionarea;ccauserveruserlimit;FALSE;subfunctionarea;ccauserveruserlimit;50</v>
      </c>
    </row>
    <row r="255" spans="1:11" x14ac:dyDescent="0.3">
      <c r="A255">
        <v>8</v>
      </c>
      <c r="B255" t="s">
        <v>130</v>
      </c>
      <c r="C255" t="s">
        <v>798</v>
      </c>
      <c r="D255" t="b">
        <v>0</v>
      </c>
      <c r="E255" t="s">
        <v>130</v>
      </c>
      <c r="F255" t="s">
        <v>798</v>
      </c>
      <c r="G255">
        <v>50</v>
      </c>
      <c r="H255" t="str">
        <f t="shared" si="12"/>
        <v>FALSE</v>
      </c>
      <c r="I255" t="str">
        <f t="shared" si="13"/>
        <v>FALSE</v>
      </c>
      <c r="J255" t="str">
        <f t="shared" si="14"/>
        <v>FALSE</v>
      </c>
      <c r="K255" t="str">
        <f t="shared" si="15"/>
        <v>subfunctionarea;ccauuoiaddress;FALSE;subfunctionarea;ccauuoiaddress;50</v>
      </c>
    </row>
    <row r="256" spans="1:11" x14ac:dyDescent="0.3">
      <c r="A256">
        <v>8</v>
      </c>
      <c r="B256" t="s">
        <v>130</v>
      </c>
      <c r="C256" t="s">
        <v>799</v>
      </c>
      <c r="D256" t="b">
        <v>0</v>
      </c>
      <c r="E256" t="s">
        <v>130</v>
      </c>
      <c r="F256" t="s">
        <v>799</v>
      </c>
      <c r="G256">
        <v>50</v>
      </c>
      <c r="H256" t="str">
        <f t="shared" si="12"/>
        <v>FALSE</v>
      </c>
      <c r="I256" t="str">
        <f t="shared" si="13"/>
        <v>FALSE</v>
      </c>
      <c r="J256" t="str">
        <f t="shared" si="14"/>
        <v>FALSE</v>
      </c>
      <c r="K256" t="str">
        <f t="shared" si="15"/>
        <v>subfunctionarea;ccauuoiport;FALSE;subfunctionarea;ccauuoiport;50</v>
      </c>
    </row>
    <row r="257" spans="1:11" x14ac:dyDescent="0.3">
      <c r="A257">
        <v>8</v>
      </c>
      <c r="B257" t="s">
        <v>130</v>
      </c>
      <c r="C257" t="s">
        <v>800</v>
      </c>
      <c r="D257" t="b">
        <v>0</v>
      </c>
      <c r="E257" t="s">
        <v>130</v>
      </c>
      <c r="F257" t="s">
        <v>800</v>
      </c>
      <c r="G257">
        <v>50</v>
      </c>
      <c r="H257" t="str">
        <f t="shared" si="12"/>
        <v>FALSE</v>
      </c>
      <c r="I257" t="str">
        <f t="shared" si="13"/>
        <v>FALSE</v>
      </c>
      <c r="J257" t="str">
        <f t="shared" si="14"/>
        <v>FALSE</v>
      </c>
      <c r="K257" t="str">
        <f t="shared" si="15"/>
        <v>subfunctionarea;ccauuoiretrytimeout;FALSE;subfunctionarea;ccauuoiretrytimeout;50</v>
      </c>
    </row>
    <row r="258" spans="1:11" x14ac:dyDescent="0.3">
      <c r="A258">
        <v>8</v>
      </c>
      <c r="B258" t="s">
        <v>130</v>
      </c>
      <c r="C258" t="s">
        <v>801</v>
      </c>
      <c r="D258" t="b">
        <v>0</v>
      </c>
      <c r="E258" t="s">
        <v>130</v>
      </c>
      <c r="F258" t="s">
        <v>801</v>
      </c>
      <c r="G258">
        <v>50</v>
      </c>
      <c r="H258" t="str">
        <f t="shared" ref="H258:H321" si="16">IF(LEN(C258)&gt;30,"TRUE","FALSE")</f>
        <v>FALSE</v>
      </c>
      <c r="I258" t="str">
        <f t="shared" ref="I258:I321" si="17">IF(LEN(F258)&gt;30,"TRUE","FALSE")</f>
        <v>FALSE</v>
      </c>
      <c r="J258" t="str">
        <f t="shared" ref="J258:J321" si="18">IF(G258&gt;50,"TRUE","FALSE")</f>
        <v>FALSE</v>
      </c>
      <c r="K258" t="str">
        <f t="shared" ref="K258:K321" si="19">CONCATENATE(B258,";",C258,";",D258,";",E258,";",F258,";",G258)</f>
        <v>subfunctionarea;ccauuoitlsport;FALSE;subfunctionarea;ccauuoitlsport;50</v>
      </c>
    </row>
    <row r="259" spans="1:11" x14ac:dyDescent="0.3">
      <c r="A259">
        <v>8</v>
      </c>
      <c r="B259" t="s">
        <v>130</v>
      </c>
      <c r="C259" t="s">
        <v>802</v>
      </c>
      <c r="D259" t="b">
        <v>0</v>
      </c>
      <c r="E259" t="s">
        <v>130</v>
      </c>
      <c r="F259" t="s">
        <v>802</v>
      </c>
      <c r="G259">
        <v>50</v>
      </c>
      <c r="H259" t="str">
        <f t="shared" si="16"/>
        <v>FALSE</v>
      </c>
      <c r="I259" t="str">
        <f t="shared" si="17"/>
        <v>FALSE</v>
      </c>
      <c r="J259" t="str">
        <f t="shared" si="18"/>
        <v>FALSE</v>
      </c>
      <c r="K259" t="str">
        <f t="shared" si="19"/>
        <v>subfunctionarea;cdvt;FALSE;subfunctionarea;cdvt;50</v>
      </c>
    </row>
    <row r="260" spans="1:11" x14ac:dyDescent="0.3">
      <c r="A260">
        <v>8</v>
      </c>
      <c r="B260" t="s">
        <v>130</v>
      </c>
      <c r="C260" t="s">
        <v>803</v>
      </c>
      <c r="D260" t="b">
        <v>0</v>
      </c>
      <c r="E260" t="s">
        <v>130</v>
      </c>
      <c r="F260" t="s">
        <v>803</v>
      </c>
      <c r="G260">
        <v>50</v>
      </c>
      <c r="H260" t="str">
        <f t="shared" si="16"/>
        <v>FALSE</v>
      </c>
      <c r="I260" t="str">
        <f t="shared" si="17"/>
        <v>FALSE</v>
      </c>
      <c r="J260" t="str">
        <f t="shared" si="18"/>
        <v>FALSE</v>
      </c>
      <c r="K260" t="str">
        <f t="shared" si="19"/>
        <v>subfunctionarea;classnames;FALSE;subfunctionarea;classnames;50</v>
      </c>
    </row>
    <row r="261" spans="1:11" x14ac:dyDescent="0.3">
      <c r="A261">
        <v>8</v>
      </c>
      <c r="B261" t="s">
        <v>130</v>
      </c>
      <c r="C261" t="s">
        <v>108</v>
      </c>
      <c r="D261" t="b">
        <v>0</v>
      </c>
      <c r="E261" t="s">
        <v>130</v>
      </c>
      <c r="F261" t="s">
        <v>108</v>
      </c>
      <c r="G261">
        <v>50</v>
      </c>
      <c r="H261" t="str">
        <f t="shared" si="16"/>
        <v>FALSE</v>
      </c>
      <c r="I261" t="str">
        <f t="shared" si="17"/>
        <v>FALSE</v>
      </c>
      <c r="J261" t="str">
        <f t="shared" si="18"/>
        <v>FALSE</v>
      </c>
      <c r="K261" t="str">
        <f t="shared" si="19"/>
        <v>subfunctionarea;codinglaw;FALSE;subfunctionarea;codinglaw;50</v>
      </c>
    </row>
    <row r="262" spans="1:11" x14ac:dyDescent="0.3">
      <c r="A262">
        <v>8</v>
      </c>
      <c r="B262" t="s">
        <v>130</v>
      </c>
      <c r="C262" t="s">
        <v>1255</v>
      </c>
      <c r="D262" t="b">
        <v>0</v>
      </c>
      <c r="E262" t="s">
        <v>130</v>
      </c>
      <c r="F262" t="s">
        <v>1255</v>
      </c>
      <c r="G262">
        <v>50</v>
      </c>
      <c r="H262" t="str">
        <f t="shared" si="16"/>
        <v>FALSE</v>
      </c>
      <c r="I262" t="str">
        <f t="shared" si="17"/>
        <v>FALSE</v>
      </c>
      <c r="J262" t="str">
        <f t="shared" si="18"/>
        <v>FALSE</v>
      </c>
      <c r="K262" t="str">
        <f t="shared" si="19"/>
        <v>subfunctionarea;cookielife;FALSE;subfunctionarea;cookielife;50</v>
      </c>
    </row>
    <row r="263" spans="1:11" x14ac:dyDescent="0.3">
      <c r="A263">
        <v>8</v>
      </c>
      <c r="B263" t="s">
        <v>130</v>
      </c>
      <c r="C263" t="s">
        <v>1254</v>
      </c>
      <c r="D263" t="b">
        <v>0</v>
      </c>
      <c r="E263" t="s">
        <v>130</v>
      </c>
      <c r="F263" t="s">
        <v>1254</v>
      </c>
      <c r="G263">
        <v>50</v>
      </c>
      <c r="H263" t="str">
        <f t="shared" si="16"/>
        <v>FALSE</v>
      </c>
      <c r="I263" t="str">
        <f t="shared" si="17"/>
        <v>FALSE</v>
      </c>
      <c r="J263" t="str">
        <f t="shared" si="18"/>
        <v>FALSE</v>
      </c>
      <c r="K263" t="str">
        <f t="shared" si="19"/>
        <v>subfunctionarea;cscfactiveusermethod;FALSE;subfunctionarea;cscfactiveusermethod;50</v>
      </c>
    </row>
    <row r="264" spans="1:11" x14ac:dyDescent="0.3">
      <c r="A264">
        <v>8</v>
      </c>
      <c r="B264" t="s">
        <v>130</v>
      </c>
      <c r="C264" t="s">
        <v>1253</v>
      </c>
      <c r="D264" t="b">
        <v>0</v>
      </c>
      <c r="E264" t="s">
        <v>130</v>
      </c>
      <c r="F264" t="s">
        <v>1253</v>
      </c>
      <c r="G264">
        <v>50</v>
      </c>
      <c r="H264" t="str">
        <f t="shared" si="16"/>
        <v>FALSE</v>
      </c>
      <c r="I264" t="str">
        <f t="shared" si="17"/>
        <v>FALSE</v>
      </c>
      <c r="J264" t="str">
        <f t="shared" si="18"/>
        <v>FALSE</v>
      </c>
      <c r="K264" t="str">
        <f t="shared" si="19"/>
        <v>subfunctionarea;cscfadministrativestate;FALSE;subfunctionarea;cscfadministrativestate;50</v>
      </c>
    </row>
    <row r="265" spans="1:11" x14ac:dyDescent="0.3">
      <c r="A265">
        <v>8</v>
      </c>
      <c r="B265" t="s">
        <v>130</v>
      </c>
      <c r="C265" t="s">
        <v>1252</v>
      </c>
      <c r="D265" t="b">
        <v>0</v>
      </c>
      <c r="E265" t="s">
        <v>130</v>
      </c>
      <c r="F265" t="s">
        <v>1252</v>
      </c>
      <c r="G265">
        <v>50</v>
      </c>
      <c r="H265" t="str">
        <f t="shared" si="16"/>
        <v>FALSE</v>
      </c>
      <c r="I265" t="str">
        <f t="shared" si="17"/>
        <v>FALSE</v>
      </c>
      <c r="J265" t="str">
        <f t="shared" si="18"/>
        <v>FALSE</v>
      </c>
      <c r="K265" t="str">
        <f t="shared" si="19"/>
        <v>subfunctionarea;cscfakaalgorithmentry;FALSE;subfunctionarea;cscfakaalgorithmentry;50</v>
      </c>
    </row>
    <row r="266" spans="1:11" x14ac:dyDescent="0.3">
      <c r="A266">
        <v>8</v>
      </c>
      <c r="B266" t="s">
        <v>130</v>
      </c>
      <c r="C266" t="s">
        <v>1251</v>
      </c>
      <c r="D266" t="b">
        <v>0</v>
      </c>
      <c r="E266" t="s">
        <v>130</v>
      </c>
      <c r="F266" t="s">
        <v>1251</v>
      </c>
      <c r="G266">
        <v>50</v>
      </c>
      <c r="H266" t="str">
        <f t="shared" si="16"/>
        <v>FALSE</v>
      </c>
      <c r="I266" t="str">
        <f t="shared" si="17"/>
        <v>FALSE</v>
      </c>
      <c r="J266" t="str">
        <f t="shared" si="18"/>
        <v>FALSE</v>
      </c>
      <c r="K266" t="str">
        <f t="shared" si="19"/>
        <v>subfunctionarea;cscfcicroutingenabled;FALSE;subfunctionarea;cscfcicroutingenabled;50</v>
      </c>
    </row>
    <row r="267" spans="1:11" x14ac:dyDescent="0.3">
      <c r="A267">
        <v>8</v>
      </c>
      <c r="B267" t="s">
        <v>130</v>
      </c>
      <c r="C267" t="s">
        <v>1250</v>
      </c>
      <c r="D267" t="b">
        <v>0</v>
      </c>
      <c r="E267" t="s">
        <v>130</v>
      </c>
      <c r="F267" t="s">
        <v>1250</v>
      </c>
      <c r="G267">
        <v>100</v>
      </c>
      <c r="H267" t="str">
        <f t="shared" si="16"/>
        <v>FALSE</v>
      </c>
      <c r="I267" t="str">
        <f t="shared" si="17"/>
        <v>FALSE</v>
      </c>
      <c r="J267" t="str">
        <f t="shared" si="18"/>
        <v>TRUE</v>
      </c>
      <c r="K267" t="str">
        <f t="shared" si="19"/>
        <v>subfunctionarea;cscfcxdestinationhost;FALSE;subfunctionarea;cscfcxdestinationhost;100</v>
      </c>
    </row>
    <row r="268" spans="1:11" x14ac:dyDescent="0.3">
      <c r="A268">
        <v>8</v>
      </c>
      <c r="B268" t="s">
        <v>130</v>
      </c>
      <c r="C268" t="s">
        <v>1249</v>
      </c>
      <c r="D268" t="b">
        <v>0</v>
      </c>
      <c r="E268" t="s">
        <v>130</v>
      </c>
      <c r="F268" t="s">
        <v>1249</v>
      </c>
      <c r="G268">
        <v>100</v>
      </c>
      <c r="H268" t="str">
        <f t="shared" si="16"/>
        <v>FALSE</v>
      </c>
      <c r="I268" t="str">
        <f t="shared" si="17"/>
        <v>FALSE</v>
      </c>
      <c r="J268" t="str">
        <f t="shared" si="18"/>
        <v>TRUE</v>
      </c>
      <c r="K268" t="str">
        <f t="shared" si="19"/>
        <v>subfunctionarea;cscfcxdestinationrealm;FALSE;subfunctionarea;cscfcxdestinationrealm;100</v>
      </c>
    </row>
    <row r="269" spans="1:11" x14ac:dyDescent="0.3">
      <c r="A269">
        <v>8</v>
      </c>
      <c r="B269" t="s">
        <v>130</v>
      </c>
      <c r="C269" t="s">
        <v>1248</v>
      </c>
      <c r="D269" t="b">
        <v>0</v>
      </c>
      <c r="E269" t="s">
        <v>130</v>
      </c>
      <c r="F269" t="s">
        <v>1248</v>
      </c>
      <c r="G269">
        <v>50</v>
      </c>
      <c r="H269" t="str">
        <f t="shared" si="16"/>
        <v>FALSE</v>
      </c>
      <c r="I269" t="str">
        <f t="shared" si="17"/>
        <v>FALSE</v>
      </c>
      <c r="J269" t="str">
        <f t="shared" si="18"/>
        <v>FALSE</v>
      </c>
      <c r="K269" t="str">
        <f t="shared" si="19"/>
        <v>subfunctionarea;cscfcxoriginhost;FALSE;subfunctionarea;cscfcxoriginhost;50</v>
      </c>
    </row>
    <row r="270" spans="1:11" x14ac:dyDescent="0.3">
      <c r="A270">
        <v>8</v>
      </c>
      <c r="B270" t="s">
        <v>130</v>
      </c>
      <c r="C270" t="s">
        <v>1247</v>
      </c>
      <c r="D270" t="b">
        <v>0</v>
      </c>
      <c r="E270" t="s">
        <v>130</v>
      </c>
      <c r="F270" t="s">
        <v>1247</v>
      </c>
      <c r="G270">
        <v>100</v>
      </c>
      <c r="H270" t="str">
        <f t="shared" si="16"/>
        <v>FALSE</v>
      </c>
      <c r="I270" t="str">
        <f t="shared" si="17"/>
        <v>FALSE</v>
      </c>
      <c r="J270" t="str">
        <f t="shared" si="18"/>
        <v>TRUE</v>
      </c>
      <c r="K270" t="str">
        <f t="shared" si="19"/>
        <v>subfunctionarea;cscfcxoriginrealm;FALSE;subfunctionarea;cscfcxoriginrealm;100</v>
      </c>
    </row>
    <row r="271" spans="1:11" x14ac:dyDescent="0.3">
      <c r="A271">
        <v>8</v>
      </c>
      <c r="B271" t="s">
        <v>130</v>
      </c>
      <c r="C271" t="s">
        <v>1246</v>
      </c>
      <c r="D271" t="b">
        <v>0</v>
      </c>
      <c r="E271" t="s">
        <v>130</v>
      </c>
      <c r="F271" t="s">
        <v>1246</v>
      </c>
      <c r="G271">
        <v>50</v>
      </c>
      <c r="H271" t="str">
        <f t="shared" si="16"/>
        <v>FALSE</v>
      </c>
      <c r="I271" t="str">
        <f t="shared" si="17"/>
        <v>FALSE</v>
      </c>
      <c r="J271" t="str">
        <f t="shared" si="18"/>
        <v>FALSE</v>
      </c>
      <c r="K271" t="str">
        <f t="shared" si="19"/>
        <v>subfunctionarea;cscfdatabasesweepertime;FALSE;subfunctionarea;cscfdatabasesweepertime;50</v>
      </c>
    </row>
    <row r="272" spans="1:11" x14ac:dyDescent="0.3">
      <c r="A272">
        <v>8</v>
      </c>
      <c r="B272" t="s">
        <v>130</v>
      </c>
      <c r="C272" t="s">
        <v>1245</v>
      </c>
      <c r="D272" t="b">
        <v>0</v>
      </c>
      <c r="E272" t="s">
        <v>130</v>
      </c>
      <c r="F272" t="s">
        <v>1245</v>
      </c>
      <c r="G272">
        <v>50</v>
      </c>
      <c r="H272" t="str">
        <f t="shared" si="16"/>
        <v>FALSE</v>
      </c>
      <c r="I272" t="str">
        <f t="shared" si="17"/>
        <v>FALSE</v>
      </c>
      <c r="J272" t="str">
        <f t="shared" si="18"/>
        <v>FALSE</v>
      </c>
      <c r="K272" t="str">
        <f t="shared" si="19"/>
        <v>subfunctionarea;cscfdomainalias;FALSE;subfunctionarea;cscfdomainalias;50</v>
      </c>
    </row>
    <row r="273" spans="1:11" x14ac:dyDescent="0.3">
      <c r="A273">
        <v>8</v>
      </c>
      <c r="B273" t="s">
        <v>130</v>
      </c>
      <c r="C273" t="s">
        <v>101</v>
      </c>
      <c r="D273" t="b">
        <v>0</v>
      </c>
      <c r="E273" t="s">
        <v>130</v>
      </c>
      <c r="F273" t="s">
        <v>366</v>
      </c>
      <c r="G273">
        <v>50</v>
      </c>
      <c r="H273" t="str">
        <f t="shared" si="16"/>
        <v>FALSE</v>
      </c>
      <c r="I273" t="str">
        <f t="shared" si="17"/>
        <v>FALSE</v>
      </c>
      <c r="J273" t="str">
        <f t="shared" si="18"/>
        <v>FALSE</v>
      </c>
      <c r="K273" t="str">
        <f t="shared" si="19"/>
        <v>subfunctionarea;cscfdomainbasedpsiroutingentry;FALSE;subfunctionarea;cscf_dmainbasedpsiroutingentry;50</v>
      </c>
    </row>
    <row r="274" spans="1:11" x14ac:dyDescent="0.3">
      <c r="A274">
        <v>8</v>
      </c>
      <c r="B274" t="s">
        <v>130</v>
      </c>
      <c r="C274" t="s">
        <v>1244</v>
      </c>
      <c r="D274" t="b">
        <v>0</v>
      </c>
      <c r="E274" t="s">
        <v>130</v>
      </c>
      <c r="F274" t="s">
        <v>1244</v>
      </c>
      <c r="G274">
        <v>50</v>
      </c>
      <c r="H274" t="str">
        <f t="shared" si="16"/>
        <v>FALSE</v>
      </c>
      <c r="I274" t="str">
        <f t="shared" si="17"/>
        <v>FALSE</v>
      </c>
      <c r="J274" t="str">
        <f t="shared" si="18"/>
        <v>FALSE</v>
      </c>
      <c r="K274" t="str">
        <f t="shared" si="19"/>
        <v>subfunctionarea;cscfdomainroutingactiveconfig;FALSE;subfunctionarea;cscfdomainroutingactiveconfig;50</v>
      </c>
    </row>
    <row r="275" spans="1:11" x14ac:dyDescent="0.3">
      <c r="A275">
        <v>8</v>
      </c>
      <c r="B275" t="s">
        <v>130</v>
      </c>
      <c r="C275" t="s">
        <v>1243</v>
      </c>
      <c r="D275" t="b">
        <v>0</v>
      </c>
      <c r="E275" t="s">
        <v>130</v>
      </c>
      <c r="F275" t="s">
        <v>1243</v>
      </c>
      <c r="G275">
        <v>50</v>
      </c>
      <c r="H275" t="str">
        <f t="shared" si="16"/>
        <v>FALSE</v>
      </c>
      <c r="I275" t="str">
        <f t="shared" si="17"/>
        <v>FALSE</v>
      </c>
      <c r="J275" t="str">
        <f t="shared" si="18"/>
        <v>FALSE</v>
      </c>
      <c r="K275" t="str">
        <f t="shared" si="19"/>
        <v>subfunctionarea;cscfdomainroutingenabled;FALSE;subfunctionarea;cscfdomainroutingenabled;50</v>
      </c>
    </row>
    <row r="276" spans="1:11" x14ac:dyDescent="0.3">
      <c r="A276">
        <v>8</v>
      </c>
      <c r="B276" t="s">
        <v>130</v>
      </c>
      <c r="C276" t="s">
        <v>1242</v>
      </c>
      <c r="D276" t="b">
        <v>0</v>
      </c>
      <c r="E276" t="s">
        <v>130</v>
      </c>
      <c r="F276" t="s">
        <v>1242</v>
      </c>
      <c r="G276">
        <v>50</v>
      </c>
      <c r="H276" t="str">
        <f t="shared" si="16"/>
        <v>FALSE</v>
      </c>
      <c r="I276" t="str">
        <f t="shared" si="17"/>
        <v>FALSE</v>
      </c>
      <c r="J276" t="str">
        <f t="shared" si="18"/>
        <v>FALSE</v>
      </c>
      <c r="K276" t="str">
        <f t="shared" si="19"/>
        <v>subfunctionarea;cscfdomainroutingSyncconfig;FALSE;subfunctionarea;cscfdomainroutingSyncconfig;50</v>
      </c>
    </row>
    <row r="277" spans="1:11" x14ac:dyDescent="0.3">
      <c r="A277">
        <v>8</v>
      </c>
      <c r="B277" t="s">
        <v>130</v>
      </c>
      <c r="C277" t="s">
        <v>1241</v>
      </c>
      <c r="D277" t="b">
        <v>0</v>
      </c>
      <c r="E277" t="s">
        <v>130</v>
      </c>
      <c r="F277" t="s">
        <v>1241</v>
      </c>
      <c r="G277">
        <v>50</v>
      </c>
      <c r="H277" t="str">
        <f t="shared" si="16"/>
        <v>FALSE</v>
      </c>
      <c r="I277" t="str">
        <f t="shared" si="17"/>
        <v>FALSE</v>
      </c>
      <c r="J277" t="str">
        <f t="shared" si="18"/>
        <v>FALSE</v>
      </c>
      <c r="K277" t="str">
        <f t="shared" si="19"/>
        <v>subfunctionarea;cscfdomainroutingsyncstate;FALSE;subfunctionarea;cscfdomainroutingsyncstate;50</v>
      </c>
    </row>
    <row r="278" spans="1:11" x14ac:dyDescent="0.3">
      <c r="A278">
        <v>8</v>
      </c>
      <c r="B278" t="s">
        <v>130</v>
      </c>
      <c r="C278" t="s">
        <v>97</v>
      </c>
      <c r="D278" t="b">
        <v>0</v>
      </c>
      <c r="E278" t="s">
        <v>130</v>
      </c>
      <c r="F278" t="s">
        <v>359</v>
      </c>
      <c r="G278">
        <v>50</v>
      </c>
      <c r="H278" t="str">
        <f t="shared" si="16"/>
        <v>FALSE</v>
      </c>
      <c r="I278" t="str">
        <f t="shared" si="17"/>
        <v>FALSE</v>
      </c>
      <c r="J278" t="str">
        <f t="shared" si="18"/>
        <v>FALSE</v>
      </c>
      <c r="K278" t="str">
        <f t="shared" si="19"/>
        <v>subfunctionarea;cscfenablerecordroutesubscribe;FALSE;subfunctionarea;cscf_nablerecordroutesubscribe;50</v>
      </c>
    </row>
    <row r="279" spans="1:11" x14ac:dyDescent="0.3">
      <c r="A279">
        <v>8</v>
      </c>
      <c r="B279" t="s">
        <v>130</v>
      </c>
      <c r="C279" t="s">
        <v>100</v>
      </c>
      <c r="D279" t="b">
        <v>0</v>
      </c>
      <c r="E279" t="s">
        <v>130</v>
      </c>
      <c r="F279" t="s">
        <v>363</v>
      </c>
      <c r="G279">
        <v>50</v>
      </c>
      <c r="H279" t="str">
        <f t="shared" si="16"/>
        <v>FALSE</v>
      </c>
      <c r="I279" t="str">
        <f t="shared" si="17"/>
        <v>FALSE</v>
      </c>
      <c r="J279" t="str">
        <f t="shared" si="18"/>
        <v>FALSE</v>
      </c>
      <c r="K279" t="str">
        <f t="shared" si="19"/>
        <v>subfunctionarea;cscfenumforlocalnumbersenabled;FALSE;subfunctionarea;cscf_enumlocalnumbersenabled;50</v>
      </c>
    </row>
    <row r="280" spans="1:11" x14ac:dyDescent="0.3">
      <c r="A280">
        <v>8</v>
      </c>
      <c r="B280" t="s">
        <v>130</v>
      </c>
      <c r="C280" t="s">
        <v>1240</v>
      </c>
      <c r="D280" t="b">
        <v>0</v>
      </c>
      <c r="E280" t="s">
        <v>130</v>
      </c>
      <c r="F280" t="s">
        <v>1240</v>
      </c>
      <c r="G280">
        <v>50</v>
      </c>
      <c r="H280" t="str">
        <f t="shared" si="16"/>
        <v>FALSE</v>
      </c>
      <c r="I280" t="str">
        <f t="shared" si="17"/>
        <v>FALSE</v>
      </c>
      <c r="J280" t="str">
        <f t="shared" si="18"/>
        <v>FALSE</v>
      </c>
      <c r="K280" t="str">
        <f t="shared" si="19"/>
        <v>subfunctionarea;cscfenumtopdomain;FALSE;subfunctionarea;cscfenumtopdomain;50</v>
      </c>
    </row>
    <row r="281" spans="1:11" x14ac:dyDescent="0.3">
      <c r="A281">
        <v>8</v>
      </c>
      <c r="B281" t="s">
        <v>130</v>
      </c>
      <c r="C281" t="s">
        <v>1239</v>
      </c>
      <c r="D281" t="b">
        <v>0</v>
      </c>
      <c r="E281" t="s">
        <v>130</v>
      </c>
      <c r="F281" t="s">
        <v>1239</v>
      </c>
      <c r="G281">
        <v>50</v>
      </c>
      <c r="H281" t="str">
        <f t="shared" si="16"/>
        <v>FALSE</v>
      </c>
      <c r="I281" t="str">
        <f t="shared" si="17"/>
        <v>FALSE</v>
      </c>
      <c r="J281" t="str">
        <f t="shared" si="18"/>
        <v>FALSE</v>
      </c>
      <c r="K281" t="str">
        <f t="shared" si="19"/>
        <v>subfunctionarea;cscfextnetselonenumpstn;FALSE;subfunctionarea;cscfextnetselonenumpstn;50</v>
      </c>
    </row>
    <row r="282" spans="1:11" x14ac:dyDescent="0.3">
      <c r="A282">
        <v>8</v>
      </c>
      <c r="B282" t="s">
        <v>130</v>
      </c>
      <c r="C282" t="s">
        <v>1238</v>
      </c>
      <c r="D282" t="b">
        <v>0</v>
      </c>
      <c r="E282" t="s">
        <v>130</v>
      </c>
      <c r="F282" t="s">
        <v>1238</v>
      </c>
      <c r="G282">
        <v>50</v>
      </c>
      <c r="H282" t="str">
        <f t="shared" si="16"/>
        <v>FALSE</v>
      </c>
      <c r="I282" t="str">
        <f t="shared" si="17"/>
        <v>FALSE</v>
      </c>
      <c r="J282" t="str">
        <f t="shared" si="18"/>
        <v>FALSE</v>
      </c>
      <c r="K282" t="str">
        <f t="shared" si="19"/>
        <v>subfunctionarea;cscfextnetselonrnbeforeenum;FALSE;subfunctionarea;cscfextnetselonrnbeforeenum;50</v>
      </c>
    </row>
    <row r="283" spans="1:11" x14ac:dyDescent="0.3">
      <c r="A283">
        <v>8</v>
      </c>
      <c r="B283" t="s">
        <v>130</v>
      </c>
      <c r="C283" t="s">
        <v>1237</v>
      </c>
      <c r="D283" t="b">
        <v>0</v>
      </c>
      <c r="E283" t="s">
        <v>130</v>
      </c>
      <c r="F283" t="s">
        <v>1237</v>
      </c>
      <c r="G283">
        <v>50</v>
      </c>
      <c r="H283" t="str">
        <f t="shared" si="16"/>
        <v>FALSE</v>
      </c>
      <c r="I283" t="str">
        <f t="shared" si="17"/>
        <v>FALSE</v>
      </c>
      <c r="J283" t="str">
        <f t="shared" si="18"/>
        <v>FALSE</v>
      </c>
      <c r="K283" t="str">
        <f t="shared" si="19"/>
        <v>subfunctionarea;cscfforkingtimer;FALSE;subfunctionarea;cscfforkingtimer;50</v>
      </c>
    </row>
    <row r="284" spans="1:11" x14ac:dyDescent="0.3">
      <c r="A284">
        <v>8</v>
      </c>
      <c r="B284" t="s">
        <v>130</v>
      </c>
      <c r="C284" t="s">
        <v>1236</v>
      </c>
      <c r="D284" t="b">
        <v>0</v>
      </c>
      <c r="E284" t="s">
        <v>130</v>
      </c>
      <c r="F284" t="s">
        <v>1236</v>
      </c>
      <c r="G284">
        <v>50</v>
      </c>
      <c r="H284" t="str">
        <f t="shared" si="16"/>
        <v>FALSE</v>
      </c>
      <c r="I284" t="str">
        <f t="shared" si="17"/>
        <v>FALSE</v>
      </c>
      <c r="J284" t="str">
        <f t="shared" si="18"/>
        <v>FALSE</v>
      </c>
      <c r="K284" t="str">
        <f t="shared" si="19"/>
        <v>subfunctionarea;cscfgaugeinterval;FALSE;subfunctionarea;cscfgaugeinterval;50</v>
      </c>
    </row>
    <row r="285" spans="1:11" x14ac:dyDescent="0.3">
      <c r="A285">
        <v>8</v>
      </c>
      <c r="B285" t="s">
        <v>130</v>
      </c>
      <c r="C285" t="s">
        <v>1235</v>
      </c>
      <c r="D285" t="b">
        <v>0</v>
      </c>
      <c r="E285" t="s">
        <v>130</v>
      </c>
      <c r="F285" t="s">
        <v>1235</v>
      </c>
      <c r="G285">
        <v>50</v>
      </c>
      <c r="H285" t="str">
        <f t="shared" si="16"/>
        <v>FALSE</v>
      </c>
      <c r="I285" t="str">
        <f t="shared" si="17"/>
        <v>FALSE</v>
      </c>
      <c r="J285" t="str">
        <f t="shared" si="18"/>
        <v>FALSE</v>
      </c>
      <c r="K285" t="str">
        <f t="shared" si="19"/>
        <v>subfunctionarea;cscfispbehavior;FALSE;subfunctionarea;cscfispbehavior;50</v>
      </c>
    </row>
    <row r="286" spans="1:11" x14ac:dyDescent="0.3">
      <c r="A286">
        <v>8</v>
      </c>
      <c r="B286" t="s">
        <v>130</v>
      </c>
      <c r="C286" t="s">
        <v>805</v>
      </c>
      <c r="D286" t="b">
        <v>0</v>
      </c>
      <c r="E286" t="s">
        <v>130</v>
      </c>
      <c r="F286" t="s">
        <v>805</v>
      </c>
      <c r="G286">
        <v>50</v>
      </c>
      <c r="H286" t="str">
        <f t="shared" si="16"/>
        <v>FALSE</v>
      </c>
      <c r="I286" t="str">
        <f t="shared" si="17"/>
        <v>FALSE</v>
      </c>
      <c r="J286" t="str">
        <f t="shared" si="18"/>
        <v>FALSE</v>
      </c>
      <c r="K286" t="str">
        <f t="shared" si="19"/>
        <v>subfunctionarea;cscfispoperationalstate;FALSE;subfunctionarea;cscfispoperationalstate;50</v>
      </c>
    </row>
    <row r="287" spans="1:11" x14ac:dyDescent="0.3">
      <c r="A287">
        <v>8</v>
      </c>
      <c r="B287" t="s">
        <v>130</v>
      </c>
      <c r="C287" t="s">
        <v>1234</v>
      </c>
      <c r="D287" t="b">
        <v>0</v>
      </c>
      <c r="E287" t="s">
        <v>130</v>
      </c>
      <c r="F287" t="s">
        <v>1234</v>
      </c>
      <c r="G287">
        <v>50</v>
      </c>
      <c r="H287" t="str">
        <f t="shared" si="16"/>
        <v>FALSE</v>
      </c>
      <c r="I287" t="str">
        <f t="shared" si="17"/>
        <v>FALSE</v>
      </c>
      <c r="J287" t="str">
        <f t="shared" si="18"/>
        <v>FALSE</v>
      </c>
      <c r="K287" t="str">
        <f t="shared" si="19"/>
        <v>subfunctionarea;cscfonwardroutingenabled;FALSE;subfunctionarea;cscfonwardroutingenabled;50</v>
      </c>
    </row>
    <row r="288" spans="1:11" x14ac:dyDescent="0.3">
      <c r="A288">
        <v>8</v>
      </c>
      <c r="B288" t="s">
        <v>130</v>
      </c>
      <c r="C288" t="s">
        <v>1233</v>
      </c>
      <c r="D288" t="b">
        <v>0</v>
      </c>
      <c r="E288" t="s">
        <v>130</v>
      </c>
      <c r="F288" t="s">
        <v>1233</v>
      </c>
      <c r="G288">
        <v>50</v>
      </c>
      <c r="H288" t="str">
        <f t="shared" si="16"/>
        <v>FALSE</v>
      </c>
      <c r="I288" t="str">
        <f t="shared" si="17"/>
        <v>FALSE</v>
      </c>
      <c r="J288" t="str">
        <f t="shared" si="18"/>
        <v>FALSE</v>
      </c>
      <c r="K288" t="str">
        <f t="shared" si="19"/>
        <v>subfunctionarea;cscfoverridedefaultcontext;FALSE;subfunctionarea;cscfoverridedefaultcontext;50</v>
      </c>
    </row>
    <row r="289" spans="1:11" x14ac:dyDescent="0.3">
      <c r="A289">
        <v>8</v>
      </c>
      <c r="B289" t="s">
        <v>130</v>
      </c>
      <c r="C289" t="s">
        <v>1232</v>
      </c>
      <c r="D289" t="b">
        <v>0</v>
      </c>
      <c r="E289" t="s">
        <v>130</v>
      </c>
      <c r="F289" t="s">
        <v>1232</v>
      </c>
      <c r="G289">
        <v>50</v>
      </c>
      <c r="H289" t="str">
        <f t="shared" si="16"/>
        <v>FALSE</v>
      </c>
      <c r="I289" t="str">
        <f t="shared" si="17"/>
        <v>FALSE</v>
      </c>
      <c r="J289" t="str">
        <f t="shared" si="18"/>
        <v>FALSE</v>
      </c>
      <c r="K289" t="str">
        <f t="shared" si="19"/>
        <v>subfunctionarea;cscfphonecontext;FALSE;subfunctionarea;cscfphonecontext;50</v>
      </c>
    </row>
    <row r="290" spans="1:11" x14ac:dyDescent="0.3">
      <c r="A290">
        <v>8</v>
      </c>
      <c r="B290" t="s">
        <v>130</v>
      </c>
      <c r="C290" t="s">
        <v>1231</v>
      </c>
      <c r="D290" t="b">
        <v>0</v>
      </c>
      <c r="E290" t="s">
        <v>130</v>
      </c>
      <c r="F290" t="s">
        <v>1231</v>
      </c>
      <c r="G290">
        <v>50</v>
      </c>
      <c r="H290" t="str">
        <f t="shared" si="16"/>
        <v>FALSE</v>
      </c>
      <c r="I290" t="str">
        <f t="shared" si="17"/>
        <v>FALSE</v>
      </c>
      <c r="J290" t="str">
        <f t="shared" si="18"/>
        <v>FALSE</v>
      </c>
      <c r="K290" t="str">
        <f t="shared" si="19"/>
        <v>subfunctionarea;cscfprovidedefaultcontext;FALSE;subfunctionarea;cscfprovidedefaultcontext;50</v>
      </c>
    </row>
    <row r="291" spans="1:11" x14ac:dyDescent="0.3">
      <c r="A291">
        <v>8</v>
      </c>
      <c r="B291" t="s">
        <v>130</v>
      </c>
      <c r="C291" t="s">
        <v>98</v>
      </c>
      <c r="D291" t="b">
        <v>0</v>
      </c>
      <c r="E291" t="s">
        <v>130</v>
      </c>
      <c r="F291" t="s">
        <v>360</v>
      </c>
      <c r="G291">
        <v>50</v>
      </c>
      <c r="H291" t="str">
        <f t="shared" si="16"/>
        <v>FALSE</v>
      </c>
      <c r="I291" t="str">
        <f t="shared" si="17"/>
        <v>FALSE</v>
      </c>
      <c r="J291" t="str">
        <f t="shared" si="18"/>
        <v>FALSE</v>
      </c>
      <c r="K291" t="str">
        <f t="shared" si="19"/>
        <v>subfunctionarea;cscfreducedtransactionlifespan;FALSE;subfunctionarea;cscf_reducedtransactlifespan;50</v>
      </c>
    </row>
    <row r="292" spans="1:11" x14ac:dyDescent="0.3">
      <c r="A292">
        <v>8</v>
      </c>
      <c r="B292" t="s">
        <v>130</v>
      </c>
      <c r="C292" t="s">
        <v>1230</v>
      </c>
      <c r="D292" t="b">
        <v>0</v>
      </c>
      <c r="E292" t="s">
        <v>130</v>
      </c>
      <c r="F292" t="s">
        <v>1230</v>
      </c>
      <c r="G292">
        <v>50</v>
      </c>
      <c r="H292" t="str">
        <f t="shared" si="16"/>
        <v>FALSE</v>
      </c>
      <c r="I292" t="str">
        <f t="shared" si="17"/>
        <v>FALSE</v>
      </c>
      <c r="J292" t="str">
        <f t="shared" si="18"/>
        <v>FALSE</v>
      </c>
      <c r="K292" t="str">
        <f t="shared" si="19"/>
        <v>subfunctionarea;cscfrequireuserequalphone;FALSE;subfunctionarea;cscfrequireuserequalphone;50</v>
      </c>
    </row>
    <row r="293" spans="1:11" x14ac:dyDescent="0.3">
      <c r="A293">
        <v>8</v>
      </c>
      <c r="B293" t="s">
        <v>130</v>
      </c>
      <c r="C293" t="s">
        <v>1229</v>
      </c>
      <c r="D293" t="b">
        <v>0</v>
      </c>
      <c r="E293" t="s">
        <v>130</v>
      </c>
      <c r="F293" t="s">
        <v>1229</v>
      </c>
      <c r="G293">
        <v>50</v>
      </c>
      <c r="H293" t="str">
        <f t="shared" si="16"/>
        <v>FALSE</v>
      </c>
      <c r="I293" t="str">
        <f t="shared" si="17"/>
        <v>FALSE</v>
      </c>
      <c r="J293" t="str">
        <f t="shared" si="18"/>
        <v>FALSE</v>
      </c>
      <c r="K293" t="str">
        <f t="shared" si="19"/>
        <v>subfunctionarea;cscfscscffailovertimer;FALSE;subfunctionarea;cscfscscffailovertimer;50</v>
      </c>
    </row>
    <row r="294" spans="1:11" x14ac:dyDescent="0.3">
      <c r="A294">
        <v>8</v>
      </c>
      <c r="B294" t="s">
        <v>130</v>
      </c>
      <c r="C294" t="s">
        <v>1228</v>
      </c>
      <c r="D294" t="b">
        <v>0</v>
      </c>
      <c r="E294" t="s">
        <v>130</v>
      </c>
      <c r="F294" t="s">
        <v>1228</v>
      </c>
      <c r="G294">
        <v>50</v>
      </c>
      <c r="H294" t="str">
        <f t="shared" si="16"/>
        <v>FALSE</v>
      </c>
      <c r="I294" t="str">
        <f t="shared" si="17"/>
        <v>FALSE</v>
      </c>
      <c r="J294" t="str">
        <f t="shared" si="18"/>
        <v>FALSE</v>
      </c>
      <c r="K294" t="str">
        <f t="shared" si="19"/>
        <v>subfunctionarea;cscfsendrequestudponly;FALSE;subfunctionarea;cscfsendrequestudponly;50</v>
      </c>
    </row>
    <row r="295" spans="1:11" x14ac:dyDescent="0.3">
      <c r="A295">
        <v>8</v>
      </c>
      <c r="B295" t="s">
        <v>130</v>
      </c>
      <c r="C295" t="s">
        <v>1227</v>
      </c>
      <c r="D295" t="b">
        <v>0</v>
      </c>
      <c r="E295" t="s">
        <v>130</v>
      </c>
      <c r="F295" t="s">
        <v>1227</v>
      </c>
      <c r="G295">
        <v>50</v>
      </c>
      <c r="H295" t="str">
        <f t="shared" si="16"/>
        <v>FALSE</v>
      </c>
      <c r="I295" t="str">
        <f t="shared" si="17"/>
        <v>FALSE</v>
      </c>
      <c r="J295" t="str">
        <f t="shared" si="18"/>
        <v>FALSE</v>
      </c>
      <c r="K295" t="str">
        <f t="shared" si="19"/>
        <v>subfunctionarea;cscfsessionrefreshdefault;FALSE;subfunctionarea;cscfsessionrefreshdefault;50</v>
      </c>
    </row>
    <row r="296" spans="1:11" x14ac:dyDescent="0.3">
      <c r="A296">
        <v>8</v>
      </c>
      <c r="B296" t="s">
        <v>130</v>
      </c>
      <c r="C296" t="s">
        <v>1226</v>
      </c>
      <c r="D296" t="b">
        <v>0</v>
      </c>
      <c r="E296" t="s">
        <v>130</v>
      </c>
      <c r="F296" t="s">
        <v>1226</v>
      </c>
      <c r="G296">
        <v>50</v>
      </c>
      <c r="H296" t="str">
        <f t="shared" si="16"/>
        <v>FALSE</v>
      </c>
      <c r="I296" t="str">
        <f t="shared" si="17"/>
        <v>FALSE</v>
      </c>
      <c r="J296" t="str">
        <f t="shared" si="18"/>
        <v>FALSE</v>
      </c>
      <c r="K296" t="str">
        <f t="shared" si="19"/>
        <v>subfunctionarea;cscfsessionrefreshmax;FALSE;subfunctionarea;cscfsessionrefreshmax;50</v>
      </c>
    </row>
    <row r="297" spans="1:11" x14ac:dyDescent="0.3">
      <c r="A297">
        <v>8</v>
      </c>
      <c r="B297" t="s">
        <v>130</v>
      </c>
      <c r="C297" t="s">
        <v>1225</v>
      </c>
      <c r="D297" t="b">
        <v>0</v>
      </c>
      <c r="E297" t="s">
        <v>130</v>
      </c>
      <c r="F297" t="s">
        <v>1225</v>
      </c>
      <c r="G297">
        <v>50</v>
      </c>
      <c r="H297" t="str">
        <f t="shared" si="16"/>
        <v>FALSE</v>
      </c>
      <c r="I297" t="str">
        <f t="shared" si="17"/>
        <v>FALSE</v>
      </c>
      <c r="J297" t="str">
        <f t="shared" si="18"/>
        <v>FALSE</v>
      </c>
      <c r="K297" t="str">
        <f t="shared" si="19"/>
        <v>subfunctionarea;cscfsessionrefreshmin;FALSE;subfunctionarea;cscfsessionrefreshmin;50</v>
      </c>
    </row>
    <row r="298" spans="1:11" x14ac:dyDescent="0.3">
      <c r="A298">
        <v>8</v>
      </c>
      <c r="B298" t="s">
        <v>130</v>
      </c>
      <c r="C298" t="s">
        <v>1224</v>
      </c>
      <c r="D298" t="b">
        <v>0</v>
      </c>
      <c r="E298" t="s">
        <v>130</v>
      </c>
      <c r="F298" t="s">
        <v>1224</v>
      </c>
      <c r="G298">
        <v>50</v>
      </c>
      <c r="H298" t="str">
        <f t="shared" si="16"/>
        <v>FALSE</v>
      </c>
      <c r="I298" t="str">
        <f t="shared" si="17"/>
        <v>FALSE</v>
      </c>
      <c r="J298" t="str">
        <f t="shared" si="18"/>
        <v>FALSE</v>
      </c>
      <c r="K298" t="str">
        <f t="shared" si="19"/>
        <v>subfunctionarea;cscfsippmkey;FALSE;subfunctionarea;cscfsippmkey;50</v>
      </c>
    </row>
    <row r="299" spans="1:11" x14ac:dyDescent="0.3">
      <c r="A299">
        <v>8</v>
      </c>
      <c r="B299" t="s">
        <v>130</v>
      </c>
      <c r="C299" t="s">
        <v>1223</v>
      </c>
      <c r="D299" t="b">
        <v>0</v>
      </c>
      <c r="E299" t="s">
        <v>130</v>
      </c>
      <c r="F299" t="s">
        <v>1223</v>
      </c>
      <c r="G299">
        <v>50</v>
      </c>
      <c r="H299" t="str">
        <f t="shared" si="16"/>
        <v>FALSE</v>
      </c>
      <c r="I299" t="str">
        <f t="shared" si="17"/>
        <v>FALSE</v>
      </c>
      <c r="J299" t="str">
        <f t="shared" si="18"/>
        <v>FALSE</v>
      </c>
      <c r="K299" t="str">
        <f t="shared" si="19"/>
        <v>subfunctionarea;cscfsmpauthorization;FALSE;subfunctionarea;cscfsmpauthorization;50</v>
      </c>
    </row>
    <row r="300" spans="1:11" x14ac:dyDescent="0.3">
      <c r="A300">
        <v>8</v>
      </c>
      <c r="B300" t="s">
        <v>130</v>
      </c>
      <c r="C300" t="s">
        <v>1222</v>
      </c>
      <c r="D300" t="b">
        <v>0</v>
      </c>
      <c r="E300" t="s">
        <v>130</v>
      </c>
      <c r="F300" t="s">
        <v>1222</v>
      </c>
      <c r="G300">
        <v>50</v>
      </c>
      <c r="H300" t="str">
        <f t="shared" si="16"/>
        <v>FALSE</v>
      </c>
      <c r="I300" t="str">
        <f t="shared" si="17"/>
        <v>FALSE</v>
      </c>
      <c r="J300" t="str">
        <f t="shared" si="18"/>
        <v>FALSE</v>
      </c>
      <c r="K300" t="str">
        <f t="shared" si="19"/>
        <v>subfunctionarea;cscftimerbvalue;FALSE;subfunctionarea;cscftimerbvalue;50</v>
      </c>
    </row>
    <row r="301" spans="1:11" x14ac:dyDescent="0.3">
      <c r="A301">
        <v>8</v>
      </c>
      <c r="B301" t="s">
        <v>130</v>
      </c>
      <c r="C301" t="s">
        <v>1221</v>
      </c>
      <c r="D301" t="b">
        <v>0</v>
      </c>
      <c r="E301" t="s">
        <v>130</v>
      </c>
      <c r="F301" t="s">
        <v>1221</v>
      </c>
      <c r="G301">
        <v>50</v>
      </c>
      <c r="H301" t="str">
        <f t="shared" si="16"/>
        <v>FALSE</v>
      </c>
      <c r="I301" t="str">
        <f t="shared" si="17"/>
        <v>FALSE</v>
      </c>
      <c r="J301" t="str">
        <f t="shared" si="18"/>
        <v>FALSE</v>
      </c>
      <c r="K301" t="str">
        <f t="shared" si="19"/>
        <v>subfunctionarea;cscftimercvalue;FALSE;subfunctionarea;cscftimercvalue;50</v>
      </c>
    </row>
    <row r="302" spans="1:11" x14ac:dyDescent="0.3">
      <c r="A302">
        <v>8</v>
      </c>
      <c r="B302" t="s">
        <v>130</v>
      </c>
      <c r="C302" t="s">
        <v>1220</v>
      </c>
      <c r="D302" t="b">
        <v>0</v>
      </c>
      <c r="E302" t="s">
        <v>130</v>
      </c>
      <c r="F302" t="s">
        <v>1220</v>
      </c>
      <c r="G302">
        <v>50</v>
      </c>
      <c r="H302" t="str">
        <f t="shared" si="16"/>
        <v>FALSE</v>
      </c>
      <c r="I302" t="str">
        <f t="shared" si="17"/>
        <v>FALSE</v>
      </c>
      <c r="J302" t="str">
        <f t="shared" si="18"/>
        <v>FALSE</v>
      </c>
      <c r="K302" t="str">
        <f t="shared" si="19"/>
        <v>subfunctionarea;cscftimerdalue;FALSE;subfunctionarea;cscftimerdalue;50</v>
      </c>
    </row>
    <row r="303" spans="1:11" x14ac:dyDescent="0.3">
      <c r="A303">
        <v>8</v>
      </c>
      <c r="B303" t="s">
        <v>130</v>
      </c>
      <c r="C303" t="s">
        <v>806</v>
      </c>
      <c r="D303" t="b">
        <v>0</v>
      </c>
      <c r="E303" t="s">
        <v>130</v>
      </c>
      <c r="F303" t="s">
        <v>806</v>
      </c>
      <c r="G303">
        <v>50</v>
      </c>
      <c r="H303" t="str">
        <f t="shared" si="16"/>
        <v>FALSE</v>
      </c>
      <c r="I303" t="str">
        <f t="shared" si="17"/>
        <v>FALSE</v>
      </c>
      <c r="J303" t="str">
        <f t="shared" si="18"/>
        <v>FALSE</v>
      </c>
      <c r="K303" t="str">
        <f t="shared" si="19"/>
        <v>subfunctionarea;cscftimerdvalue;FALSE;subfunctionarea;cscftimerdvalue;50</v>
      </c>
    </row>
    <row r="304" spans="1:11" x14ac:dyDescent="0.3">
      <c r="A304">
        <v>8</v>
      </c>
      <c r="B304" t="s">
        <v>130</v>
      </c>
      <c r="C304" t="s">
        <v>1219</v>
      </c>
      <c r="D304" t="b">
        <v>0</v>
      </c>
      <c r="E304" t="s">
        <v>130</v>
      </c>
      <c r="F304" t="s">
        <v>1219</v>
      </c>
      <c r="G304">
        <v>50</v>
      </c>
      <c r="H304" t="str">
        <f t="shared" si="16"/>
        <v>FALSE</v>
      </c>
      <c r="I304" t="str">
        <f t="shared" si="17"/>
        <v>FALSE</v>
      </c>
      <c r="J304" t="str">
        <f t="shared" si="18"/>
        <v>FALSE</v>
      </c>
      <c r="K304" t="str">
        <f t="shared" si="19"/>
        <v>subfunctionarea;cscftimerfvalue;FALSE;subfunctionarea;cscftimerfvalue;50</v>
      </c>
    </row>
    <row r="305" spans="1:11" x14ac:dyDescent="0.3">
      <c r="A305">
        <v>8</v>
      </c>
      <c r="B305" t="s">
        <v>130</v>
      </c>
      <c r="C305" t="s">
        <v>1218</v>
      </c>
      <c r="D305" t="b">
        <v>0</v>
      </c>
      <c r="E305" t="s">
        <v>130</v>
      </c>
      <c r="F305" t="s">
        <v>1218</v>
      </c>
      <c r="G305">
        <v>50</v>
      </c>
      <c r="H305" t="str">
        <f t="shared" si="16"/>
        <v>FALSE</v>
      </c>
      <c r="I305" t="str">
        <f t="shared" si="17"/>
        <v>FALSE</v>
      </c>
      <c r="J305" t="str">
        <f t="shared" si="18"/>
        <v>FALSE</v>
      </c>
      <c r="K305" t="str">
        <f t="shared" si="19"/>
        <v>subfunctionarea;cscftimert1value;FALSE;subfunctionarea;cscftimert1value;50</v>
      </c>
    </row>
    <row r="306" spans="1:11" x14ac:dyDescent="0.3">
      <c r="A306">
        <v>8</v>
      </c>
      <c r="B306" t="s">
        <v>130</v>
      </c>
      <c r="C306" t="s">
        <v>1217</v>
      </c>
      <c r="D306" t="b">
        <v>0</v>
      </c>
      <c r="E306" t="s">
        <v>130</v>
      </c>
      <c r="F306" t="s">
        <v>1217</v>
      </c>
      <c r="G306">
        <v>50</v>
      </c>
      <c r="H306" t="str">
        <f t="shared" si="16"/>
        <v>FALSE</v>
      </c>
      <c r="I306" t="str">
        <f t="shared" si="17"/>
        <v>FALSE</v>
      </c>
      <c r="J306" t="str">
        <f t="shared" si="18"/>
        <v>FALSE</v>
      </c>
      <c r="K306" t="str">
        <f t="shared" si="19"/>
        <v>subfunctionarea;cscftimert2value;FALSE;subfunctionarea;cscftimert2value;50</v>
      </c>
    </row>
    <row r="307" spans="1:11" x14ac:dyDescent="0.3">
      <c r="A307">
        <v>8</v>
      </c>
      <c r="B307" t="s">
        <v>130</v>
      </c>
      <c r="C307" t="s">
        <v>1216</v>
      </c>
      <c r="D307" t="b">
        <v>0</v>
      </c>
      <c r="E307" t="s">
        <v>130</v>
      </c>
      <c r="F307" t="s">
        <v>1216</v>
      </c>
      <c r="G307">
        <v>50</v>
      </c>
      <c r="H307" t="str">
        <f t="shared" si="16"/>
        <v>FALSE</v>
      </c>
      <c r="I307" t="str">
        <f t="shared" si="17"/>
        <v>FALSE</v>
      </c>
      <c r="J307" t="str">
        <f t="shared" si="18"/>
        <v>FALSE</v>
      </c>
      <c r="K307" t="str">
        <f t="shared" si="19"/>
        <v>subfunctionarea;cscftimert4value;FALSE;subfunctionarea;cscftimert4value;50</v>
      </c>
    </row>
    <row r="308" spans="1:11" x14ac:dyDescent="0.3">
      <c r="A308">
        <v>8</v>
      </c>
      <c r="B308" t="s">
        <v>130</v>
      </c>
      <c r="C308" t="s">
        <v>1215</v>
      </c>
      <c r="D308" t="b">
        <v>0</v>
      </c>
      <c r="E308" t="s">
        <v>130</v>
      </c>
      <c r="F308" t="s">
        <v>1215</v>
      </c>
      <c r="G308">
        <v>50</v>
      </c>
      <c r="H308" t="str">
        <f t="shared" si="16"/>
        <v>FALSE</v>
      </c>
      <c r="I308" t="str">
        <f t="shared" si="17"/>
        <v>FALSE</v>
      </c>
      <c r="J308" t="str">
        <f t="shared" si="18"/>
        <v>FALSE</v>
      </c>
      <c r="K308" t="str">
        <f t="shared" si="19"/>
        <v>subfunctionarea;cscftrustednetwork;FALSE;subfunctionarea;cscftrustednetwork;50</v>
      </c>
    </row>
    <row r="309" spans="1:11" x14ac:dyDescent="0.3">
      <c r="A309">
        <v>8</v>
      </c>
      <c r="B309" t="s">
        <v>130</v>
      </c>
      <c r="C309" t="s">
        <v>807</v>
      </c>
      <c r="D309" t="b">
        <v>0</v>
      </c>
      <c r="E309" t="s">
        <v>130</v>
      </c>
      <c r="F309" t="s">
        <v>807</v>
      </c>
      <c r="G309">
        <v>50</v>
      </c>
      <c r="H309" t="str">
        <f t="shared" si="16"/>
        <v>FALSE</v>
      </c>
      <c r="I309" t="str">
        <f t="shared" si="17"/>
        <v>FALSE</v>
      </c>
      <c r="J309" t="str">
        <f t="shared" si="18"/>
        <v>FALSE</v>
      </c>
      <c r="K309" t="str">
        <f t="shared" si="19"/>
        <v>subfunctionarea;cscfunallocatedroutingenabled;FALSE;subfunctionarea;cscfunallocatedroutingenabled;50</v>
      </c>
    </row>
    <row r="310" spans="1:11" x14ac:dyDescent="0.3">
      <c r="A310">
        <v>8</v>
      </c>
      <c r="B310" t="s">
        <v>130</v>
      </c>
      <c r="C310" t="s">
        <v>1214</v>
      </c>
      <c r="D310" t="b">
        <v>0</v>
      </c>
      <c r="E310" t="s">
        <v>130</v>
      </c>
      <c r="F310" t="s">
        <v>1214</v>
      </c>
      <c r="G310">
        <v>50</v>
      </c>
      <c r="H310" t="str">
        <f t="shared" si="16"/>
        <v>FALSE</v>
      </c>
      <c r="I310" t="str">
        <f t="shared" si="17"/>
        <v>FALSE</v>
      </c>
      <c r="J310" t="str">
        <f t="shared" si="18"/>
        <v>FALSE</v>
      </c>
      <c r="K310" t="str">
        <f t="shared" si="19"/>
        <v>subfunctionarea;cscfunallocatetroutingenabled;FALSE;subfunctionarea;cscfunallocatetroutingenabled;50</v>
      </c>
    </row>
    <row r="311" spans="1:11" x14ac:dyDescent="0.3">
      <c r="A311">
        <v>8</v>
      </c>
      <c r="B311" t="s">
        <v>130</v>
      </c>
      <c r="C311" t="s">
        <v>1213</v>
      </c>
      <c r="D311" t="b">
        <v>0</v>
      </c>
      <c r="E311" t="s">
        <v>130</v>
      </c>
      <c r="F311" t="s">
        <v>1213</v>
      </c>
      <c r="G311">
        <v>50</v>
      </c>
      <c r="H311" t="str">
        <f t="shared" si="16"/>
        <v>FALSE</v>
      </c>
      <c r="I311" t="str">
        <f t="shared" si="17"/>
        <v>FALSE</v>
      </c>
      <c r="J311" t="str">
        <f t="shared" si="18"/>
        <v>FALSE</v>
      </c>
      <c r="K311" t="str">
        <f t="shared" si="19"/>
        <v>subfunctionarea;cscfusagestate;FALSE;subfunctionarea;cscfusagestate;50</v>
      </c>
    </row>
    <row r="312" spans="1:11" x14ac:dyDescent="0.3">
      <c r="A312">
        <v>8</v>
      </c>
      <c r="B312" t="s">
        <v>130</v>
      </c>
      <c r="C312" t="s">
        <v>808</v>
      </c>
      <c r="D312" t="b">
        <v>0</v>
      </c>
      <c r="E312" t="s">
        <v>130</v>
      </c>
      <c r="F312" t="s">
        <v>808</v>
      </c>
      <c r="G312">
        <v>50</v>
      </c>
      <c r="H312" t="str">
        <f t="shared" si="16"/>
        <v>FALSE</v>
      </c>
      <c r="I312" t="str">
        <f t="shared" si="17"/>
        <v>FALSE</v>
      </c>
      <c r="J312" t="str">
        <f t="shared" si="18"/>
        <v>FALSE</v>
      </c>
      <c r="K312" t="str">
        <f t="shared" si="19"/>
        <v>subfunctionarea;csddigitalserviceid;FALSE;subfunctionarea;csddigitalserviceid;50</v>
      </c>
    </row>
    <row r="313" spans="1:11" x14ac:dyDescent="0.3">
      <c r="A313">
        <v>8</v>
      </c>
      <c r="B313" t="s">
        <v>130</v>
      </c>
      <c r="C313" t="s">
        <v>809</v>
      </c>
      <c r="D313" t="b">
        <v>0</v>
      </c>
      <c r="E313" t="s">
        <v>130</v>
      </c>
      <c r="F313" t="s">
        <v>809</v>
      </c>
      <c r="G313">
        <v>50</v>
      </c>
      <c r="H313" t="str">
        <f t="shared" si="16"/>
        <v>FALSE</v>
      </c>
      <c r="I313" t="str">
        <f t="shared" si="17"/>
        <v>FALSE</v>
      </c>
      <c r="J313" t="str">
        <f t="shared" si="18"/>
        <v>FALSE</v>
      </c>
      <c r="K313" t="str">
        <f t="shared" si="19"/>
        <v>subfunctionarea;csdgsmfaxserviceid;FALSE;subfunctionarea;csdgsmfaxserviceid;50</v>
      </c>
    </row>
    <row r="314" spans="1:11" x14ac:dyDescent="0.3">
      <c r="A314">
        <v>8</v>
      </c>
      <c r="B314" t="s">
        <v>130</v>
      </c>
      <c r="C314" t="s">
        <v>810</v>
      </c>
      <c r="D314" t="b">
        <v>0</v>
      </c>
      <c r="E314" t="s">
        <v>130</v>
      </c>
      <c r="F314" t="s">
        <v>810</v>
      </c>
      <c r="G314">
        <v>50</v>
      </c>
      <c r="H314" t="str">
        <f t="shared" si="16"/>
        <v>FALSE</v>
      </c>
      <c r="I314" t="str">
        <f t="shared" si="17"/>
        <v>FALSE</v>
      </c>
      <c r="J314" t="str">
        <f t="shared" si="18"/>
        <v>FALSE</v>
      </c>
      <c r="K314" t="str">
        <f t="shared" si="19"/>
        <v>subfunctionarea;dasid;FALSE;subfunctionarea;dasid;50</v>
      </c>
    </row>
    <row r="315" spans="1:11" x14ac:dyDescent="0.3">
      <c r="A315">
        <v>8</v>
      </c>
      <c r="B315" t="s">
        <v>130</v>
      </c>
      <c r="C315" t="s">
        <v>811</v>
      </c>
      <c r="D315" t="b">
        <v>0</v>
      </c>
      <c r="E315" t="s">
        <v>130</v>
      </c>
      <c r="F315" t="s">
        <v>811</v>
      </c>
      <c r="G315">
        <v>50</v>
      </c>
      <c r="H315" t="str">
        <f t="shared" si="16"/>
        <v>FALSE</v>
      </c>
      <c r="I315" t="str">
        <f t="shared" si="17"/>
        <v>FALSE</v>
      </c>
      <c r="J315" t="str">
        <f t="shared" si="18"/>
        <v>FALSE</v>
      </c>
      <c r="K315" t="str">
        <f t="shared" si="19"/>
        <v>subfunctionarea;datadirectories;FALSE;subfunctionarea;datadirectories;50</v>
      </c>
    </row>
    <row r="316" spans="1:11" x14ac:dyDescent="0.3">
      <c r="A316">
        <v>8</v>
      </c>
      <c r="B316" t="s">
        <v>130</v>
      </c>
      <c r="C316" t="s">
        <v>1212</v>
      </c>
      <c r="D316" t="b">
        <v>0</v>
      </c>
      <c r="E316" t="s">
        <v>130</v>
      </c>
      <c r="F316" t="s">
        <v>1212</v>
      </c>
      <c r="G316">
        <v>50</v>
      </c>
      <c r="H316" t="str">
        <f t="shared" si="16"/>
        <v>FALSE</v>
      </c>
      <c r="I316" t="str">
        <f t="shared" si="17"/>
        <v>FALSE</v>
      </c>
      <c r="J316" t="str">
        <f t="shared" si="18"/>
        <v>FALSE</v>
      </c>
      <c r="K316" t="str">
        <f t="shared" si="19"/>
        <v>subfunctionarea;defaultlanguagecode;FALSE;subfunctionarea;defaultlanguagecode;50</v>
      </c>
    </row>
    <row r="317" spans="1:11" x14ac:dyDescent="0.3">
      <c r="A317">
        <v>8</v>
      </c>
      <c r="B317" t="s">
        <v>130</v>
      </c>
      <c r="C317" t="s">
        <v>812</v>
      </c>
      <c r="D317" t="b">
        <v>0</v>
      </c>
      <c r="E317" t="s">
        <v>130</v>
      </c>
      <c r="F317" t="s">
        <v>812</v>
      </c>
      <c r="G317">
        <v>50</v>
      </c>
      <c r="H317" t="str">
        <f t="shared" si="16"/>
        <v>FALSE</v>
      </c>
      <c r="I317" t="str">
        <f t="shared" si="17"/>
        <v>FALSE</v>
      </c>
      <c r="J317" t="str">
        <f t="shared" si="18"/>
        <v>FALSE</v>
      </c>
      <c r="K317" t="str">
        <f t="shared" si="19"/>
        <v>subfunctionarea;degcausemsp;FALSE;subfunctionarea;degcausemsp;50</v>
      </c>
    </row>
    <row r="318" spans="1:11" x14ac:dyDescent="0.3">
      <c r="A318">
        <v>8</v>
      </c>
      <c r="B318" t="s">
        <v>130</v>
      </c>
      <c r="C318" t="s">
        <v>813</v>
      </c>
      <c r="D318" t="b">
        <v>0</v>
      </c>
      <c r="E318" t="s">
        <v>130</v>
      </c>
      <c r="F318" t="s">
        <v>813</v>
      </c>
      <c r="G318">
        <v>50</v>
      </c>
      <c r="H318" t="str">
        <f t="shared" si="16"/>
        <v>FALSE</v>
      </c>
      <c r="I318" t="str">
        <f t="shared" si="17"/>
        <v>FALSE</v>
      </c>
      <c r="J318" t="str">
        <f t="shared" si="18"/>
        <v>FALSE</v>
      </c>
      <c r="K318" t="str">
        <f t="shared" si="19"/>
        <v>subfunctionarea;delayaftericmpdestunreach;FALSE;subfunctionarea;delayaftericmpdestunreach;50</v>
      </c>
    </row>
    <row r="319" spans="1:11" x14ac:dyDescent="0.3">
      <c r="A319">
        <v>8</v>
      </c>
      <c r="B319" t="s">
        <v>130</v>
      </c>
      <c r="C319" t="s">
        <v>814</v>
      </c>
      <c r="D319" t="b">
        <v>0</v>
      </c>
      <c r="E319" t="s">
        <v>130</v>
      </c>
      <c r="F319" t="s">
        <v>814</v>
      </c>
      <c r="G319">
        <v>50</v>
      </c>
      <c r="H319" t="str">
        <f t="shared" si="16"/>
        <v>FALSE</v>
      </c>
      <c r="I319" t="str">
        <f t="shared" si="17"/>
        <v>FALSE</v>
      </c>
      <c r="J319" t="str">
        <f t="shared" si="18"/>
        <v>FALSE</v>
      </c>
      <c r="K319" t="str">
        <f t="shared" si="19"/>
        <v>subfunctionarea;delayafterrtcpbye;FALSE;subfunctionarea;delayafterrtcpbye;50</v>
      </c>
    </row>
    <row r="320" spans="1:11" x14ac:dyDescent="0.3">
      <c r="A320">
        <v>8</v>
      </c>
      <c r="B320" t="s">
        <v>130</v>
      </c>
      <c r="C320" t="s">
        <v>815</v>
      </c>
      <c r="D320" t="b">
        <v>0</v>
      </c>
      <c r="E320" t="s">
        <v>130</v>
      </c>
      <c r="F320" t="s">
        <v>815</v>
      </c>
      <c r="G320">
        <v>50</v>
      </c>
      <c r="H320" t="str">
        <f t="shared" si="16"/>
        <v>FALSE</v>
      </c>
      <c r="I320" t="str">
        <f t="shared" si="17"/>
        <v>FALSE</v>
      </c>
      <c r="J320" t="str">
        <f t="shared" si="18"/>
        <v>FALSE</v>
      </c>
      <c r="K320" t="str">
        <f t="shared" si="19"/>
        <v>subfunctionarea;devicename;FALSE;subfunctionarea;devicename;50</v>
      </c>
    </row>
    <row r="321" spans="1:11" x14ac:dyDescent="0.3">
      <c r="A321">
        <v>8</v>
      </c>
      <c r="B321" t="s">
        <v>130</v>
      </c>
      <c r="C321" t="s">
        <v>92</v>
      </c>
      <c r="D321" t="b">
        <v>0</v>
      </c>
      <c r="E321" t="s">
        <v>130</v>
      </c>
      <c r="F321" t="s">
        <v>92</v>
      </c>
      <c r="G321">
        <v>50</v>
      </c>
      <c r="H321" t="str">
        <f t="shared" si="16"/>
        <v>FALSE</v>
      </c>
      <c r="I321" t="str">
        <f t="shared" si="17"/>
        <v>FALSE</v>
      </c>
      <c r="J321" t="str">
        <f t="shared" si="18"/>
        <v>FALSE</v>
      </c>
      <c r="K321" t="str">
        <f t="shared" si="19"/>
        <v>subfunctionarea;dnscachesize;FALSE;subfunctionarea;dnscachesize;50</v>
      </c>
    </row>
    <row r="322" spans="1:11" x14ac:dyDescent="0.3">
      <c r="A322">
        <v>8</v>
      </c>
      <c r="B322" t="s">
        <v>130</v>
      </c>
      <c r="C322" t="s">
        <v>816</v>
      </c>
      <c r="D322" t="b">
        <v>0</v>
      </c>
      <c r="E322" t="s">
        <v>130</v>
      </c>
      <c r="F322" t="s">
        <v>816</v>
      </c>
      <c r="G322">
        <v>50</v>
      </c>
      <c r="H322" t="str">
        <f t="shared" ref="H322:H385" si="20">IF(LEN(C322)&gt;30,"TRUE","FALSE")</f>
        <v>FALSE</v>
      </c>
      <c r="I322" t="str">
        <f t="shared" ref="I322:I385" si="21">IF(LEN(F322)&gt;30,"TRUE","FALSE")</f>
        <v>FALSE</v>
      </c>
      <c r="J322" t="str">
        <f t="shared" ref="J322:J385" si="22">IF(G322&gt;50,"TRUE","FALSE")</f>
        <v>FALSE</v>
      </c>
      <c r="K322" t="str">
        <f t="shared" ref="K322:K385" si="23">CONCATENATE(B322,";",C322,";",D322,";",E322,";",F322,";",G322)</f>
        <v>subfunctionarea;dnsclient1ref;FALSE;subfunctionarea;dnsclient1ref;50</v>
      </c>
    </row>
    <row r="323" spans="1:11" x14ac:dyDescent="0.3">
      <c r="A323">
        <v>8</v>
      </c>
      <c r="B323" t="s">
        <v>130</v>
      </c>
      <c r="C323" t="s">
        <v>817</v>
      </c>
      <c r="D323" t="b">
        <v>0</v>
      </c>
      <c r="E323" t="s">
        <v>130</v>
      </c>
      <c r="F323" t="s">
        <v>817</v>
      </c>
      <c r="G323">
        <v>50</v>
      </c>
      <c r="H323" t="str">
        <f t="shared" si="20"/>
        <v>FALSE</v>
      </c>
      <c r="I323" t="str">
        <f t="shared" si="21"/>
        <v>FALSE</v>
      </c>
      <c r="J323" t="str">
        <f t="shared" si="22"/>
        <v>FALSE</v>
      </c>
      <c r="K323" t="str">
        <f t="shared" si="23"/>
        <v>subfunctionarea;dnsclient2ref;FALSE;subfunctionarea;dnsclient2ref;50</v>
      </c>
    </row>
    <row r="324" spans="1:11" x14ac:dyDescent="0.3">
      <c r="A324">
        <v>8</v>
      </c>
      <c r="B324" t="s">
        <v>130</v>
      </c>
      <c r="C324" t="s">
        <v>90</v>
      </c>
      <c r="D324" t="b">
        <v>0</v>
      </c>
      <c r="E324" t="s">
        <v>130</v>
      </c>
      <c r="F324" t="s">
        <v>90</v>
      </c>
      <c r="G324">
        <v>50</v>
      </c>
      <c r="H324" t="str">
        <f t="shared" si="20"/>
        <v>FALSE</v>
      </c>
      <c r="I324" t="str">
        <f t="shared" si="21"/>
        <v>FALSE</v>
      </c>
      <c r="J324" t="str">
        <f t="shared" si="22"/>
        <v>FALSE</v>
      </c>
      <c r="K324" t="str">
        <f t="shared" si="23"/>
        <v>subfunctionarea;dnsexpiredcachebehavior;FALSE;subfunctionarea;dnsexpiredcachebehavior;50</v>
      </c>
    </row>
    <row r="325" spans="1:11" x14ac:dyDescent="0.3">
      <c r="A325">
        <v>8</v>
      </c>
      <c r="B325" t="s">
        <v>130</v>
      </c>
      <c r="C325" t="s">
        <v>1211</v>
      </c>
      <c r="D325" t="b">
        <v>0</v>
      </c>
      <c r="E325" t="s">
        <v>130</v>
      </c>
      <c r="F325" t="s">
        <v>1211</v>
      </c>
      <c r="G325">
        <v>50</v>
      </c>
      <c r="H325" t="str">
        <f t="shared" si="20"/>
        <v>FALSE</v>
      </c>
      <c r="I325" t="str">
        <f t="shared" si="21"/>
        <v>FALSE</v>
      </c>
      <c r="J325" t="str">
        <f t="shared" si="22"/>
        <v>FALSE</v>
      </c>
      <c r="K325" t="str">
        <f t="shared" si="23"/>
        <v>subfunctionarea;dnsid;FALSE;subfunctionarea;dnsid;50</v>
      </c>
    </row>
    <row r="326" spans="1:11" x14ac:dyDescent="0.3">
      <c r="A326">
        <v>8</v>
      </c>
      <c r="B326" t="s">
        <v>130</v>
      </c>
      <c r="C326" t="s">
        <v>94</v>
      </c>
      <c r="D326" t="b">
        <v>0</v>
      </c>
      <c r="E326" t="s">
        <v>130</v>
      </c>
      <c r="F326" t="s">
        <v>94</v>
      </c>
      <c r="G326">
        <v>50</v>
      </c>
      <c r="H326" t="str">
        <f t="shared" si="20"/>
        <v>FALSE</v>
      </c>
      <c r="I326" t="str">
        <f t="shared" si="21"/>
        <v>FALSE</v>
      </c>
      <c r="J326" t="str">
        <f t="shared" si="22"/>
        <v>FALSE</v>
      </c>
      <c r="K326" t="str">
        <f t="shared" si="23"/>
        <v>subfunctionarea;dnslocaladdress;FALSE;subfunctionarea;dnslocaladdress;50</v>
      </c>
    </row>
    <row r="327" spans="1:11" x14ac:dyDescent="0.3">
      <c r="A327">
        <v>8</v>
      </c>
      <c r="B327" t="s">
        <v>130</v>
      </c>
      <c r="C327" t="s">
        <v>91</v>
      </c>
      <c r="D327" t="b">
        <v>0</v>
      </c>
      <c r="E327" t="s">
        <v>130</v>
      </c>
      <c r="F327" t="s">
        <v>91</v>
      </c>
      <c r="G327">
        <v>50</v>
      </c>
      <c r="H327" t="str">
        <f t="shared" si="20"/>
        <v>FALSE</v>
      </c>
      <c r="I327" t="str">
        <f t="shared" si="21"/>
        <v>FALSE</v>
      </c>
      <c r="J327" t="str">
        <f t="shared" si="22"/>
        <v>FALSE</v>
      </c>
      <c r="K327" t="str">
        <f t="shared" si="23"/>
        <v>subfunctionarea;dnsretransmissiontimer;FALSE;subfunctionarea;dnsretransmissiontimer;50</v>
      </c>
    </row>
    <row r="328" spans="1:11" x14ac:dyDescent="0.3">
      <c r="A328">
        <v>8</v>
      </c>
      <c r="B328" t="s">
        <v>130</v>
      </c>
      <c r="C328" t="s">
        <v>93</v>
      </c>
      <c r="D328" t="b">
        <v>0</v>
      </c>
      <c r="E328" t="s">
        <v>130</v>
      </c>
      <c r="F328" t="s">
        <v>93</v>
      </c>
      <c r="G328">
        <v>50</v>
      </c>
      <c r="H328" t="str">
        <f t="shared" si="20"/>
        <v>FALSE</v>
      </c>
      <c r="I328" t="str">
        <f t="shared" si="21"/>
        <v>FALSE</v>
      </c>
      <c r="J328" t="str">
        <f t="shared" si="22"/>
        <v>FALSE</v>
      </c>
      <c r="K328" t="str">
        <f t="shared" si="23"/>
        <v>subfunctionarea;dnsserverentry;FALSE;subfunctionarea;dnsserverentry;50</v>
      </c>
    </row>
    <row r="329" spans="1:11" x14ac:dyDescent="0.3">
      <c r="A329">
        <v>8</v>
      </c>
      <c r="B329" t="s">
        <v>130</v>
      </c>
      <c r="C329" t="s">
        <v>1210</v>
      </c>
      <c r="D329" t="b">
        <v>0</v>
      </c>
      <c r="E329" t="s">
        <v>130</v>
      </c>
      <c r="F329" t="s">
        <v>1210</v>
      </c>
      <c r="G329">
        <v>50</v>
      </c>
      <c r="H329" t="str">
        <f t="shared" si="20"/>
        <v>FALSE</v>
      </c>
      <c r="I329" t="str">
        <f t="shared" si="21"/>
        <v>FALSE</v>
      </c>
      <c r="J329" t="str">
        <f t="shared" si="22"/>
        <v>FALSE</v>
      </c>
      <c r="K329" t="str">
        <f t="shared" si="23"/>
        <v>subfunctionarea;dscp;FALSE;subfunctionarea;dscp;50</v>
      </c>
    </row>
    <row r="330" spans="1:11" x14ac:dyDescent="0.3">
      <c r="A330">
        <v>8</v>
      </c>
      <c r="B330" t="s">
        <v>130</v>
      </c>
      <c r="C330" t="s">
        <v>1209</v>
      </c>
      <c r="D330" t="b">
        <v>0</v>
      </c>
      <c r="E330" t="s">
        <v>130</v>
      </c>
      <c r="F330" t="s">
        <v>1209</v>
      </c>
      <c r="G330">
        <v>50</v>
      </c>
      <c r="H330" t="str">
        <f t="shared" si="20"/>
        <v>FALSE</v>
      </c>
      <c r="I330" t="str">
        <f t="shared" si="21"/>
        <v>FALSE</v>
      </c>
      <c r="J330" t="str">
        <f t="shared" si="22"/>
        <v>FALSE</v>
      </c>
      <c r="K330" t="str">
        <f t="shared" si="23"/>
        <v>subfunctionarea;dscp00;FALSE;subfunctionarea;dscp00;50</v>
      </c>
    </row>
    <row r="331" spans="1:11" x14ac:dyDescent="0.3">
      <c r="A331">
        <v>8</v>
      </c>
      <c r="B331" t="s">
        <v>130</v>
      </c>
      <c r="C331" t="s">
        <v>1208</v>
      </c>
      <c r="D331" t="b">
        <v>0</v>
      </c>
      <c r="E331" t="s">
        <v>130</v>
      </c>
      <c r="F331" t="s">
        <v>1208</v>
      </c>
      <c r="G331">
        <v>50</v>
      </c>
      <c r="H331" t="str">
        <f t="shared" si="20"/>
        <v>FALSE</v>
      </c>
      <c r="I331" t="str">
        <f t="shared" si="21"/>
        <v>FALSE</v>
      </c>
      <c r="J331" t="str">
        <f t="shared" si="22"/>
        <v>FALSE</v>
      </c>
      <c r="K331" t="str">
        <f t="shared" si="23"/>
        <v>subfunctionarea;dscp01;FALSE;subfunctionarea;dscp01;50</v>
      </c>
    </row>
    <row r="332" spans="1:11" x14ac:dyDescent="0.3">
      <c r="A332">
        <v>8</v>
      </c>
      <c r="B332" t="s">
        <v>130</v>
      </c>
      <c r="C332" t="s">
        <v>1207</v>
      </c>
      <c r="D332" t="b">
        <v>0</v>
      </c>
      <c r="E332" t="s">
        <v>130</v>
      </c>
      <c r="F332" t="s">
        <v>1207</v>
      </c>
      <c r="G332">
        <v>50</v>
      </c>
      <c r="H332" t="str">
        <f t="shared" si="20"/>
        <v>FALSE</v>
      </c>
      <c r="I332" t="str">
        <f t="shared" si="21"/>
        <v>FALSE</v>
      </c>
      <c r="J332" t="str">
        <f t="shared" si="22"/>
        <v>FALSE</v>
      </c>
      <c r="K332" t="str">
        <f t="shared" si="23"/>
        <v>subfunctionarea;dscp02;FALSE;subfunctionarea;dscp02;50</v>
      </c>
    </row>
    <row r="333" spans="1:11" x14ac:dyDescent="0.3">
      <c r="A333">
        <v>8</v>
      </c>
      <c r="B333" t="s">
        <v>130</v>
      </c>
      <c r="C333" t="s">
        <v>1206</v>
      </c>
      <c r="D333" t="b">
        <v>0</v>
      </c>
      <c r="E333" t="s">
        <v>130</v>
      </c>
      <c r="F333" t="s">
        <v>1206</v>
      </c>
      <c r="G333">
        <v>50</v>
      </c>
      <c r="H333" t="str">
        <f t="shared" si="20"/>
        <v>FALSE</v>
      </c>
      <c r="I333" t="str">
        <f t="shared" si="21"/>
        <v>FALSE</v>
      </c>
      <c r="J333" t="str">
        <f t="shared" si="22"/>
        <v>FALSE</v>
      </c>
      <c r="K333" t="str">
        <f t="shared" si="23"/>
        <v>subfunctionarea;dscp03;FALSE;subfunctionarea;dscp03;50</v>
      </c>
    </row>
    <row r="334" spans="1:11" x14ac:dyDescent="0.3">
      <c r="A334">
        <v>8</v>
      </c>
      <c r="B334" t="s">
        <v>130</v>
      </c>
      <c r="C334" t="s">
        <v>1205</v>
      </c>
      <c r="D334" t="b">
        <v>0</v>
      </c>
      <c r="E334" t="s">
        <v>130</v>
      </c>
      <c r="F334" t="s">
        <v>1205</v>
      </c>
      <c r="G334">
        <v>50</v>
      </c>
      <c r="H334" t="str">
        <f t="shared" si="20"/>
        <v>FALSE</v>
      </c>
      <c r="I334" t="str">
        <f t="shared" si="21"/>
        <v>FALSE</v>
      </c>
      <c r="J334" t="str">
        <f t="shared" si="22"/>
        <v>FALSE</v>
      </c>
      <c r="K334" t="str">
        <f t="shared" si="23"/>
        <v>subfunctionarea;dscp04;FALSE;subfunctionarea;dscp04;50</v>
      </c>
    </row>
    <row r="335" spans="1:11" x14ac:dyDescent="0.3">
      <c r="A335">
        <v>8</v>
      </c>
      <c r="B335" t="s">
        <v>130</v>
      </c>
      <c r="C335" t="s">
        <v>1204</v>
      </c>
      <c r="D335" t="b">
        <v>0</v>
      </c>
      <c r="E335" t="s">
        <v>130</v>
      </c>
      <c r="F335" t="s">
        <v>1204</v>
      </c>
      <c r="G335">
        <v>50</v>
      </c>
      <c r="H335" t="str">
        <f t="shared" si="20"/>
        <v>FALSE</v>
      </c>
      <c r="I335" t="str">
        <f t="shared" si="21"/>
        <v>FALSE</v>
      </c>
      <c r="J335" t="str">
        <f t="shared" si="22"/>
        <v>FALSE</v>
      </c>
      <c r="K335" t="str">
        <f t="shared" si="23"/>
        <v>subfunctionarea;dscp05;FALSE;subfunctionarea;dscp05;50</v>
      </c>
    </row>
    <row r="336" spans="1:11" x14ac:dyDescent="0.3">
      <c r="A336">
        <v>8</v>
      </c>
      <c r="B336" t="s">
        <v>130</v>
      </c>
      <c r="C336" t="s">
        <v>1203</v>
      </c>
      <c r="D336" t="b">
        <v>0</v>
      </c>
      <c r="E336" t="s">
        <v>130</v>
      </c>
      <c r="F336" t="s">
        <v>1203</v>
      </c>
      <c r="G336">
        <v>50</v>
      </c>
      <c r="H336" t="str">
        <f t="shared" si="20"/>
        <v>FALSE</v>
      </c>
      <c r="I336" t="str">
        <f t="shared" si="21"/>
        <v>FALSE</v>
      </c>
      <c r="J336" t="str">
        <f t="shared" si="22"/>
        <v>FALSE</v>
      </c>
      <c r="K336" t="str">
        <f t="shared" si="23"/>
        <v>subfunctionarea;dscp06;FALSE;subfunctionarea;dscp06;50</v>
      </c>
    </row>
    <row r="337" spans="1:11" x14ac:dyDescent="0.3">
      <c r="A337">
        <v>8</v>
      </c>
      <c r="B337" t="s">
        <v>130</v>
      </c>
      <c r="C337" t="s">
        <v>1202</v>
      </c>
      <c r="D337" t="b">
        <v>0</v>
      </c>
      <c r="E337" t="s">
        <v>130</v>
      </c>
      <c r="F337" t="s">
        <v>1202</v>
      </c>
      <c r="G337">
        <v>50</v>
      </c>
      <c r="H337" t="str">
        <f t="shared" si="20"/>
        <v>FALSE</v>
      </c>
      <c r="I337" t="str">
        <f t="shared" si="21"/>
        <v>FALSE</v>
      </c>
      <c r="J337" t="str">
        <f t="shared" si="22"/>
        <v>FALSE</v>
      </c>
      <c r="K337" t="str">
        <f t="shared" si="23"/>
        <v>subfunctionarea;dscp07;FALSE;subfunctionarea;dscp07;50</v>
      </c>
    </row>
    <row r="338" spans="1:11" x14ac:dyDescent="0.3">
      <c r="A338">
        <v>8</v>
      </c>
      <c r="B338" t="s">
        <v>130</v>
      </c>
      <c r="C338" t="s">
        <v>1201</v>
      </c>
      <c r="D338" t="b">
        <v>0</v>
      </c>
      <c r="E338" t="s">
        <v>130</v>
      </c>
      <c r="F338" t="s">
        <v>1201</v>
      </c>
      <c r="G338">
        <v>50</v>
      </c>
      <c r="H338" t="str">
        <f t="shared" si="20"/>
        <v>FALSE</v>
      </c>
      <c r="I338" t="str">
        <f t="shared" si="21"/>
        <v>FALSE</v>
      </c>
      <c r="J338" t="str">
        <f t="shared" si="22"/>
        <v>FALSE</v>
      </c>
      <c r="K338" t="str">
        <f t="shared" si="23"/>
        <v>subfunctionarea;dscp08;FALSE;subfunctionarea;dscp08;50</v>
      </c>
    </row>
    <row r="339" spans="1:11" x14ac:dyDescent="0.3">
      <c r="A339">
        <v>8</v>
      </c>
      <c r="B339" t="s">
        <v>130</v>
      </c>
      <c r="C339" t="s">
        <v>1200</v>
      </c>
      <c r="D339" t="b">
        <v>0</v>
      </c>
      <c r="E339" t="s">
        <v>130</v>
      </c>
      <c r="F339" t="s">
        <v>1200</v>
      </c>
      <c r="G339">
        <v>50</v>
      </c>
      <c r="H339" t="str">
        <f t="shared" si="20"/>
        <v>FALSE</v>
      </c>
      <c r="I339" t="str">
        <f t="shared" si="21"/>
        <v>FALSE</v>
      </c>
      <c r="J339" t="str">
        <f t="shared" si="22"/>
        <v>FALSE</v>
      </c>
      <c r="K339" t="str">
        <f t="shared" si="23"/>
        <v>subfunctionarea;dscp09;FALSE;subfunctionarea;dscp09;50</v>
      </c>
    </row>
    <row r="340" spans="1:11" x14ac:dyDescent="0.3">
      <c r="A340">
        <v>8</v>
      </c>
      <c r="B340" t="s">
        <v>130</v>
      </c>
      <c r="C340" t="s">
        <v>1199</v>
      </c>
      <c r="D340" t="b">
        <v>0</v>
      </c>
      <c r="E340" t="s">
        <v>130</v>
      </c>
      <c r="F340" t="s">
        <v>780</v>
      </c>
      <c r="G340">
        <v>50</v>
      </c>
      <c r="H340" t="str">
        <f t="shared" si="20"/>
        <v>FALSE</v>
      </c>
      <c r="I340" t="str">
        <f t="shared" si="21"/>
        <v>FALSE</v>
      </c>
      <c r="J340" t="str">
        <f t="shared" si="22"/>
        <v>FALSE</v>
      </c>
      <c r="K340" t="str">
        <f t="shared" si="23"/>
        <v>subfunctionarea;dscp1;FALSE;subfunctionarea;dscp10;50</v>
      </c>
    </row>
    <row r="341" spans="1:11" x14ac:dyDescent="0.3">
      <c r="A341">
        <v>8</v>
      </c>
      <c r="B341" t="s">
        <v>130</v>
      </c>
      <c r="C341" t="s">
        <v>780</v>
      </c>
      <c r="D341" t="b">
        <v>0</v>
      </c>
      <c r="E341" t="s">
        <v>130</v>
      </c>
      <c r="F341" t="s">
        <v>780</v>
      </c>
      <c r="G341">
        <v>50</v>
      </c>
      <c r="H341" t="str">
        <f t="shared" si="20"/>
        <v>FALSE</v>
      </c>
      <c r="I341" t="str">
        <f t="shared" si="21"/>
        <v>FALSE</v>
      </c>
      <c r="J341" t="str">
        <f t="shared" si="22"/>
        <v>FALSE</v>
      </c>
      <c r="K341" t="str">
        <f t="shared" si="23"/>
        <v>subfunctionarea;dscp10;FALSE;subfunctionarea;dscp10;50</v>
      </c>
    </row>
    <row r="342" spans="1:11" x14ac:dyDescent="0.3">
      <c r="A342">
        <v>8</v>
      </c>
      <c r="B342" t="s">
        <v>130</v>
      </c>
      <c r="C342" t="s">
        <v>1198</v>
      </c>
      <c r="D342" t="b">
        <v>0</v>
      </c>
      <c r="E342" t="s">
        <v>130</v>
      </c>
      <c r="F342" t="s">
        <v>1198</v>
      </c>
      <c r="G342">
        <v>50</v>
      </c>
      <c r="H342" t="str">
        <f t="shared" si="20"/>
        <v>FALSE</v>
      </c>
      <c r="I342" t="str">
        <f t="shared" si="21"/>
        <v>FALSE</v>
      </c>
      <c r="J342" t="str">
        <f t="shared" si="22"/>
        <v>FALSE</v>
      </c>
      <c r="K342" t="str">
        <f t="shared" si="23"/>
        <v>subfunctionarea;dscp11;FALSE;subfunctionarea;dscp11;50</v>
      </c>
    </row>
    <row r="343" spans="1:11" x14ac:dyDescent="0.3">
      <c r="A343">
        <v>8</v>
      </c>
      <c r="B343" t="s">
        <v>130</v>
      </c>
      <c r="C343" t="s">
        <v>1197</v>
      </c>
      <c r="D343" t="b">
        <v>0</v>
      </c>
      <c r="E343" t="s">
        <v>130</v>
      </c>
      <c r="F343" t="s">
        <v>1197</v>
      </c>
      <c r="G343">
        <v>50</v>
      </c>
      <c r="H343" t="str">
        <f t="shared" si="20"/>
        <v>FALSE</v>
      </c>
      <c r="I343" t="str">
        <f t="shared" si="21"/>
        <v>FALSE</v>
      </c>
      <c r="J343" t="str">
        <f t="shared" si="22"/>
        <v>FALSE</v>
      </c>
      <c r="K343" t="str">
        <f t="shared" si="23"/>
        <v>subfunctionarea;dscp12;FALSE;subfunctionarea;dscp12;50</v>
      </c>
    </row>
    <row r="344" spans="1:11" x14ac:dyDescent="0.3">
      <c r="A344">
        <v>8</v>
      </c>
      <c r="B344" t="s">
        <v>130</v>
      </c>
      <c r="C344" t="s">
        <v>1196</v>
      </c>
      <c r="D344" t="b">
        <v>0</v>
      </c>
      <c r="E344" t="s">
        <v>130</v>
      </c>
      <c r="F344" t="s">
        <v>1196</v>
      </c>
      <c r="G344">
        <v>50</v>
      </c>
      <c r="H344" t="str">
        <f t="shared" si="20"/>
        <v>FALSE</v>
      </c>
      <c r="I344" t="str">
        <f t="shared" si="21"/>
        <v>FALSE</v>
      </c>
      <c r="J344" t="str">
        <f t="shared" si="22"/>
        <v>FALSE</v>
      </c>
      <c r="K344" t="str">
        <f t="shared" si="23"/>
        <v>subfunctionarea;dscp13;FALSE;subfunctionarea;dscp13;50</v>
      </c>
    </row>
    <row r="345" spans="1:11" x14ac:dyDescent="0.3">
      <c r="A345">
        <v>8</v>
      </c>
      <c r="B345" t="s">
        <v>130</v>
      </c>
      <c r="C345" t="s">
        <v>1195</v>
      </c>
      <c r="D345" t="b">
        <v>0</v>
      </c>
      <c r="E345" t="s">
        <v>130</v>
      </c>
      <c r="F345" t="s">
        <v>1195</v>
      </c>
      <c r="G345">
        <v>50</v>
      </c>
      <c r="H345" t="str">
        <f t="shared" si="20"/>
        <v>FALSE</v>
      </c>
      <c r="I345" t="str">
        <f t="shared" si="21"/>
        <v>FALSE</v>
      </c>
      <c r="J345" t="str">
        <f t="shared" si="22"/>
        <v>FALSE</v>
      </c>
      <c r="K345" t="str">
        <f t="shared" si="23"/>
        <v>subfunctionarea;dscp14;FALSE;subfunctionarea;dscp14;50</v>
      </c>
    </row>
    <row r="346" spans="1:11" x14ac:dyDescent="0.3">
      <c r="A346">
        <v>8</v>
      </c>
      <c r="B346" t="s">
        <v>130</v>
      </c>
      <c r="C346" t="s">
        <v>1194</v>
      </c>
      <c r="D346" t="b">
        <v>0</v>
      </c>
      <c r="E346" t="s">
        <v>130</v>
      </c>
      <c r="F346" t="s">
        <v>1194</v>
      </c>
      <c r="G346">
        <v>50</v>
      </c>
      <c r="H346" t="str">
        <f t="shared" si="20"/>
        <v>FALSE</v>
      </c>
      <c r="I346" t="str">
        <f t="shared" si="21"/>
        <v>FALSE</v>
      </c>
      <c r="J346" t="str">
        <f t="shared" si="22"/>
        <v>FALSE</v>
      </c>
      <c r="K346" t="str">
        <f t="shared" si="23"/>
        <v>subfunctionarea;dscp15;FALSE;subfunctionarea;dscp15;50</v>
      </c>
    </row>
    <row r="347" spans="1:11" x14ac:dyDescent="0.3">
      <c r="A347">
        <v>8</v>
      </c>
      <c r="B347" t="s">
        <v>130</v>
      </c>
      <c r="C347" t="s">
        <v>1193</v>
      </c>
      <c r="D347" t="b">
        <v>0</v>
      </c>
      <c r="E347" t="s">
        <v>130</v>
      </c>
      <c r="F347" t="s">
        <v>1193</v>
      </c>
      <c r="G347">
        <v>50</v>
      </c>
      <c r="H347" t="str">
        <f t="shared" si="20"/>
        <v>FALSE</v>
      </c>
      <c r="I347" t="str">
        <f t="shared" si="21"/>
        <v>FALSE</v>
      </c>
      <c r="J347" t="str">
        <f t="shared" si="22"/>
        <v>FALSE</v>
      </c>
      <c r="K347" t="str">
        <f t="shared" si="23"/>
        <v>subfunctionarea;dscp16;FALSE;subfunctionarea;dscp16;50</v>
      </c>
    </row>
    <row r="348" spans="1:11" x14ac:dyDescent="0.3">
      <c r="A348">
        <v>8</v>
      </c>
      <c r="B348" t="s">
        <v>130</v>
      </c>
      <c r="C348" t="s">
        <v>1192</v>
      </c>
      <c r="D348" t="b">
        <v>0</v>
      </c>
      <c r="E348" t="s">
        <v>130</v>
      </c>
      <c r="F348" t="s">
        <v>1192</v>
      </c>
      <c r="G348">
        <v>50</v>
      </c>
      <c r="H348" t="str">
        <f t="shared" si="20"/>
        <v>FALSE</v>
      </c>
      <c r="I348" t="str">
        <f t="shared" si="21"/>
        <v>FALSE</v>
      </c>
      <c r="J348" t="str">
        <f t="shared" si="22"/>
        <v>FALSE</v>
      </c>
      <c r="K348" t="str">
        <f t="shared" si="23"/>
        <v>subfunctionarea;dscp17;FALSE;subfunctionarea;dscp17;50</v>
      </c>
    </row>
    <row r="349" spans="1:11" x14ac:dyDescent="0.3">
      <c r="A349">
        <v>8</v>
      </c>
      <c r="B349" t="s">
        <v>130</v>
      </c>
      <c r="C349" t="s">
        <v>1191</v>
      </c>
      <c r="D349" t="b">
        <v>0</v>
      </c>
      <c r="E349" t="s">
        <v>130</v>
      </c>
      <c r="F349" t="s">
        <v>1191</v>
      </c>
      <c r="G349">
        <v>50</v>
      </c>
      <c r="H349" t="str">
        <f t="shared" si="20"/>
        <v>FALSE</v>
      </c>
      <c r="I349" t="str">
        <f t="shared" si="21"/>
        <v>FALSE</v>
      </c>
      <c r="J349" t="str">
        <f t="shared" si="22"/>
        <v>FALSE</v>
      </c>
      <c r="K349" t="str">
        <f t="shared" si="23"/>
        <v>subfunctionarea;dscp18;FALSE;subfunctionarea;dscp18;50</v>
      </c>
    </row>
    <row r="350" spans="1:11" x14ac:dyDescent="0.3">
      <c r="A350">
        <v>8</v>
      </c>
      <c r="B350" t="s">
        <v>130</v>
      </c>
      <c r="C350" t="s">
        <v>1190</v>
      </c>
      <c r="D350" t="b">
        <v>0</v>
      </c>
      <c r="E350" t="s">
        <v>130</v>
      </c>
      <c r="F350" t="s">
        <v>1190</v>
      </c>
      <c r="G350">
        <v>50</v>
      </c>
      <c r="H350" t="str">
        <f t="shared" si="20"/>
        <v>FALSE</v>
      </c>
      <c r="I350" t="str">
        <f t="shared" si="21"/>
        <v>FALSE</v>
      </c>
      <c r="J350" t="str">
        <f t="shared" si="22"/>
        <v>FALSE</v>
      </c>
      <c r="K350" t="str">
        <f t="shared" si="23"/>
        <v>subfunctionarea;dscp19;FALSE;subfunctionarea;dscp19;50</v>
      </c>
    </row>
    <row r="351" spans="1:11" x14ac:dyDescent="0.3">
      <c r="A351">
        <v>8</v>
      </c>
      <c r="B351" t="s">
        <v>130</v>
      </c>
      <c r="C351" t="s">
        <v>1189</v>
      </c>
      <c r="D351" t="b">
        <v>0</v>
      </c>
      <c r="E351" t="s">
        <v>130</v>
      </c>
      <c r="F351" t="s">
        <v>1189</v>
      </c>
      <c r="G351">
        <v>50</v>
      </c>
      <c r="H351" t="str">
        <f t="shared" si="20"/>
        <v>FALSE</v>
      </c>
      <c r="I351" t="str">
        <f t="shared" si="21"/>
        <v>FALSE</v>
      </c>
      <c r="J351" t="str">
        <f t="shared" si="22"/>
        <v>FALSE</v>
      </c>
      <c r="K351" t="str">
        <f t="shared" si="23"/>
        <v>subfunctionarea;dscp20;FALSE;subfunctionarea;dscp20;50</v>
      </c>
    </row>
    <row r="352" spans="1:11" x14ac:dyDescent="0.3">
      <c r="A352">
        <v>8</v>
      </c>
      <c r="B352" t="s">
        <v>130</v>
      </c>
      <c r="C352" t="s">
        <v>1188</v>
      </c>
      <c r="D352" t="b">
        <v>0</v>
      </c>
      <c r="E352" t="s">
        <v>130</v>
      </c>
      <c r="F352" t="s">
        <v>1188</v>
      </c>
      <c r="G352">
        <v>50</v>
      </c>
      <c r="H352" t="str">
        <f t="shared" si="20"/>
        <v>FALSE</v>
      </c>
      <c r="I352" t="str">
        <f t="shared" si="21"/>
        <v>FALSE</v>
      </c>
      <c r="J352" t="str">
        <f t="shared" si="22"/>
        <v>FALSE</v>
      </c>
      <c r="K352" t="str">
        <f t="shared" si="23"/>
        <v>subfunctionarea;dscp21;FALSE;subfunctionarea;dscp21;50</v>
      </c>
    </row>
    <row r="353" spans="1:11" x14ac:dyDescent="0.3">
      <c r="A353">
        <v>8</v>
      </c>
      <c r="B353" t="s">
        <v>130</v>
      </c>
      <c r="C353" t="s">
        <v>1187</v>
      </c>
      <c r="D353" t="b">
        <v>0</v>
      </c>
      <c r="E353" t="s">
        <v>130</v>
      </c>
      <c r="F353" t="s">
        <v>1187</v>
      </c>
      <c r="G353">
        <v>50</v>
      </c>
      <c r="H353" t="str">
        <f t="shared" si="20"/>
        <v>FALSE</v>
      </c>
      <c r="I353" t="str">
        <f t="shared" si="21"/>
        <v>FALSE</v>
      </c>
      <c r="J353" t="str">
        <f t="shared" si="22"/>
        <v>FALSE</v>
      </c>
      <c r="K353" t="str">
        <f t="shared" si="23"/>
        <v>subfunctionarea;dscp22;FALSE;subfunctionarea;dscp22;50</v>
      </c>
    </row>
    <row r="354" spans="1:11" x14ac:dyDescent="0.3">
      <c r="A354">
        <v>8</v>
      </c>
      <c r="B354" t="s">
        <v>130</v>
      </c>
      <c r="C354" t="s">
        <v>1186</v>
      </c>
      <c r="D354" t="b">
        <v>0</v>
      </c>
      <c r="E354" t="s">
        <v>130</v>
      </c>
      <c r="F354" t="s">
        <v>1186</v>
      </c>
      <c r="G354">
        <v>50</v>
      </c>
      <c r="H354" t="str">
        <f t="shared" si="20"/>
        <v>FALSE</v>
      </c>
      <c r="I354" t="str">
        <f t="shared" si="21"/>
        <v>FALSE</v>
      </c>
      <c r="J354" t="str">
        <f t="shared" si="22"/>
        <v>FALSE</v>
      </c>
      <c r="K354" t="str">
        <f t="shared" si="23"/>
        <v>subfunctionarea;dscp23;FALSE;subfunctionarea;dscp23;50</v>
      </c>
    </row>
    <row r="355" spans="1:11" x14ac:dyDescent="0.3">
      <c r="A355">
        <v>8</v>
      </c>
      <c r="B355" t="s">
        <v>130</v>
      </c>
      <c r="C355" t="s">
        <v>1185</v>
      </c>
      <c r="D355" t="b">
        <v>0</v>
      </c>
      <c r="E355" t="s">
        <v>130</v>
      </c>
      <c r="F355" t="s">
        <v>1185</v>
      </c>
      <c r="G355">
        <v>50</v>
      </c>
      <c r="H355" t="str">
        <f t="shared" si="20"/>
        <v>FALSE</v>
      </c>
      <c r="I355" t="str">
        <f t="shared" si="21"/>
        <v>FALSE</v>
      </c>
      <c r="J355" t="str">
        <f t="shared" si="22"/>
        <v>FALSE</v>
      </c>
      <c r="K355" t="str">
        <f t="shared" si="23"/>
        <v>subfunctionarea;dscp24;FALSE;subfunctionarea;dscp24;50</v>
      </c>
    </row>
    <row r="356" spans="1:11" x14ac:dyDescent="0.3">
      <c r="A356">
        <v>8</v>
      </c>
      <c r="B356" t="s">
        <v>130</v>
      </c>
      <c r="C356" t="s">
        <v>1184</v>
      </c>
      <c r="D356" t="b">
        <v>0</v>
      </c>
      <c r="E356" t="s">
        <v>130</v>
      </c>
      <c r="F356" t="s">
        <v>1184</v>
      </c>
      <c r="G356">
        <v>50</v>
      </c>
      <c r="H356" t="str">
        <f t="shared" si="20"/>
        <v>FALSE</v>
      </c>
      <c r="I356" t="str">
        <f t="shared" si="21"/>
        <v>FALSE</v>
      </c>
      <c r="J356" t="str">
        <f t="shared" si="22"/>
        <v>FALSE</v>
      </c>
      <c r="K356" t="str">
        <f t="shared" si="23"/>
        <v>subfunctionarea;dscp25;FALSE;subfunctionarea;dscp25;50</v>
      </c>
    </row>
    <row r="357" spans="1:11" x14ac:dyDescent="0.3">
      <c r="A357">
        <v>8</v>
      </c>
      <c r="B357" t="s">
        <v>130</v>
      </c>
      <c r="C357" t="s">
        <v>1183</v>
      </c>
      <c r="D357" t="b">
        <v>0</v>
      </c>
      <c r="E357" t="s">
        <v>130</v>
      </c>
      <c r="F357" t="s">
        <v>1183</v>
      </c>
      <c r="G357">
        <v>50</v>
      </c>
      <c r="H357" t="str">
        <f t="shared" si="20"/>
        <v>FALSE</v>
      </c>
      <c r="I357" t="str">
        <f t="shared" si="21"/>
        <v>FALSE</v>
      </c>
      <c r="J357" t="str">
        <f t="shared" si="22"/>
        <v>FALSE</v>
      </c>
      <c r="K357" t="str">
        <f t="shared" si="23"/>
        <v>subfunctionarea;dscp26;FALSE;subfunctionarea;dscp26;50</v>
      </c>
    </row>
    <row r="358" spans="1:11" x14ac:dyDescent="0.3">
      <c r="A358">
        <v>8</v>
      </c>
      <c r="B358" t="s">
        <v>130</v>
      </c>
      <c r="C358" t="s">
        <v>1182</v>
      </c>
      <c r="D358" t="b">
        <v>0</v>
      </c>
      <c r="E358" t="s">
        <v>130</v>
      </c>
      <c r="F358" t="s">
        <v>1182</v>
      </c>
      <c r="G358">
        <v>50</v>
      </c>
      <c r="H358" t="str">
        <f t="shared" si="20"/>
        <v>FALSE</v>
      </c>
      <c r="I358" t="str">
        <f t="shared" si="21"/>
        <v>FALSE</v>
      </c>
      <c r="J358" t="str">
        <f t="shared" si="22"/>
        <v>FALSE</v>
      </c>
      <c r="K358" t="str">
        <f t="shared" si="23"/>
        <v>subfunctionarea;dscp27;FALSE;subfunctionarea;dscp27;50</v>
      </c>
    </row>
    <row r="359" spans="1:11" x14ac:dyDescent="0.3">
      <c r="A359">
        <v>8</v>
      </c>
      <c r="B359" t="s">
        <v>130</v>
      </c>
      <c r="C359" t="s">
        <v>1181</v>
      </c>
      <c r="D359" t="b">
        <v>0</v>
      </c>
      <c r="E359" t="s">
        <v>130</v>
      </c>
      <c r="F359" t="s">
        <v>1181</v>
      </c>
      <c r="G359">
        <v>50</v>
      </c>
      <c r="H359" t="str">
        <f t="shared" si="20"/>
        <v>FALSE</v>
      </c>
      <c r="I359" t="str">
        <f t="shared" si="21"/>
        <v>FALSE</v>
      </c>
      <c r="J359" t="str">
        <f t="shared" si="22"/>
        <v>FALSE</v>
      </c>
      <c r="K359" t="str">
        <f t="shared" si="23"/>
        <v>subfunctionarea;dscp28;FALSE;subfunctionarea;dscp28;50</v>
      </c>
    </row>
    <row r="360" spans="1:11" x14ac:dyDescent="0.3">
      <c r="A360">
        <v>8</v>
      </c>
      <c r="B360" t="s">
        <v>130</v>
      </c>
      <c r="C360" t="s">
        <v>1180</v>
      </c>
      <c r="D360" t="b">
        <v>0</v>
      </c>
      <c r="E360" t="s">
        <v>130</v>
      </c>
      <c r="F360" t="s">
        <v>1180</v>
      </c>
      <c r="G360">
        <v>50</v>
      </c>
      <c r="H360" t="str">
        <f t="shared" si="20"/>
        <v>FALSE</v>
      </c>
      <c r="I360" t="str">
        <f t="shared" si="21"/>
        <v>FALSE</v>
      </c>
      <c r="J360" t="str">
        <f t="shared" si="22"/>
        <v>FALSE</v>
      </c>
      <c r="K360" t="str">
        <f t="shared" si="23"/>
        <v>subfunctionarea;dscp29;FALSE;subfunctionarea;dscp29;50</v>
      </c>
    </row>
    <row r="361" spans="1:11" x14ac:dyDescent="0.3">
      <c r="A361">
        <v>8</v>
      </c>
      <c r="B361" t="s">
        <v>130</v>
      </c>
      <c r="C361" t="s">
        <v>1179</v>
      </c>
      <c r="D361" t="b">
        <v>0</v>
      </c>
      <c r="E361" t="s">
        <v>130</v>
      </c>
      <c r="F361" t="s">
        <v>1179</v>
      </c>
      <c r="G361">
        <v>50</v>
      </c>
      <c r="H361" t="str">
        <f t="shared" si="20"/>
        <v>FALSE</v>
      </c>
      <c r="I361" t="str">
        <f t="shared" si="21"/>
        <v>FALSE</v>
      </c>
      <c r="J361" t="str">
        <f t="shared" si="22"/>
        <v>FALSE</v>
      </c>
      <c r="K361" t="str">
        <f t="shared" si="23"/>
        <v>subfunctionarea;dscp30;FALSE;subfunctionarea;dscp30;50</v>
      </c>
    </row>
    <row r="362" spans="1:11" x14ac:dyDescent="0.3">
      <c r="A362">
        <v>8</v>
      </c>
      <c r="B362" t="s">
        <v>130</v>
      </c>
      <c r="C362" t="s">
        <v>1178</v>
      </c>
      <c r="D362" t="b">
        <v>0</v>
      </c>
      <c r="E362" t="s">
        <v>130</v>
      </c>
      <c r="F362" t="s">
        <v>1178</v>
      </c>
      <c r="G362">
        <v>50</v>
      </c>
      <c r="H362" t="str">
        <f t="shared" si="20"/>
        <v>FALSE</v>
      </c>
      <c r="I362" t="str">
        <f t="shared" si="21"/>
        <v>FALSE</v>
      </c>
      <c r="J362" t="str">
        <f t="shared" si="22"/>
        <v>FALSE</v>
      </c>
      <c r="K362" t="str">
        <f t="shared" si="23"/>
        <v>subfunctionarea;dscp31;FALSE;subfunctionarea;dscp31;50</v>
      </c>
    </row>
    <row r="363" spans="1:11" x14ac:dyDescent="0.3">
      <c r="A363">
        <v>8</v>
      </c>
      <c r="B363" t="s">
        <v>130</v>
      </c>
      <c r="C363" t="s">
        <v>1177</v>
      </c>
      <c r="D363" t="b">
        <v>0</v>
      </c>
      <c r="E363" t="s">
        <v>130</v>
      </c>
      <c r="F363" t="s">
        <v>1177</v>
      </c>
      <c r="G363">
        <v>50</v>
      </c>
      <c r="H363" t="str">
        <f t="shared" si="20"/>
        <v>FALSE</v>
      </c>
      <c r="I363" t="str">
        <f t="shared" si="21"/>
        <v>FALSE</v>
      </c>
      <c r="J363" t="str">
        <f t="shared" si="22"/>
        <v>FALSE</v>
      </c>
      <c r="K363" t="str">
        <f t="shared" si="23"/>
        <v>subfunctionarea;dscp32;FALSE;subfunctionarea;dscp32;50</v>
      </c>
    </row>
    <row r="364" spans="1:11" x14ac:dyDescent="0.3">
      <c r="A364">
        <v>8</v>
      </c>
      <c r="B364" t="s">
        <v>130</v>
      </c>
      <c r="C364" t="s">
        <v>1176</v>
      </c>
      <c r="D364" t="b">
        <v>0</v>
      </c>
      <c r="E364" t="s">
        <v>130</v>
      </c>
      <c r="F364" t="s">
        <v>1176</v>
      </c>
      <c r="G364">
        <v>50</v>
      </c>
      <c r="H364" t="str">
        <f t="shared" si="20"/>
        <v>FALSE</v>
      </c>
      <c r="I364" t="str">
        <f t="shared" si="21"/>
        <v>FALSE</v>
      </c>
      <c r="J364" t="str">
        <f t="shared" si="22"/>
        <v>FALSE</v>
      </c>
      <c r="K364" t="str">
        <f t="shared" si="23"/>
        <v>subfunctionarea;dscp33;FALSE;subfunctionarea;dscp33;50</v>
      </c>
    </row>
    <row r="365" spans="1:11" x14ac:dyDescent="0.3">
      <c r="A365">
        <v>8</v>
      </c>
      <c r="B365" t="s">
        <v>130</v>
      </c>
      <c r="C365" t="s">
        <v>1175</v>
      </c>
      <c r="D365" t="b">
        <v>0</v>
      </c>
      <c r="E365" t="s">
        <v>130</v>
      </c>
      <c r="F365" t="s">
        <v>1175</v>
      </c>
      <c r="G365">
        <v>50</v>
      </c>
      <c r="H365" t="str">
        <f t="shared" si="20"/>
        <v>FALSE</v>
      </c>
      <c r="I365" t="str">
        <f t="shared" si="21"/>
        <v>FALSE</v>
      </c>
      <c r="J365" t="str">
        <f t="shared" si="22"/>
        <v>FALSE</v>
      </c>
      <c r="K365" t="str">
        <f t="shared" si="23"/>
        <v>subfunctionarea;dscp34;FALSE;subfunctionarea;dscp34;50</v>
      </c>
    </row>
    <row r="366" spans="1:11" x14ac:dyDescent="0.3">
      <c r="A366">
        <v>8</v>
      </c>
      <c r="B366" t="s">
        <v>130</v>
      </c>
      <c r="C366" t="s">
        <v>1174</v>
      </c>
      <c r="D366" t="b">
        <v>0</v>
      </c>
      <c r="E366" t="s">
        <v>130</v>
      </c>
      <c r="F366" t="s">
        <v>1174</v>
      </c>
      <c r="G366">
        <v>50</v>
      </c>
      <c r="H366" t="str">
        <f t="shared" si="20"/>
        <v>FALSE</v>
      </c>
      <c r="I366" t="str">
        <f t="shared" si="21"/>
        <v>FALSE</v>
      </c>
      <c r="J366" t="str">
        <f t="shared" si="22"/>
        <v>FALSE</v>
      </c>
      <c r="K366" t="str">
        <f t="shared" si="23"/>
        <v>subfunctionarea;dscp35;FALSE;subfunctionarea;dscp35;50</v>
      </c>
    </row>
    <row r="367" spans="1:11" x14ac:dyDescent="0.3">
      <c r="A367">
        <v>8</v>
      </c>
      <c r="B367" t="s">
        <v>130</v>
      </c>
      <c r="C367" t="s">
        <v>1173</v>
      </c>
      <c r="D367" t="b">
        <v>0</v>
      </c>
      <c r="E367" t="s">
        <v>130</v>
      </c>
      <c r="F367" t="s">
        <v>1173</v>
      </c>
      <c r="G367">
        <v>50</v>
      </c>
      <c r="H367" t="str">
        <f t="shared" si="20"/>
        <v>FALSE</v>
      </c>
      <c r="I367" t="str">
        <f t="shared" si="21"/>
        <v>FALSE</v>
      </c>
      <c r="J367" t="str">
        <f t="shared" si="22"/>
        <v>FALSE</v>
      </c>
      <c r="K367" t="str">
        <f t="shared" si="23"/>
        <v>subfunctionarea;dscp36;FALSE;subfunctionarea;dscp36;50</v>
      </c>
    </row>
    <row r="368" spans="1:11" x14ac:dyDescent="0.3">
      <c r="A368">
        <v>8</v>
      </c>
      <c r="B368" t="s">
        <v>130</v>
      </c>
      <c r="C368" t="s">
        <v>1172</v>
      </c>
      <c r="D368" t="b">
        <v>0</v>
      </c>
      <c r="E368" t="s">
        <v>130</v>
      </c>
      <c r="F368" t="s">
        <v>1172</v>
      </c>
      <c r="G368">
        <v>50</v>
      </c>
      <c r="H368" t="str">
        <f t="shared" si="20"/>
        <v>FALSE</v>
      </c>
      <c r="I368" t="str">
        <f t="shared" si="21"/>
        <v>FALSE</v>
      </c>
      <c r="J368" t="str">
        <f t="shared" si="22"/>
        <v>FALSE</v>
      </c>
      <c r="K368" t="str">
        <f t="shared" si="23"/>
        <v>subfunctionarea;dscp37;FALSE;subfunctionarea;dscp37;50</v>
      </c>
    </row>
    <row r="369" spans="1:11" x14ac:dyDescent="0.3">
      <c r="A369">
        <v>8</v>
      </c>
      <c r="B369" t="s">
        <v>130</v>
      </c>
      <c r="C369" t="s">
        <v>1171</v>
      </c>
      <c r="D369" t="b">
        <v>0</v>
      </c>
      <c r="E369" t="s">
        <v>130</v>
      </c>
      <c r="F369" t="s">
        <v>1171</v>
      </c>
      <c r="G369">
        <v>50</v>
      </c>
      <c r="H369" t="str">
        <f t="shared" si="20"/>
        <v>FALSE</v>
      </c>
      <c r="I369" t="str">
        <f t="shared" si="21"/>
        <v>FALSE</v>
      </c>
      <c r="J369" t="str">
        <f t="shared" si="22"/>
        <v>FALSE</v>
      </c>
      <c r="K369" t="str">
        <f t="shared" si="23"/>
        <v>subfunctionarea;dscp38;FALSE;subfunctionarea;dscp38;50</v>
      </c>
    </row>
    <row r="370" spans="1:11" x14ac:dyDescent="0.3">
      <c r="A370">
        <v>8</v>
      </c>
      <c r="B370" t="s">
        <v>130</v>
      </c>
      <c r="C370" t="s">
        <v>1170</v>
      </c>
      <c r="D370" t="b">
        <v>0</v>
      </c>
      <c r="E370" t="s">
        <v>130</v>
      </c>
      <c r="F370" t="s">
        <v>1170</v>
      </c>
      <c r="G370">
        <v>50</v>
      </c>
      <c r="H370" t="str">
        <f t="shared" si="20"/>
        <v>FALSE</v>
      </c>
      <c r="I370" t="str">
        <f t="shared" si="21"/>
        <v>FALSE</v>
      </c>
      <c r="J370" t="str">
        <f t="shared" si="22"/>
        <v>FALSE</v>
      </c>
      <c r="K370" t="str">
        <f t="shared" si="23"/>
        <v>subfunctionarea;dscp39;FALSE;subfunctionarea;dscp39;50</v>
      </c>
    </row>
    <row r="371" spans="1:11" x14ac:dyDescent="0.3">
      <c r="A371">
        <v>8</v>
      </c>
      <c r="B371" t="s">
        <v>130</v>
      </c>
      <c r="C371" t="s">
        <v>1169</v>
      </c>
      <c r="D371" t="b">
        <v>0</v>
      </c>
      <c r="E371" t="s">
        <v>130</v>
      </c>
      <c r="F371" t="s">
        <v>1169</v>
      </c>
      <c r="G371">
        <v>50</v>
      </c>
      <c r="H371" t="str">
        <f t="shared" si="20"/>
        <v>FALSE</v>
      </c>
      <c r="I371" t="str">
        <f t="shared" si="21"/>
        <v>FALSE</v>
      </c>
      <c r="J371" t="str">
        <f t="shared" si="22"/>
        <v>FALSE</v>
      </c>
      <c r="K371" t="str">
        <f t="shared" si="23"/>
        <v>subfunctionarea;dscp40;FALSE;subfunctionarea;dscp40;50</v>
      </c>
    </row>
    <row r="372" spans="1:11" x14ac:dyDescent="0.3">
      <c r="A372">
        <v>8</v>
      </c>
      <c r="B372" t="s">
        <v>130</v>
      </c>
      <c r="C372" t="s">
        <v>1168</v>
      </c>
      <c r="D372" t="b">
        <v>0</v>
      </c>
      <c r="E372" t="s">
        <v>130</v>
      </c>
      <c r="F372" t="s">
        <v>1168</v>
      </c>
      <c r="G372">
        <v>50</v>
      </c>
      <c r="H372" t="str">
        <f t="shared" si="20"/>
        <v>FALSE</v>
      </c>
      <c r="I372" t="str">
        <f t="shared" si="21"/>
        <v>FALSE</v>
      </c>
      <c r="J372" t="str">
        <f t="shared" si="22"/>
        <v>FALSE</v>
      </c>
      <c r="K372" t="str">
        <f t="shared" si="23"/>
        <v>subfunctionarea;dscp41;FALSE;subfunctionarea;dscp41;50</v>
      </c>
    </row>
    <row r="373" spans="1:11" x14ac:dyDescent="0.3">
      <c r="A373">
        <v>8</v>
      </c>
      <c r="B373" t="s">
        <v>130</v>
      </c>
      <c r="C373" t="s">
        <v>1167</v>
      </c>
      <c r="D373" t="b">
        <v>0</v>
      </c>
      <c r="E373" t="s">
        <v>130</v>
      </c>
      <c r="F373" t="s">
        <v>1167</v>
      </c>
      <c r="G373">
        <v>50</v>
      </c>
      <c r="H373" t="str">
        <f t="shared" si="20"/>
        <v>FALSE</v>
      </c>
      <c r="I373" t="str">
        <f t="shared" si="21"/>
        <v>FALSE</v>
      </c>
      <c r="J373" t="str">
        <f t="shared" si="22"/>
        <v>FALSE</v>
      </c>
      <c r="K373" t="str">
        <f t="shared" si="23"/>
        <v>subfunctionarea;dscp42;FALSE;subfunctionarea;dscp42;50</v>
      </c>
    </row>
    <row r="374" spans="1:11" x14ac:dyDescent="0.3">
      <c r="A374">
        <v>8</v>
      </c>
      <c r="B374" t="s">
        <v>130</v>
      </c>
      <c r="C374" t="s">
        <v>1166</v>
      </c>
      <c r="D374" t="b">
        <v>0</v>
      </c>
      <c r="E374" t="s">
        <v>130</v>
      </c>
      <c r="F374" t="s">
        <v>1166</v>
      </c>
      <c r="G374">
        <v>50</v>
      </c>
      <c r="H374" t="str">
        <f t="shared" si="20"/>
        <v>FALSE</v>
      </c>
      <c r="I374" t="str">
        <f t="shared" si="21"/>
        <v>FALSE</v>
      </c>
      <c r="J374" t="str">
        <f t="shared" si="22"/>
        <v>FALSE</v>
      </c>
      <c r="K374" t="str">
        <f t="shared" si="23"/>
        <v>subfunctionarea;dscp43;FALSE;subfunctionarea;dscp43;50</v>
      </c>
    </row>
    <row r="375" spans="1:11" x14ac:dyDescent="0.3">
      <c r="A375">
        <v>8</v>
      </c>
      <c r="B375" t="s">
        <v>130</v>
      </c>
      <c r="C375" t="s">
        <v>1165</v>
      </c>
      <c r="D375" t="b">
        <v>0</v>
      </c>
      <c r="E375" t="s">
        <v>130</v>
      </c>
      <c r="F375" t="s">
        <v>1165</v>
      </c>
      <c r="G375">
        <v>50</v>
      </c>
      <c r="H375" t="str">
        <f t="shared" si="20"/>
        <v>FALSE</v>
      </c>
      <c r="I375" t="str">
        <f t="shared" si="21"/>
        <v>FALSE</v>
      </c>
      <c r="J375" t="str">
        <f t="shared" si="22"/>
        <v>FALSE</v>
      </c>
      <c r="K375" t="str">
        <f t="shared" si="23"/>
        <v>subfunctionarea;dscp44;FALSE;subfunctionarea;dscp44;50</v>
      </c>
    </row>
    <row r="376" spans="1:11" x14ac:dyDescent="0.3">
      <c r="A376">
        <v>8</v>
      </c>
      <c r="B376" t="s">
        <v>130</v>
      </c>
      <c r="C376" t="s">
        <v>1164</v>
      </c>
      <c r="D376" t="b">
        <v>0</v>
      </c>
      <c r="E376" t="s">
        <v>130</v>
      </c>
      <c r="F376" t="s">
        <v>1164</v>
      </c>
      <c r="G376">
        <v>50</v>
      </c>
      <c r="H376" t="str">
        <f t="shared" si="20"/>
        <v>FALSE</v>
      </c>
      <c r="I376" t="str">
        <f t="shared" si="21"/>
        <v>FALSE</v>
      </c>
      <c r="J376" t="str">
        <f t="shared" si="22"/>
        <v>FALSE</v>
      </c>
      <c r="K376" t="str">
        <f t="shared" si="23"/>
        <v>subfunctionarea;dscp45;FALSE;subfunctionarea;dscp45;50</v>
      </c>
    </row>
    <row r="377" spans="1:11" x14ac:dyDescent="0.3">
      <c r="A377">
        <v>8</v>
      </c>
      <c r="B377" t="s">
        <v>130</v>
      </c>
      <c r="C377" t="s">
        <v>1163</v>
      </c>
      <c r="D377" t="b">
        <v>0</v>
      </c>
      <c r="E377" t="s">
        <v>130</v>
      </c>
      <c r="F377" t="s">
        <v>1163</v>
      </c>
      <c r="G377">
        <v>50</v>
      </c>
      <c r="H377" t="str">
        <f t="shared" si="20"/>
        <v>FALSE</v>
      </c>
      <c r="I377" t="str">
        <f t="shared" si="21"/>
        <v>FALSE</v>
      </c>
      <c r="J377" t="str">
        <f t="shared" si="22"/>
        <v>FALSE</v>
      </c>
      <c r="K377" t="str">
        <f t="shared" si="23"/>
        <v>subfunctionarea;dscp46;FALSE;subfunctionarea;dscp46;50</v>
      </c>
    </row>
    <row r="378" spans="1:11" x14ac:dyDescent="0.3">
      <c r="A378">
        <v>8</v>
      </c>
      <c r="B378" t="s">
        <v>130</v>
      </c>
      <c r="C378" t="s">
        <v>1162</v>
      </c>
      <c r="D378" t="b">
        <v>0</v>
      </c>
      <c r="E378" t="s">
        <v>130</v>
      </c>
      <c r="F378" t="s">
        <v>1162</v>
      </c>
      <c r="G378">
        <v>50</v>
      </c>
      <c r="H378" t="str">
        <f t="shared" si="20"/>
        <v>FALSE</v>
      </c>
      <c r="I378" t="str">
        <f t="shared" si="21"/>
        <v>FALSE</v>
      </c>
      <c r="J378" t="str">
        <f t="shared" si="22"/>
        <v>FALSE</v>
      </c>
      <c r="K378" t="str">
        <f t="shared" si="23"/>
        <v>subfunctionarea;dscp47;FALSE;subfunctionarea;dscp47;50</v>
      </c>
    </row>
    <row r="379" spans="1:11" x14ac:dyDescent="0.3">
      <c r="A379">
        <v>8</v>
      </c>
      <c r="B379" t="s">
        <v>130</v>
      </c>
      <c r="C379" t="s">
        <v>1161</v>
      </c>
      <c r="D379" t="b">
        <v>0</v>
      </c>
      <c r="E379" t="s">
        <v>130</v>
      </c>
      <c r="F379" t="s">
        <v>1161</v>
      </c>
      <c r="G379">
        <v>50</v>
      </c>
      <c r="H379" t="str">
        <f t="shared" si="20"/>
        <v>FALSE</v>
      </c>
      <c r="I379" t="str">
        <f t="shared" si="21"/>
        <v>FALSE</v>
      </c>
      <c r="J379" t="str">
        <f t="shared" si="22"/>
        <v>FALSE</v>
      </c>
      <c r="K379" t="str">
        <f t="shared" si="23"/>
        <v>subfunctionarea;dscp48;FALSE;subfunctionarea;dscp48;50</v>
      </c>
    </row>
    <row r="380" spans="1:11" x14ac:dyDescent="0.3">
      <c r="A380">
        <v>8</v>
      </c>
      <c r="B380" t="s">
        <v>130</v>
      </c>
      <c r="C380" t="s">
        <v>1160</v>
      </c>
      <c r="D380" t="b">
        <v>0</v>
      </c>
      <c r="E380" t="s">
        <v>130</v>
      </c>
      <c r="F380" t="s">
        <v>1160</v>
      </c>
      <c r="G380">
        <v>50</v>
      </c>
      <c r="H380" t="str">
        <f t="shared" si="20"/>
        <v>FALSE</v>
      </c>
      <c r="I380" t="str">
        <f t="shared" si="21"/>
        <v>FALSE</v>
      </c>
      <c r="J380" t="str">
        <f t="shared" si="22"/>
        <v>FALSE</v>
      </c>
      <c r="K380" t="str">
        <f t="shared" si="23"/>
        <v>subfunctionarea;dscp49;FALSE;subfunctionarea;dscp49;50</v>
      </c>
    </row>
    <row r="381" spans="1:11" x14ac:dyDescent="0.3">
      <c r="A381">
        <v>8</v>
      </c>
      <c r="B381" t="s">
        <v>130</v>
      </c>
      <c r="C381" t="s">
        <v>1159</v>
      </c>
      <c r="D381" t="b">
        <v>0</v>
      </c>
      <c r="E381" t="s">
        <v>130</v>
      </c>
      <c r="F381" t="s">
        <v>1159</v>
      </c>
      <c r="G381">
        <v>50</v>
      </c>
      <c r="H381" t="str">
        <f t="shared" si="20"/>
        <v>FALSE</v>
      </c>
      <c r="I381" t="str">
        <f t="shared" si="21"/>
        <v>FALSE</v>
      </c>
      <c r="J381" t="str">
        <f t="shared" si="22"/>
        <v>FALSE</v>
      </c>
      <c r="K381" t="str">
        <f t="shared" si="23"/>
        <v>subfunctionarea;dscp50;FALSE;subfunctionarea;dscp50;50</v>
      </c>
    </row>
    <row r="382" spans="1:11" x14ac:dyDescent="0.3">
      <c r="A382">
        <v>8</v>
      </c>
      <c r="B382" t="s">
        <v>130</v>
      </c>
      <c r="C382" t="s">
        <v>1158</v>
      </c>
      <c r="D382" t="b">
        <v>0</v>
      </c>
      <c r="E382" t="s">
        <v>130</v>
      </c>
      <c r="F382" t="s">
        <v>1158</v>
      </c>
      <c r="G382">
        <v>50</v>
      </c>
      <c r="H382" t="str">
        <f t="shared" si="20"/>
        <v>FALSE</v>
      </c>
      <c r="I382" t="str">
        <f t="shared" si="21"/>
        <v>FALSE</v>
      </c>
      <c r="J382" t="str">
        <f t="shared" si="22"/>
        <v>FALSE</v>
      </c>
      <c r="K382" t="str">
        <f t="shared" si="23"/>
        <v>subfunctionarea;dscp51;FALSE;subfunctionarea;dscp51;50</v>
      </c>
    </row>
    <row r="383" spans="1:11" x14ac:dyDescent="0.3">
      <c r="A383">
        <v>8</v>
      </c>
      <c r="B383" t="s">
        <v>130</v>
      </c>
      <c r="C383" t="s">
        <v>1157</v>
      </c>
      <c r="D383" t="b">
        <v>0</v>
      </c>
      <c r="E383" t="s">
        <v>130</v>
      </c>
      <c r="F383" t="s">
        <v>1157</v>
      </c>
      <c r="G383">
        <v>50</v>
      </c>
      <c r="H383" t="str">
        <f t="shared" si="20"/>
        <v>FALSE</v>
      </c>
      <c r="I383" t="str">
        <f t="shared" si="21"/>
        <v>FALSE</v>
      </c>
      <c r="J383" t="str">
        <f t="shared" si="22"/>
        <v>FALSE</v>
      </c>
      <c r="K383" t="str">
        <f t="shared" si="23"/>
        <v>subfunctionarea;dscp52;FALSE;subfunctionarea;dscp52;50</v>
      </c>
    </row>
    <row r="384" spans="1:11" x14ac:dyDescent="0.3">
      <c r="A384">
        <v>8</v>
      </c>
      <c r="B384" t="s">
        <v>130</v>
      </c>
      <c r="C384" t="s">
        <v>1156</v>
      </c>
      <c r="D384" t="b">
        <v>0</v>
      </c>
      <c r="E384" t="s">
        <v>130</v>
      </c>
      <c r="F384" t="s">
        <v>1156</v>
      </c>
      <c r="G384">
        <v>50</v>
      </c>
      <c r="H384" t="str">
        <f t="shared" si="20"/>
        <v>FALSE</v>
      </c>
      <c r="I384" t="str">
        <f t="shared" si="21"/>
        <v>FALSE</v>
      </c>
      <c r="J384" t="str">
        <f t="shared" si="22"/>
        <v>FALSE</v>
      </c>
      <c r="K384" t="str">
        <f t="shared" si="23"/>
        <v>subfunctionarea;dscp53;FALSE;subfunctionarea;dscp53;50</v>
      </c>
    </row>
    <row r="385" spans="1:11" x14ac:dyDescent="0.3">
      <c r="A385">
        <v>8</v>
      </c>
      <c r="B385" t="s">
        <v>130</v>
      </c>
      <c r="C385" t="s">
        <v>1155</v>
      </c>
      <c r="D385" t="b">
        <v>0</v>
      </c>
      <c r="E385" t="s">
        <v>130</v>
      </c>
      <c r="F385" t="s">
        <v>1155</v>
      </c>
      <c r="G385">
        <v>50</v>
      </c>
      <c r="H385" t="str">
        <f t="shared" si="20"/>
        <v>FALSE</v>
      </c>
      <c r="I385" t="str">
        <f t="shared" si="21"/>
        <v>FALSE</v>
      </c>
      <c r="J385" t="str">
        <f t="shared" si="22"/>
        <v>FALSE</v>
      </c>
      <c r="K385" t="str">
        <f t="shared" si="23"/>
        <v>subfunctionarea;dscp54;FALSE;subfunctionarea;dscp54;50</v>
      </c>
    </row>
    <row r="386" spans="1:11" x14ac:dyDescent="0.3">
      <c r="A386">
        <v>8</v>
      </c>
      <c r="B386" t="s">
        <v>130</v>
      </c>
      <c r="C386" t="s">
        <v>1154</v>
      </c>
      <c r="D386" t="b">
        <v>0</v>
      </c>
      <c r="E386" t="s">
        <v>130</v>
      </c>
      <c r="F386" t="s">
        <v>1154</v>
      </c>
      <c r="G386">
        <v>50</v>
      </c>
      <c r="H386" t="str">
        <f t="shared" ref="H386:H449" si="24">IF(LEN(C386)&gt;30,"TRUE","FALSE")</f>
        <v>FALSE</v>
      </c>
      <c r="I386" t="str">
        <f t="shared" ref="I386:I449" si="25">IF(LEN(F386)&gt;30,"TRUE","FALSE")</f>
        <v>FALSE</v>
      </c>
      <c r="J386" t="str">
        <f t="shared" ref="J386:J449" si="26">IF(G386&gt;50,"TRUE","FALSE")</f>
        <v>FALSE</v>
      </c>
      <c r="K386" t="str">
        <f t="shared" ref="K386:K449" si="27">CONCATENATE(B386,";",C386,";",D386,";",E386,";",F386,";",G386)</f>
        <v>subfunctionarea;dscp55;FALSE;subfunctionarea;dscp55;50</v>
      </c>
    </row>
    <row r="387" spans="1:11" x14ac:dyDescent="0.3">
      <c r="A387">
        <v>8</v>
      </c>
      <c r="B387" t="s">
        <v>130</v>
      </c>
      <c r="C387" t="s">
        <v>1153</v>
      </c>
      <c r="D387" t="b">
        <v>0</v>
      </c>
      <c r="E387" t="s">
        <v>130</v>
      </c>
      <c r="F387" t="s">
        <v>1153</v>
      </c>
      <c r="G387">
        <v>50</v>
      </c>
      <c r="H387" t="str">
        <f t="shared" si="24"/>
        <v>FALSE</v>
      </c>
      <c r="I387" t="str">
        <f t="shared" si="25"/>
        <v>FALSE</v>
      </c>
      <c r="J387" t="str">
        <f t="shared" si="26"/>
        <v>FALSE</v>
      </c>
      <c r="K387" t="str">
        <f t="shared" si="27"/>
        <v>subfunctionarea;dscp56;FALSE;subfunctionarea;dscp56;50</v>
      </c>
    </row>
    <row r="388" spans="1:11" x14ac:dyDescent="0.3">
      <c r="A388">
        <v>8</v>
      </c>
      <c r="B388" t="s">
        <v>130</v>
      </c>
      <c r="C388" t="s">
        <v>1152</v>
      </c>
      <c r="D388" t="b">
        <v>0</v>
      </c>
      <c r="E388" t="s">
        <v>130</v>
      </c>
      <c r="F388" t="s">
        <v>1152</v>
      </c>
      <c r="G388">
        <v>50</v>
      </c>
      <c r="H388" t="str">
        <f t="shared" si="24"/>
        <v>FALSE</v>
      </c>
      <c r="I388" t="str">
        <f t="shared" si="25"/>
        <v>FALSE</v>
      </c>
      <c r="J388" t="str">
        <f t="shared" si="26"/>
        <v>FALSE</v>
      </c>
      <c r="K388" t="str">
        <f t="shared" si="27"/>
        <v>subfunctionarea;dscp57;FALSE;subfunctionarea;dscp57;50</v>
      </c>
    </row>
    <row r="389" spans="1:11" x14ac:dyDescent="0.3">
      <c r="A389">
        <v>8</v>
      </c>
      <c r="B389" t="s">
        <v>130</v>
      </c>
      <c r="C389" t="s">
        <v>1151</v>
      </c>
      <c r="D389" t="b">
        <v>0</v>
      </c>
      <c r="E389" t="s">
        <v>130</v>
      </c>
      <c r="F389" t="s">
        <v>1151</v>
      </c>
      <c r="G389">
        <v>50</v>
      </c>
      <c r="H389" t="str">
        <f t="shared" si="24"/>
        <v>FALSE</v>
      </c>
      <c r="I389" t="str">
        <f t="shared" si="25"/>
        <v>FALSE</v>
      </c>
      <c r="J389" t="str">
        <f t="shared" si="26"/>
        <v>FALSE</v>
      </c>
      <c r="K389" t="str">
        <f t="shared" si="27"/>
        <v>subfunctionarea;dscp58;FALSE;subfunctionarea;dscp58;50</v>
      </c>
    </row>
    <row r="390" spans="1:11" x14ac:dyDescent="0.3">
      <c r="A390">
        <v>8</v>
      </c>
      <c r="B390" t="s">
        <v>130</v>
      </c>
      <c r="C390" t="s">
        <v>1150</v>
      </c>
      <c r="D390" t="b">
        <v>0</v>
      </c>
      <c r="E390" t="s">
        <v>130</v>
      </c>
      <c r="F390" t="s">
        <v>1150</v>
      </c>
      <c r="G390">
        <v>50</v>
      </c>
      <c r="H390" t="str">
        <f t="shared" si="24"/>
        <v>FALSE</v>
      </c>
      <c r="I390" t="str">
        <f t="shared" si="25"/>
        <v>FALSE</v>
      </c>
      <c r="J390" t="str">
        <f t="shared" si="26"/>
        <v>FALSE</v>
      </c>
      <c r="K390" t="str">
        <f t="shared" si="27"/>
        <v>subfunctionarea;dscp59;FALSE;subfunctionarea;dscp59;50</v>
      </c>
    </row>
    <row r="391" spans="1:11" x14ac:dyDescent="0.3">
      <c r="A391">
        <v>8</v>
      </c>
      <c r="B391" t="s">
        <v>130</v>
      </c>
      <c r="C391" t="s">
        <v>1149</v>
      </c>
      <c r="D391" t="b">
        <v>0</v>
      </c>
      <c r="E391" t="s">
        <v>130</v>
      </c>
      <c r="F391" t="s">
        <v>1149</v>
      </c>
      <c r="G391">
        <v>50</v>
      </c>
      <c r="H391" t="str">
        <f t="shared" si="24"/>
        <v>FALSE</v>
      </c>
      <c r="I391" t="str">
        <f t="shared" si="25"/>
        <v>FALSE</v>
      </c>
      <c r="J391" t="str">
        <f t="shared" si="26"/>
        <v>FALSE</v>
      </c>
      <c r="K391" t="str">
        <f t="shared" si="27"/>
        <v>subfunctionarea;dscp60;FALSE;subfunctionarea;dscp60;50</v>
      </c>
    </row>
    <row r="392" spans="1:11" x14ac:dyDescent="0.3">
      <c r="A392">
        <v>8</v>
      </c>
      <c r="B392" t="s">
        <v>130</v>
      </c>
      <c r="C392" t="s">
        <v>1148</v>
      </c>
      <c r="D392" t="b">
        <v>0</v>
      </c>
      <c r="E392" t="s">
        <v>130</v>
      </c>
      <c r="F392" t="s">
        <v>1148</v>
      </c>
      <c r="G392">
        <v>50</v>
      </c>
      <c r="H392" t="str">
        <f t="shared" si="24"/>
        <v>FALSE</v>
      </c>
      <c r="I392" t="str">
        <f t="shared" si="25"/>
        <v>FALSE</v>
      </c>
      <c r="J392" t="str">
        <f t="shared" si="26"/>
        <v>FALSE</v>
      </c>
      <c r="K392" t="str">
        <f t="shared" si="27"/>
        <v>subfunctionarea;dscp61;FALSE;subfunctionarea;dscp61;50</v>
      </c>
    </row>
    <row r="393" spans="1:11" x14ac:dyDescent="0.3">
      <c r="A393">
        <v>8</v>
      </c>
      <c r="B393" t="s">
        <v>130</v>
      </c>
      <c r="C393" t="s">
        <v>1147</v>
      </c>
      <c r="D393" t="b">
        <v>0</v>
      </c>
      <c r="E393" t="s">
        <v>130</v>
      </c>
      <c r="F393" t="s">
        <v>1147</v>
      </c>
      <c r="G393">
        <v>50</v>
      </c>
      <c r="H393" t="str">
        <f t="shared" si="24"/>
        <v>FALSE</v>
      </c>
      <c r="I393" t="str">
        <f t="shared" si="25"/>
        <v>FALSE</v>
      </c>
      <c r="J393" t="str">
        <f t="shared" si="26"/>
        <v>FALSE</v>
      </c>
      <c r="K393" t="str">
        <f t="shared" si="27"/>
        <v>subfunctionarea;dscp62;FALSE;subfunctionarea;dscp62;50</v>
      </c>
    </row>
    <row r="394" spans="1:11" x14ac:dyDescent="0.3">
      <c r="A394">
        <v>8</v>
      </c>
      <c r="B394" t="s">
        <v>130</v>
      </c>
      <c r="C394" t="s">
        <v>1146</v>
      </c>
      <c r="D394" t="b">
        <v>0</v>
      </c>
      <c r="E394" t="s">
        <v>130</v>
      </c>
      <c r="F394" t="s">
        <v>1146</v>
      </c>
      <c r="G394">
        <v>50</v>
      </c>
      <c r="H394" t="str">
        <f t="shared" si="24"/>
        <v>FALSE</v>
      </c>
      <c r="I394" t="str">
        <f t="shared" si="25"/>
        <v>FALSE</v>
      </c>
      <c r="J394" t="str">
        <f t="shared" si="26"/>
        <v>FALSE</v>
      </c>
      <c r="K394" t="str">
        <f t="shared" si="27"/>
        <v>subfunctionarea;dscp63;FALSE;subfunctionarea;dscp63;50</v>
      </c>
    </row>
    <row r="395" spans="1:11" x14ac:dyDescent="0.3">
      <c r="A395">
        <v>8</v>
      </c>
      <c r="B395" t="s">
        <v>130</v>
      </c>
      <c r="C395" t="s">
        <v>1145</v>
      </c>
      <c r="D395" t="b">
        <v>0</v>
      </c>
      <c r="E395" t="s">
        <v>130</v>
      </c>
      <c r="F395" t="s">
        <v>1145</v>
      </c>
      <c r="G395">
        <v>50</v>
      </c>
      <c r="H395" t="str">
        <f t="shared" si="24"/>
        <v>FALSE</v>
      </c>
      <c r="I395" t="str">
        <f t="shared" si="25"/>
        <v>FALSE</v>
      </c>
      <c r="J395" t="str">
        <f t="shared" si="26"/>
        <v>FALSE</v>
      </c>
      <c r="K395" t="str">
        <f t="shared" si="27"/>
        <v>subfunctionarea;dscpdns;FALSE;subfunctionarea;dscpdns;50</v>
      </c>
    </row>
    <row r="396" spans="1:11" x14ac:dyDescent="0.3">
      <c r="A396">
        <v>8</v>
      </c>
      <c r="B396" t="s">
        <v>130</v>
      </c>
      <c r="C396" t="s">
        <v>1144</v>
      </c>
      <c r="D396" t="b">
        <v>0</v>
      </c>
      <c r="E396" t="s">
        <v>130</v>
      </c>
      <c r="F396" t="s">
        <v>1144</v>
      </c>
      <c r="G396">
        <v>50</v>
      </c>
      <c r="H396" t="str">
        <f t="shared" si="24"/>
        <v>FALSE</v>
      </c>
      <c r="I396" t="str">
        <f t="shared" si="25"/>
        <v>FALSE</v>
      </c>
      <c r="J396" t="str">
        <f t="shared" si="26"/>
        <v>FALSE</v>
      </c>
      <c r="K396" t="str">
        <f t="shared" si="27"/>
        <v>subfunctionarea;dscpsignaling;FALSE;subfunctionarea;dscpsignaling;50</v>
      </c>
    </row>
    <row r="397" spans="1:11" x14ac:dyDescent="0.3">
      <c r="A397">
        <v>8</v>
      </c>
      <c r="B397" t="s">
        <v>130</v>
      </c>
      <c r="C397" t="s">
        <v>1143</v>
      </c>
      <c r="D397" t="b">
        <v>0</v>
      </c>
      <c r="E397" t="s">
        <v>130</v>
      </c>
      <c r="F397" t="s">
        <v>1143</v>
      </c>
      <c r="G397">
        <v>50</v>
      </c>
      <c r="H397" t="str">
        <f t="shared" si="24"/>
        <v>FALSE</v>
      </c>
      <c r="I397" t="str">
        <f t="shared" si="25"/>
        <v>FALSE</v>
      </c>
      <c r="J397" t="str">
        <f t="shared" si="26"/>
        <v>FALSE</v>
      </c>
      <c r="K397" t="str">
        <f t="shared" si="27"/>
        <v>subfunctionarea;dscptopbitid;FALSE;subfunctionarea;dscptopbitid;50</v>
      </c>
    </row>
    <row r="398" spans="1:11" x14ac:dyDescent="0.3">
      <c r="A398">
        <v>8</v>
      </c>
      <c r="B398" t="s">
        <v>130</v>
      </c>
      <c r="C398" t="s">
        <v>818</v>
      </c>
      <c r="D398" t="b">
        <v>0</v>
      </c>
      <c r="E398" t="s">
        <v>130</v>
      </c>
      <c r="F398" t="s">
        <v>818</v>
      </c>
      <c r="G398">
        <v>50</v>
      </c>
      <c r="H398" t="str">
        <f t="shared" si="24"/>
        <v>FALSE</v>
      </c>
      <c r="I398" t="str">
        <f t="shared" si="25"/>
        <v>FALSE</v>
      </c>
      <c r="J398" t="str">
        <f t="shared" si="26"/>
        <v>FALSE</v>
      </c>
      <c r="K398" t="str">
        <f t="shared" si="27"/>
        <v>subfunctionarea;dtmfsenderserviceid;FALSE;subfunctionarea;dtmfsenderserviceid;50</v>
      </c>
    </row>
    <row r="399" spans="1:11" x14ac:dyDescent="0.3">
      <c r="A399">
        <v>8</v>
      </c>
      <c r="B399" t="s">
        <v>130</v>
      </c>
      <c r="C399" t="s">
        <v>819</v>
      </c>
      <c r="D399" t="b">
        <v>0</v>
      </c>
      <c r="E399" t="s">
        <v>130</v>
      </c>
      <c r="F399" t="s">
        <v>819</v>
      </c>
      <c r="G399">
        <v>50</v>
      </c>
      <c r="H399" t="str">
        <f t="shared" si="24"/>
        <v>FALSE</v>
      </c>
      <c r="I399" t="str">
        <f t="shared" si="25"/>
        <v>FALSE</v>
      </c>
      <c r="J399" t="str">
        <f t="shared" si="26"/>
        <v>FALSE</v>
      </c>
      <c r="K399" t="str">
        <f t="shared" si="27"/>
        <v>subfunctionarea;dtxsupport;FALSE;subfunctionarea;dtxsupport;50</v>
      </c>
    </row>
    <row r="400" spans="1:11" x14ac:dyDescent="0.3">
      <c r="A400">
        <v>8</v>
      </c>
      <c r="B400" t="s">
        <v>130</v>
      </c>
      <c r="C400" t="s">
        <v>820</v>
      </c>
      <c r="D400" t="b">
        <v>0</v>
      </c>
      <c r="E400" t="s">
        <v>130</v>
      </c>
      <c r="F400" t="s">
        <v>820</v>
      </c>
      <c r="G400">
        <v>50</v>
      </c>
      <c r="H400" t="str">
        <f t="shared" si="24"/>
        <v>FALSE</v>
      </c>
      <c r="I400" t="str">
        <f t="shared" si="25"/>
        <v>FALSE</v>
      </c>
      <c r="J400" t="str">
        <f t="shared" si="26"/>
        <v>FALSE</v>
      </c>
      <c r="K400" t="str">
        <f t="shared" si="27"/>
        <v>subfunctionarea;duration;FALSE;subfunctionarea;duration;50</v>
      </c>
    </row>
    <row r="401" spans="1:11" x14ac:dyDescent="0.3">
      <c r="A401">
        <v>8</v>
      </c>
      <c r="B401" t="s">
        <v>130</v>
      </c>
      <c r="C401" t="s">
        <v>821</v>
      </c>
      <c r="D401" t="b">
        <v>0</v>
      </c>
      <c r="E401" t="s">
        <v>130</v>
      </c>
      <c r="F401" t="s">
        <v>821</v>
      </c>
      <c r="G401">
        <v>50</v>
      </c>
      <c r="H401" t="str">
        <f t="shared" si="24"/>
        <v>FALSE</v>
      </c>
      <c r="I401" t="str">
        <f t="shared" si="25"/>
        <v>FALSE</v>
      </c>
      <c r="J401" t="str">
        <f t="shared" si="26"/>
        <v>FALSE</v>
      </c>
      <c r="K401" t="str">
        <f t="shared" si="27"/>
        <v>subfunctionarea;ecserviceid;FALSE;subfunctionarea;ecserviceid;50</v>
      </c>
    </row>
    <row r="402" spans="1:11" x14ac:dyDescent="0.3">
      <c r="A402">
        <v>8</v>
      </c>
      <c r="B402" t="s">
        <v>130</v>
      </c>
      <c r="C402" t="s">
        <v>822</v>
      </c>
      <c r="D402" t="b">
        <v>0</v>
      </c>
      <c r="E402" t="s">
        <v>130</v>
      </c>
      <c r="F402" t="s">
        <v>822</v>
      </c>
      <c r="G402">
        <v>50</v>
      </c>
      <c r="H402" t="str">
        <f t="shared" si="24"/>
        <v>FALSE</v>
      </c>
      <c r="I402" t="str">
        <f t="shared" si="25"/>
        <v>FALSE</v>
      </c>
      <c r="J402" t="str">
        <f t="shared" si="26"/>
        <v>FALSE</v>
      </c>
      <c r="K402" t="str">
        <f t="shared" si="27"/>
        <v>subfunctionarea;emergencycallpriority;FALSE;subfunctionarea;emergencycallpriority;50</v>
      </c>
    </row>
    <row r="403" spans="1:11" x14ac:dyDescent="0.3">
      <c r="A403">
        <v>8</v>
      </c>
      <c r="B403" t="s">
        <v>130</v>
      </c>
      <c r="C403" t="s">
        <v>823</v>
      </c>
      <c r="D403" t="b">
        <v>0</v>
      </c>
      <c r="E403" t="s">
        <v>130</v>
      </c>
      <c r="F403" t="s">
        <v>823</v>
      </c>
      <c r="G403">
        <v>50</v>
      </c>
      <c r="H403" t="str">
        <f t="shared" si="24"/>
        <v>FALSE</v>
      </c>
      <c r="I403" t="str">
        <f t="shared" si="25"/>
        <v>FALSE</v>
      </c>
      <c r="J403" t="str">
        <f t="shared" si="26"/>
        <v>FALSE</v>
      </c>
      <c r="K403" t="str">
        <f t="shared" si="27"/>
        <v>subfunctionarea;emergencycapacitymargin;FALSE;subfunctionarea;emergencycapacitymargin;50</v>
      </c>
    </row>
    <row r="404" spans="1:11" x14ac:dyDescent="0.3">
      <c r="A404">
        <v>8</v>
      </c>
      <c r="B404" t="s">
        <v>130</v>
      </c>
      <c r="C404" t="s">
        <v>1142</v>
      </c>
      <c r="D404" t="b">
        <v>0</v>
      </c>
      <c r="E404" t="s">
        <v>130</v>
      </c>
      <c r="F404" t="s">
        <v>1142</v>
      </c>
      <c r="G404">
        <v>50</v>
      </c>
      <c r="H404" t="str">
        <f t="shared" si="24"/>
        <v>FALSE</v>
      </c>
      <c r="I404" t="str">
        <f t="shared" si="25"/>
        <v>FALSE</v>
      </c>
      <c r="J404" t="str">
        <f t="shared" si="26"/>
        <v>FALSE</v>
      </c>
      <c r="K404" t="str">
        <f t="shared" si="27"/>
        <v>subfunctionarea;enablepathmtudiscovery;FALSE;subfunctionarea;enablepathmtudiscovery;50</v>
      </c>
    </row>
    <row r="405" spans="1:11" x14ac:dyDescent="0.3">
      <c r="A405">
        <v>8</v>
      </c>
      <c r="B405" t="s">
        <v>130</v>
      </c>
      <c r="C405" t="s">
        <v>824</v>
      </c>
      <c r="D405" t="b">
        <v>0</v>
      </c>
      <c r="E405" t="s">
        <v>130</v>
      </c>
      <c r="F405" t="s">
        <v>824</v>
      </c>
      <c r="G405">
        <v>50</v>
      </c>
      <c r="H405" t="str">
        <f t="shared" si="24"/>
        <v>FALSE</v>
      </c>
      <c r="I405" t="str">
        <f t="shared" si="25"/>
        <v>FALSE</v>
      </c>
      <c r="J405" t="str">
        <f t="shared" si="26"/>
        <v>FALSE</v>
      </c>
      <c r="K405" t="str">
        <f t="shared" si="27"/>
        <v>subfunctionarea;endpathdelay;FALSE;subfunctionarea;endpathdelay;50</v>
      </c>
    </row>
    <row r="406" spans="1:11" x14ac:dyDescent="0.3">
      <c r="A406">
        <v>8</v>
      </c>
      <c r="B406" t="s">
        <v>130</v>
      </c>
      <c r="C406" t="s">
        <v>825</v>
      </c>
      <c r="D406" t="b">
        <v>0</v>
      </c>
      <c r="E406" t="s">
        <v>130</v>
      </c>
      <c r="F406" t="s">
        <v>825</v>
      </c>
      <c r="G406">
        <v>50</v>
      </c>
      <c r="H406" t="str">
        <f t="shared" si="24"/>
        <v>FALSE</v>
      </c>
      <c r="I406" t="str">
        <f t="shared" si="25"/>
        <v>FALSE</v>
      </c>
      <c r="J406" t="str">
        <f t="shared" si="26"/>
        <v>FALSE</v>
      </c>
      <c r="K406" t="str">
        <f t="shared" si="27"/>
        <v>subfunctionarea;entitydataid;FALSE;subfunctionarea;entitydataid;50</v>
      </c>
    </row>
    <row r="407" spans="1:11" x14ac:dyDescent="0.3">
      <c r="A407">
        <v>8</v>
      </c>
      <c r="B407" t="s">
        <v>130</v>
      </c>
      <c r="C407" t="s">
        <v>1141</v>
      </c>
      <c r="D407" t="b">
        <v>0</v>
      </c>
      <c r="E407" t="s">
        <v>130</v>
      </c>
      <c r="F407" t="s">
        <v>1141</v>
      </c>
      <c r="G407">
        <v>50</v>
      </c>
      <c r="H407" t="str">
        <f t="shared" si="24"/>
        <v>FALSE</v>
      </c>
      <c r="I407" t="str">
        <f t="shared" si="25"/>
        <v>FALSE</v>
      </c>
      <c r="J407" t="str">
        <f t="shared" si="26"/>
        <v>FALSE</v>
      </c>
      <c r="K407" t="str">
        <f t="shared" si="27"/>
        <v>subfunctionarea;excessivetrafficthreshold;FALSE;subfunctionarea;excessivetrafficthreshold;50</v>
      </c>
    </row>
    <row r="408" spans="1:11" x14ac:dyDescent="0.3">
      <c r="A408">
        <v>8</v>
      </c>
      <c r="B408" t="s">
        <v>130</v>
      </c>
      <c r="C408" t="s">
        <v>1140</v>
      </c>
      <c r="D408" t="b">
        <v>0</v>
      </c>
      <c r="E408" t="s">
        <v>130</v>
      </c>
      <c r="F408" t="s">
        <v>1140</v>
      </c>
      <c r="G408">
        <v>50</v>
      </c>
      <c r="H408" t="str">
        <f t="shared" si="24"/>
        <v>FALSE</v>
      </c>
      <c r="I408" t="str">
        <f t="shared" si="25"/>
        <v>FALSE</v>
      </c>
      <c r="J408" t="str">
        <f t="shared" si="26"/>
        <v>FALSE</v>
      </c>
      <c r="K408" t="str">
        <f t="shared" si="27"/>
        <v>subfunctionarea;exportpackagelabelprefix;FALSE;subfunctionarea;exportpackagelabelprefix;50</v>
      </c>
    </row>
    <row r="409" spans="1:11" x14ac:dyDescent="0.3">
      <c r="A409">
        <v>8</v>
      </c>
      <c r="B409" t="s">
        <v>130</v>
      </c>
      <c r="C409" t="s">
        <v>95</v>
      </c>
      <c r="D409" t="b">
        <v>0</v>
      </c>
      <c r="E409" t="s">
        <v>130</v>
      </c>
      <c r="F409" t="s">
        <v>351</v>
      </c>
      <c r="G409">
        <v>50</v>
      </c>
      <c r="H409" t="str">
        <f t="shared" si="24"/>
        <v>FALSE</v>
      </c>
      <c r="I409" t="str">
        <f t="shared" si="25"/>
        <v>FALSE</v>
      </c>
      <c r="J409" t="str">
        <f t="shared" si="26"/>
        <v>FALSE</v>
      </c>
      <c r="K409" t="str">
        <f t="shared" si="27"/>
        <v>subfunctionarea;extnetselectiondefaultpoolname;FALSE;subfunctionarea;ext_select_defaultpoolname;50</v>
      </c>
    </row>
    <row r="410" spans="1:11" x14ac:dyDescent="0.3">
      <c r="A410">
        <v>8</v>
      </c>
      <c r="B410" t="s">
        <v>130</v>
      </c>
      <c r="C410" t="s">
        <v>96</v>
      </c>
      <c r="D410" t="b">
        <v>0</v>
      </c>
      <c r="E410" t="s">
        <v>130</v>
      </c>
      <c r="F410" t="s">
        <v>96</v>
      </c>
      <c r="G410">
        <v>50</v>
      </c>
      <c r="H410" t="str">
        <f t="shared" si="24"/>
        <v>FALSE</v>
      </c>
      <c r="I410" t="str">
        <f t="shared" si="25"/>
        <v>FALSE</v>
      </c>
      <c r="J410" t="str">
        <f t="shared" si="26"/>
        <v>FALSE</v>
      </c>
      <c r="K410" t="str">
        <f t="shared" si="27"/>
        <v>subfunctionarea;extnetselectionmaxtables;FALSE;subfunctionarea;extnetselectionmaxtables;50</v>
      </c>
    </row>
    <row r="411" spans="1:11" x14ac:dyDescent="0.3">
      <c r="A411">
        <v>8</v>
      </c>
      <c r="B411" t="s">
        <v>130</v>
      </c>
      <c r="C411" t="s">
        <v>1139</v>
      </c>
      <c r="D411" t="b">
        <v>0</v>
      </c>
      <c r="E411" t="s">
        <v>130</v>
      </c>
      <c r="F411" t="s">
        <v>1139</v>
      </c>
      <c r="G411">
        <v>50</v>
      </c>
      <c r="H411" t="str">
        <f t="shared" si="24"/>
        <v>FALSE</v>
      </c>
      <c r="I411" t="str">
        <f t="shared" si="25"/>
        <v>FALSE</v>
      </c>
      <c r="J411" t="str">
        <f t="shared" si="26"/>
        <v>FALSE</v>
      </c>
      <c r="K411" t="str">
        <f t="shared" si="27"/>
        <v>subfunctionarea;fallbacktimer;FALSE;subfunctionarea;fallbacktimer;50</v>
      </c>
    </row>
    <row r="412" spans="1:11" x14ac:dyDescent="0.3">
      <c r="A412">
        <v>8</v>
      </c>
      <c r="B412" t="s">
        <v>130</v>
      </c>
      <c r="C412" t="s">
        <v>826</v>
      </c>
      <c r="D412" t="b">
        <v>0</v>
      </c>
      <c r="E412" t="s">
        <v>130</v>
      </c>
      <c r="F412" t="s">
        <v>826</v>
      </c>
      <c r="G412">
        <v>50</v>
      </c>
      <c r="H412" t="str">
        <f t="shared" si="24"/>
        <v>FALSE</v>
      </c>
      <c r="I412" t="str">
        <f t="shared" si="25"/>
        <v>FALSE</v>
      </c>
      <c r="J412" t="str">
        <f t="shared" si="26"/>
        <v>FALSE</v>
      </c>
      <c r="K412" t="str">
        <f t="shared" si="27"/>
        <v>subfunctionarea;featurestateipmultiplexing;FALSE;subfunctionarea;featurestateipmultiplexing;50</v>
      </c>
    </row>
    <row r="413" spans="1:11" x14ac:dyDescent="0.3">
      <c r="A413">
        <v>8</v>
      </c>
      <c r="B413" t="s">
        <v>130</v>
      </c>
      <c r="C413" t="s">
        <v>827</v>
      </c>
      <c r="D413" t="b">
        <v>0</v>
      </c>
      <c r="E413" t="s">
        <v>130</v>
      </c>
      <c r="F413" t="s">
        <v>827</v>
      </c>
      <c r="G413">
        <v>50</v>
      </c>
      <c r="H413" t="str">
        <f t="shared" si="24"/>
        <v>FALSE</v>
      </c>
      <c r="I413" t="str">
        <f t="shared" si="25"/>
        <v>FALSE</v>
      </c>
      <c r="J413" t="str">
        <f t="shared" si="26"/>
        <v>FALSE</v>
      </c>
      <c r="K413" t="str">
        <f t="shared" si="27"/>
        <v>subfunctionarea;featurestateipmuxextsipi;FALSE;subfunctionarea;featurestateipmuxextsipi;50</v>
      </c>
    </row>
    <row r="414" spans="1:11" x14ac:dyDescent="0.3">
      <c r="A414">
        <v>8</v>
      </c>
      <c r="B414" t="s">
        <v>130</v>
      </c>
      <c r="C414" t="s">
        <v>1138</v>
      </c>
      <c r="D414" t="b">
        <v>0</v>
      </c>
      <c r="E414" t="s">
        <v>130</v>
      </c>
      <c r="F414" t="s">
        <v>1138</v>
      </c>
      <c r="G414">
        <v>50</v>
      </c>
      <c r="H414" t="str">
        <f t="shared" si="24"/>
        <v>FALSE</v>
      </c>
      <c r="I414" t="str">
        <f t="shared" si="25"/>
        <v>FALSE</v>
      </c>
      <c r="J414" t="str">
        <f t="shared" si="26"/>
        <v>FALSE</v>
      </c>
      <c r="K414" t="str">
        <f t="shared" si="27"/>
        <v>subfunctionarea;filemid;FALSE;subfunctionarea;filemid;50</v>
      </c>
    </row>
    <row r="415" spans="1:11" x14ac:dyDescent="0.3">
      <c r="A415">
        <v>8</v>
      </c>
      <c r="B415" t="s">
        <v>130</v>
      </c>
      <c r="C415" t="s">
        <v>828</v>
      </c>
      <c r="D415" t="b">
        <v>0</v>
      </c>
      <c r="E415" t="s">
        <v>130</v>
      </c>
      <c r="F415" t="s">
        <v>828</v>
      </c>
      <c r="G415">
        <v>50</v>
      </c>
      <c r="H415" t="str">
        <f t="shared" si="24"/>
        <v>FALSE</v>
      </c>
      <c r="I415" t="str">
        <f t="shared" si="25"/>
        <v>FALSE</v>
      </c>
      <c r="J415" t="str">
        <f t="shared" si="26"/>
        <v>FALSE</v>
      </c>
      <c r="K415" t="str">
        <f t="shared" si="27"/>
        <v>subfunctionarea;filename;FALSE;subfunctionarea;filename;50</v>
      </c>
    </row>
    <row r="416" spans="1:11" x14ac:dyDescent="0.3">
      <c r="A416">
        <v>8</v>
      </c>
      <c r="B416" t="s">
        <v>130</v>
      </c>
      <c r="C416" t="s">
        <v>829</v>
      </c>
      <c r="D416" t="b">
        <v>0</v>
      </c>
      <c r="E416" t="s">
        <v>130</v>
      </c>
      <c r="F416" t="s">
        <v>829</v>
      </c>
      <c r="G416">
        <v>50</v>
      </c>
      <c r="H416" t="str">
        <f t="shared" si="24"/>
        <v>FALSE</v>
      </c>
      <c r="I416" t="str">
        <f t="shared" si="25"/>
        <v>FALSE</v>
      </c>
      <c r="J416" t="str">
        <f t="shared" si="26"/>
        <v>FALSE</v>
      </c>
      <c r="K416" t="str">
        <f t="shared" si="27"/>
        <v>subfunctionarea;filepath;FALSE;subfunctionarea;filepath;50</v>
      </c>
    </row>
    <row r="417" spans="1:11" x14ac:dyDescent="0.3">
      <c r="A417">
        <v>8</v>
      </c>
      <c r="B417" t="s">
        <v>130</v>
      </c>
      <c r="C417" t="s">
        <v>1137</v>
      </c>
      <c r="D417" t="b">
        <v>0</v>
      </c>
      <c r="E417" t="s">
        <v>130</v>
      </c>
      <c r="F417" t="s">
        <v>1137</v>
      </c>
      <c r="G417">
        <v>50</v>
      </c>
      <c r="H417" t="str">
        <f t="shared" si="24"/>
        <v>FALSE</v>
      </c>
      <c r="I417" t="str">
        <f t="shared" si="25"/>
        <v>FALSE</v>
      </c>
      <c r="J417" t="str">
        <f t="shared" si="26"/>
        <v>FALSE</v>
      </c>
      <c r="K417" t="str">
        <f t="shared" si="27"/>
        <v>subfunctionarea;fingerprintupdateable;FALSE;subfunctionarea;fingerprintupdateable;50</v>
      </c>
    </row>
    <row r="418" spans="1:11" x14ac:dyDescent="0.3">
      <c r="A418">
        <v>8</v>
      </c>
      <c r="B418" t="s">
        <v>130</v>
      </c>
      <c r="C418" t="s">
        <v>830</v>
      </c>
      <c r="D418" t="b">
        <v>0</v>
      </c>
      <c r="E418" t="s">
        <v>130</v>
      </c>
      <c r="F418" t="s">
        <v>830</v>
      </c>
      <c r="G418">
        <v>50</v>
      </c>
      <c r="H418" t="str">
        <f t="shared" si="24"/>
        <v>FALSE</v>
      </c>
      <c r="I418" t="str">
        <f t="shared" si="25"/>
        <v>FALSE</v>
      </c>
      <c r="J418" t="str">
        <f t="shared" si="26"/>
        <v>FALSE</v>
      </c>
      <c r="K418" t="str">
        <f t="shared" si="27"/>
        <v>subfunctionarea;firmwarerevision;FALSE;subfunctionarea;firmwarerevision;50</v>
      </c>
    </row>
    <row r="419" spans="1:11" x14ac:dyDescent="0.3">
      <c r="A419">
        <v>8</v>
      </c>
      <c r="B419" t="s">
        <v>130</v>
      </c>
      <c r="C419" t="s">
        <v>831</v>
      </c>
      <c r="D419" t="b">
        <v>0</v>
      </c>
      <c r="E419" t="s">
        <v>130</v>
      </c>
      <c r="F419" t="s">
        <v>831</v>
      </c>
      <c r="G419">
        <v>50</v>
      </c>
      <c r="H419" t="str">
        <f t="shared" si="24"/>
        <v>FALSE</v>
      </c>
      <c r="I419" t="str">
        <f t="shared" si="25"/>
        <v>FALSE</v>
      </c>
      <c r="J419" t="str">
        <f t="shared" si="26"/>
        <v>FALSE</v>
      </c>
      <c r="K419" t="str">
        <f t="shared" si="27"/>
        <v>subfunctionarea;flexiblediameterid;FALSE;subfunctionarea;flexiblediameterid;50</v>
      </c>
    </row>
    <row r="420" spans="1:11" x14ac:dyDescent="0.3">
      <c r="A420">
        <v>8</v>
      </c>
      <c r="B420" t="s">
        <v>130</v>
      </c>
      <c r="C420" t="s">
        <v>1136</v>
      </c>
      <c r="D420" t="b">
        <v>0</v>
      </c>
      <c r="E420" t="s">
        <v>130</v>
      </c>
      <c r="F420" t="s">
        <v>1136</v>
      </c>
      <c r="G420">
        <v>50</v>
      </c>
      <c r="H420" t="str">
        <f t="shared" si="24"/>
        <v>FALSE</v>
      </c>
      <c r="I420" t="str">
        <f t="shared" si="25"/>
        <v>FALSE</v>
      </c>
      <c r="J420" t="str">
        <f t="shared" si="26"/>
        <v>FALSE</v>
      </c>
      <c r="K420" t="str">
        <f t="shared" si="27"/>
        <v>subfunctionarea;fmid;FALSE;subfunctionarea;fmid;50</v>
      </c>
    </row>
    <row r="421" spans="1:11" x14ac:dyDescent="0.3">
      <c r="A421">
        <v>8</v>
      </c>
      <c r="B421" t="s">
        <v>130</v>
      </c>
      <c r="C421" t="s">
        <v>480</v>
      </c>
      <c r="D421" t="b">
        <v>0</v>
      </c>
      <c r="E421" t="s">
        <v>130</v>
      </c>
      <c r="F421" t="s">
        <v>480</v>
      </c>
      <c r="G421">
        <v>50</v>
      </c>
      <c r="H421" t="str">
        <f t="shared" si="24"/>
        <v>FALSE</v>
      </c>
      <c r="I421" t="str">
        <f t="shared" si="25"/>
        <v>FALSE</v>
      </c>
      <c r="J421" t="str">
        <f t="shared" si="26"/>
        <v>FALSE</v>
      </c>
      <c r="K421" t="str">
        <f t="shared" si="27"/>
        <v>subfunctionarea;forcedsipuriescaping;FALSE;subfunctionarea;forcedsipuriescaping;50</v>
      </c>
    </row>
    <row r="422" spans="1:11" x14ac:dyDescent="0.3">
      <c r="A422">
        <v>8</v>
      </c>
      <c r="B422" t="s">
        <v>130</v>
      </c>
      <c r="C422" t="s">
        <v>832</v>
      </c>
      <c r="D422" t="b">
        <v>0</v>
      </c>
      <c r="E422" t="s">
        <v>130</v>
      </c>
      <c r="F422" t="s">
        <v>832</v>
      </c>
      <c r="G422">
        <v>50</v>
      </c>
      <c r="H422" t="str">
        <f t="shared" si="24"/>
        <v>FALSE</v>
      </c>
      <c r="I422" t="str">
        <f t="shared" si="25"/>
        <v>FALSE</v>
      </c>
      <c r="J422" t="str">
        <f t="shared" si="26"/>
        <v>FALSE</v>
      </c>
      <c r="K422" t="str">
        <f t="shared" si="27"/>
        <v>subfunctionarea;g711packetlossconcealmentext;FALSE;subfunctionarea;g711packetlossconcealmentext;50</v>
      </c>
    </row>
    <row r="423" spans="1:11" x14ac:dyDescent="0.3">
      <c r="A423">
        <v>8</v>
      </c>
      <c r="B423" t="s">
        <v>130</v>
      </c>
      <c r="C423" t="s">
        <v>833</v>
      </c>
      <c r="D423" t="b">
        <v>0</v>
      </c>
      <c r="E423" t="s">
        <v>130</v>
      </c>
      <c r="F423" t="s">
        <v>833</v>
      </c>
      <c r="G423">
        <v>50</v>
      </c>
      <c r="H423" t="str">
        <f t="shared" si="24"/>
        <v>FALSE</v>
      </c>
      <c r="I423" t="str">
        <f t="shared" si="25"/>
        <v>FALSE</v>
      </c>
      <c r="J423" t="str">
        <f t="shared" si="26"/>
        <v>FALSE</v>
      </c>
      <c r="K423" t="str">
        <f t="shared" si="27"/>
        <v>subfunctionarea;g711packetlossconcealmentmb;FALSE;subfunctionarea;g711packetlossconcealmentmb;50</v>
      </c>
    </row>
    <row r="424" spans="1:11" x14ac:dyDescent="0.3">
      <c r="A424">
        <v>8</v>
      </c>
      <c r="B424" t="s">
        <v>130</v>
      </c>
      <c r="C424" t="s">
        <v>834</v>
      </c>
      <c r="D424" t="b">
        <v>0</v>
      </c>
      <c r="E424" t="s">
        <v>130</v>
      </c>
      <c r="F424" t="s">
        <v>834</v>
      </c>
      <c r="G424">
        <v>50</v>
      </c>
      <c r="H424" t="str">
        <f t="shared" si="24"/>
        <v>FALSE</v>
      </c>
      <c r="I424" t="str">
        <f t="shared" si="25"/>
        <v>FALSE</v>
      </c>
      <c r="J424" t="str">
        <f t="shared" si="26"/>
        <v>FALSE</v>
      </c>
      <c r="K424" t="str">
        <f t="shared" si="27"/>
        <v>subfunctionarea;g711packetlossconcealmentnb;FALSE;subfunctionarea;g711packetlossconcealmentnb;50</v>
      </c>
    </row>
    <row r="425" spans="1:11" x14ac:dyDescent="0.3">
      <c r="A425">
        <v>8</v>
      </c>
      <c r="B425" t="s">
        <v>130</v>
      </c>
      <c r="C425" t="s">
        <v>835</v>
      </c>
      <c r="D425" t="b">
        <v>0</v>
      </c>
      <c r="E425" t="s">
        <v>130</v>
      </c>
      <c r="F425" t="s">
        <v>835</v>
      </c>
      <c r="G425">
        <v>50</v>
      </c>
      <c r="H425" t="str">
        <f t="shared" si="24"/>
        <v>FALSE</v>
      </c>
      <c r="I425" t="str">
        <f t="shared" si="25"/>
        <v>FALSE</v>
      </c>
      <c r="J425" t="str">
        <f t="shared" si="26"/>
        <v>FALSE</v>
      </c>
      <c r="K425" t="str">
        <f t="shared" si="27"/>
        <v>subfunctionarea;g711packetlossconcealmentunid;FALSE;subfunctionarea;g711packetlossconcealmentunid;50</v>
      </c>
    </row>
    <row r="426" spans="1:11" x14ac:dyDescent="0.3">
      <c r="A426">
        <v>8</v>
      </c>
      <c r="B426" t="s">
        <v>130</v>
      </c>
      <c r="C426" t="s">
        <v>836</v>
      </c>
      <c r="D426" t="b">
        <v>0</v>
      </c>
      <c r="E426" t="s">
        <v>130</v>
      </c>
      <c r="F426" t="s">
        <v>836</v>
      </c>
      <c r="G426">
        <v>50</v>
      </c>
      <c r="H426" t="str">
        <f t="shared" si="24"/>
        <v>FALSE</v>
      </c>
      <c r="I426" t="str">
        <f t="shared" si="25"/>
        <v>FALSE</v>
      </c>
      <c r="J426" t="str">
        <f t="shared" si="26"/>
        <v>FALSE</v>
      </c>
      <c r="K426" t="str">
        <f t="shared" si="27"/>
        <v>subfunctionarea;g719serviceid;FALSE;subfunctionarea;g719serviceid;50</v>
      </c>
    </row>
    <row r="427" spans="1:11" x14ac:dyDescent="0.3">
      <c r="A427">
        <v>8</v>
      </c>
      <c r="B427" t="s">
        <v>130</v>
      </c>
      <c r="C427" t="s">
        <v>837</v>
      </c>
      <c r="D427" t="b">
        <v>0</v>
      </c>
      <c r="E427" t="s">
        <v>130</v>
      </c>
      <c r="F427" t="s">
        <v>837</v>
      </c>
      <c r="G427">
        <v>50</v>
      </c>
      <c r="H427" t="str">
        <f t="shared" si="24"/>
        <v>FALSE</v>
      </c>
      <c r="I427" t="str">
        <f t="shared" si="25"/>
        <v>FALSE</v>
      </c>
      <c r="J427" t="str">
        <f t="shared" si="26"/>
        <v>FALSE</v>
      </c>
      <c r="K427" t="str">
        <f t="shared" si="27"/>
        <v>subfunctionarea;g729serviceid;FALSE;subfunctionarea;g729serviceid;50</v>
      </c>
    </row>
    <row r="428" spans="1:11" x14ac:dyDescent="0.3">
      <c r="A428">
        <v>8</v>
      </c>
      <c r="B428" t="s">
        <v>130</v>
      </c>
      <c r="C428" t="s">
        <v>1135</v>
      </c>
      <c r="D428" t="b">
        <v>0</v>
      </c>
      <c r="E428" t="s">
        <v>130</v>
      </c>
      <c r="F428" t="s">
        <v>1135</v>
      </c>
      <c r="G428">
        <v>50</v>
      </c>
      <c r="H428" t="str">
        <f t="shared" si="24"/>
        <v>FALSE</v>
      </c>
      <c r="I428" t="str">
        <f t="shared" si="25"/>
        <v>FALSE</v>
      </c>
      <c r="J428" t="str">
        <f t="shared" si="26"/>
        <v>FALSE</v>
      </c>
      <c r="K428" t="str">
        <f t="shared" si="27"/>
        <v>subfunctionarea;gatewayaddress;FALSE;subfunctionarea;gatewayaddress;50</v>
      </c>
    </row>
    <row r="429" spans="1:11" x14ac:dyDescent="0.3">
      <c r="A429">
        <v>8</v>
      </c>
      <c r="B429" t="s">
        <v>130</v>
      </c>
      <c r="C429" t="s">
        <v>838</v>
      </c>
      <c r="D429" t="b">
        <v>0</v>
      </c>
      <c r="E429" t="s">
        <v>130</v>
      </c>
      <c r="F429" t="s">
        <v>838</v>
      </c>
      <c r="G429">
        <v>50</v>
      </c>
      <c r="H429" t="str">
        <f t="shared" si="24"/>
        <v>FALSE</v>
      </c>
      <c r="I429" t="str">
        <f t="shared" si="25"/>
        <v>FALSE</v>
      </c>
      <c r="J429" t="str">
        <f t="shared" si="26"/>
        <v>FALSE</v>
      </c>
      <c r="K429" t="str">
        <f t="shared" si="27"/>
        <v>subfunctionarea;gcpassociationmoref;FALSE;subfunctionarea;gcpassociationmoref;50</v>
      </c>
    </row>
    <row r="430" spans="1:11" x14ac:dyDescent="0.3">
      <c r="A430">
        <v>8</v>
      </c>
      <c r="B430" t="s">
        <v>130</v>
      </c>
      <c r="C430" t="s">
        <v>839</v>
      </c>
      <c r="D430" t="b">
        <v>0</v>
      </c>
      <c r="E430" t="s">
        <v>130</v>
      </c>
      <c r="F430" t="s">
        <v>839</v>
      </c>
      <c r="G430">
        <v>50</v>
      </c>
      <c r="H430" t="str">
        <f t="shared" si="24"/>
        <v>FALSE</v>
      </c>
      <c r="I430" t="str">
        <f t="shared" si="25"/>
        <v>FALSE</v>
      </c>
      <c r="J430" t="str">
        <f t="shared" si="26"/>
        <v>FALSE</v>
      </c>
      <c r="K430" t="str">
        <f t="shared" si="27"/>
        <v>subfunctionarea;gcpprofile;FALSE;subfunctionarea;gcpprofile;50</v>
      </c>
    </row>
    <row r="431" spans="1:11" x14ac:dyDescent="0.3">
      <c r="A431">
        <v>8</v>
      </c>
      <c r="B431" t="s">
        <v>130</v>
      </c>
      <c r="C431" t="s">
        <v>840</v>
      </c>
      <c r="D431" t="b">
        <v>0</v>
      </c>
      <c r="E431" t="s">
        <v>130</v>
      </c>
      <c r="F431" t="s">
        <v>840</v>
      </c>
      <c r="G431">
        <v>50</v>
      </c>
      <c r="H431" t="str">
        <f t="shared" si="24"/>
        <v>FALSE</v>
      </c>
      <c r="I431" t="str">
        <f t="shared" si="25"/>
        <v>FALSE</v>
      </c>
      <c r="J431" t="str">
        <f t="shared" si="26"/>
        <v>FALSE</v>
      </c>
      <c r="K431" t="str">
        <f t="shared" si="27"/>
        <v>subfunctionarea;gsmfrserviceid;FALSE;subfunctionarea;gsmfrserviceid;50</v>
      </c>
    </row>
    <row r="432" spans="1:11" x14ac:dyDescent="0.3">
      <c r="A432">
        <v>8</v>
      </c>
      <c r="B432" t="s">
        <v>130</v>
      </c>
      <c r="C432" t="s">
        <v>841</v>
      </c>
      <c r="D432" t="b">
        <v>0</v>
      </c>
      <c r="E432" t="s">
        <v>130</v>
      </c>
      <c r="F432" t="s">
        <v>841</v>
      </c>
      <c r="G432">
        <v>50</v>
      </c>
      <c r="H432" t="str">
        <f t="shared" si="24"/>
        <v>FALSE</v>
      </c>
      <c r="I432" t="str">
        <f t="shared" si="25"/>
        <v>FALSE</v>
      </c>
      <c r="J432" t="str">
        <f t="shared" si="26"/>
        <v>FALSE</v>
      </c>
      <c r="K432" t="str">
        <f t="shared" si="27"/>
        <v>subfunctionarea;gsmhrserviceid;FALSE;subfunctionarea;gsmhrserviceid;50</v>
      </c>
    </row>
    <row r="433" spans="1:11" x14ac:dyDescent="0.3">
      <c r="A433">
        <v>8</v>
      </c>
      <c r="B433" t="s">
        <v>130</v>
      </c>
      <c r="C433" t="s">
        <v>842</v>
      </c>
      <c r="D433" t="b">
        <v>0</v>
      </c>
      <c r="E433" t="s">
        <v>130</v>
      </c>
      <c r="F433" t="s">
        <v>842</v>
      </c>
      <c r="G433">
        <v>50</v>
      </c>
      <c r="H433" t="str">
        <f t="shared" si="24"/>
        <v>FALSE</v>
      </c>
      <c r="I433" t="str">
        <f t="shared" si="25"/>
        <v>FALSE</v>
      </c>
      <c r="J433" t="str">
        <f t="shared" si="26"/>
        <v>FALSE</v>
      </c>
      <c r="K433" t="str">
        <f t="shared" si="27"/>
        <v>subfunctionarea;gttserviceid;FALSE;subfunctionarea;gttserviceid;50</v>
      </c>
    </row>
    <row r="434" spans="1:11" x14ac:dyDescent="0.3">
      <c r="A434">
        <v>8</v>
      </c>
      <c r="B434" t="s">
        <v>130</v>
      </c>
      <c r="C434" t="s">
        <v>843</v>
      </c>
      <c r="D434" t="b">
        <v>0</v>
      </c>
      <c r="E434" t="s">
        <v>130</v>
      </c>
      <c r="F434" t="s">
        <v>843</v>
      </c>
      <c r="G434">
        <v>50</v>
      </c>
      <c r="H434" t="str">
        <f t="shared" si="24"/>
        <v>FALSE</v>
      </c>
      <c r="I434" t="str">
        <f t="shared" si="25"/>
        <v>FALSE</v>
      </c>
      <c r="J434" t="str">
        <f t="shared" si="26"/>
        <v>FALSE</v>
      </c>
      <c r="K434" t="str">
        <f t="shared" si="27"/>
        <v>subfunctionarea;handoffmgcid;FALSE;subfunctionarea;handoffmgcid;50</v>
      </c>
    </row>
    <row r="435" spans="1:11" x14ac:dyDescent="0.3">
      <c r="A435">
        <v>8</v>
      </c>
      <c r="B435" t="s">
        <v>130</v>
      </c>
      <c r="C435" t="s">
        <v>844</v>
      </c>
      <c r="D435" t="b">
        <v>0</v>
      </c>
      <c r="E435" t="s">
        <v>130</v>
      </c>
      <c r="F435" t="s">
        <v>844</v>
      </c>
      <c r="G435">
        <v>50</v>
      </c>
      <c r="H435" t="str">
        <f t="shared" si="24"/>
        <v>FALSE</v>
      </c>
      <c r="I435" t="str">
        <f t="shared" si="25"/>
        <v>FALSE</v>
      </c>
      <c r="J435" t="str">
        <f t="shared" si="26"/>
        <v>FALSE</v>
      </c>
      <c r="K435" t="str">
        <f t="shared" si="27"/>
        <v>subfunctionarea;hdfilename;FALSE;subfunctionarea;hdfilename;50</v>
      </c>
    </row>
    <row r="436" spans="1:11" x14ac:dyDescent="0.3">
      <c r="A436">
        <v>8</v>
      </c>
      <c r="B436" t="s">
        <v>130</v>
      </c>
      <c r="C436" t="s">
        <v>845</v>
      </c>
      <c r="D436" t="b">
        <v>0</v>
      </c>
      <c r="E436" t="s">
        <v>130</v>
      </c>
      <c r="F436" t="s">
        <v>845</v>
      </c>
      <c r="G436">
        <v>50</v>
      </c>
      <c r="H436" t="str">
        <f t="shared" si="24"/>
        <v>FALSE</v>
      </c>
      <c r="I436" t="str">
        <f t="shared" si="25"/>
        <v>FALSE</v>
      </c>
      <c r="J436" t="str">
        <f t="shared" si="26"/>
        <v>FALSE</v>
      </c>
      <c r="K436" t="str">
        <f t="shared" si="27"/>
        <v>subfunctionarea;hdfilepath;FALSE;subfunctionarea;hdfilepath;50</v>
      </c>
    </row>
    <row r="437" spans="1:11" x14ac:dyDescent="0.3">
      <c r="A437">
        <v>8</v>
      </c>
      <c r="B437" t="s">
        <v>130</v>
      </c>
      <c r="C437" t="s">
        <v>846</v>
      </c>
      <c r="D437" t="b">
        <v>0</v>
      </c>
      <c r="E437" t="s">
        <v>130</v>
      </c>
      <c r="F437" t="s">
        <v>846</v>
      </c>
      <c r="G437">
        <v>50</v>
      </c>
      <c r="H437" t="str">
        <f t="shared" si="24"/>
        <v>FALSE</v>
      </c>
      <c r="I437" t="str">
        <f t="shared" si="25"/>
        <v>FALSE</v>
      </c>
      <c r="J437" t="str">
        <f t="shared" si="26"/>
        <v>FALSE</v>
      </c>
      <c r="K437" t="str">
        <f t="shared" si="27"/>
        <v>subfunctionarea;healthcheckmid;FALSE;subfunctionarea;healthcheckmid;50</v>
      </c>
    </row>
    <row r="438" spans="1:11" x14ac:dyDescent="0.3">
      <c r="A438">
        <v>8</v>
      </c>
      <c r="B438" t="s">
        <v>130</v>
      </c>
      <c r="C438" t="s">
        <v>1134</v>
      </c>
      <c r="D438" t="b">
        <v>0</v>
      </c>
      <c r="E438" t="s">
        <v>130</v>
      </c>
      <c r="F438" t="s">
        <v>1134</v>
      </c>
      <c r="G438">
        <v>50</v>
      </c>
      <c r="H438" t="str">
        <f t="shared" si="24"/>
        <v>FALSE</v>
      </c>
      <c r="I438" t="str">
        <f t="shared" si="25"/>
        <v>FALSE</v>
      </c>
      <c r="J438" t="str">
        <f t="shared" si="26"/>
        <v>FALSE</v>
      </c>
      <c r="K438" t="str">
        <f t="shared" si="27"/>
        <v>subfunctionarea;heartbeatinterval;FALSE;subfunctionarea;heartbeatinterval;50</v>
      </c>
    </row>
    <row r="439" spans="1:11" x14ac:dyDescent="0.3">
      <c r="A439">
        <v>8</v>
      </c>
      <c r="B439" t="s">
        <v>130</v>
      </c>
      <c r="C439" t="s">
        <v>847</v>
      </c>
      <c r="D439" t="b">
        <v>0</v>
      </c>
      <c r="E439" t="s">
        <v>130</v>
      </c>
      <c r="F439" t="s">
        <v>847</v>
      </c>
      <c r="G439">
        <v>50</v>
      </c>
      <c r="H439" t="str">
        <f t="shared" si="24"/>
        <v>FALSE</v>
      </c>
      <c r="I439" t="str">
        <f t="shared" si="25"/>
        <v>FALSE</v>
      </c>
      <c r="J439" t="str">
        <f t="shared" si="26"/>
        <v>FALSE</v>
      </c>
      <c r="K439" t="str">
        <f t="shared" si="27"/>
        <v>subfunctionarea;highfreqlevel;FALSE;subfunctionarea;highfreqlevel;50</v>
      </c>
    </row>
    <row r="440" spans="1:11" x14ac:dyDescent="0.3">
      <c r="A440">
        <v>8</v>
      </c>
      <c r="B440" t="s">
        <v>130</v>
      </c>
      <c r="C440" t="s">
        <v>1133</v>
      </c>
      <c r="D440" t="b">
        <v>0</v>
      </c>
      <c r="E440" t="s">
        <v>130</v>
      </c>
      <c r="F440" t="s">
        <v>1133</v>
      </c>
      <c r="G440">
        <v>50</v>
      </c>
      <c r="H440" t="str">
        <f t="shared" si="24"/>
        <v>FALSE</v>
      </c>
      <c r="I440" t="str">
        <f t="shared" si="25"/>
        <v>FALSE</v>
      </c>
      <c r="J440" t="str">
        <f t="shared" si="26"/>
        <v>FALSE</v>
      </c>
      <c r="K440" t="str">
        <f t="shared" si="27"/>
        <v>subfunctionarea;hostid;FALSE;subfunctionarea;hostid;50</v>
      </c>
    </row>
    <row r="441" spans="1:11" x14ac:dyDescent="0.3">
      <c r="A441">
        <v>8</v>
      </c>
      <c r="B441" t="s">
        <v>130</v>
      </c>
      <c r="C441" t="s">
        <v>848</v>
      </c>
      <c r="D441" t="b">
        <v>0</v>
      </c>
      <c r="E441" t="s">
        <v>130</v>
      </c>
      <c r="F441" t="s">
        <v>848</v>
      </c>
      <c r="G441">
        <v>50</v>
      </c>
      <c r="H441" t="str">
        <f t="shared" si="24"/>
        <v>FALSE</v>
      </c>
      <c r="I441" t="str">
        <f t="shared" si="25"/>
        <v>FALSE</v>
      </c>
      <c r="J441" t="str">
        <f t="shared" si="26"/>
        <v>FALSE</v>
      </c>
      <c r="K441" t="str">
        <f t="shared" si="27"/>
        <v>subfunctionarea;hss-administrativestate;FALSE;subfunctionarea;hss-administrativestate;50</v>
      </c>
    </row>
    <row r="442" spans="1:11" x14ac:dyDescent="0.3">
      <c r="A442">
        <v>8</v>
      </c>
      <c r="B442" t="s">
        <v>130</v>
      </c>
      <c r="C442" t="s">
        <v>849</v>
      </c>
      <c r="D442" t="b">
        <v>0</v>
      </c>
      <c r="E442" t="s">
        <v>130</v>
      </c>
      <c r="F442" t="s">
        <v>849</v>
      </c>
      <c r="G442">
        <v>50</v>
      </c>
      <c r="H442" t="str">
        <f t="shared" si="24"/>
        <v>FALSE</v>
      </c>
      <c r="I442" t="str">
        <f t="shared" si="25"/>
        <v>FALSE</v>
      </c>
      <c r="J442" t="str">
        <f t="shared" si="26"/>
        <v>FALSE</v>
      </c>
      <c r="K442" t="str">
        <f t="shared" si="27"/>
        <v>subfunctionarea;hss-commonfeaturenodeidentity;FALSE;subfunctionarea;hss-commonfeaturenodeidentity;50</v>
      </c>
    </row>
    <row r="443" spans="1:11" x14ac:dyDescent="0.3">
      <c r="A443">
        <v>8</v>
      </c>
      <c r="B443" t="s">
        <v>130</v>
      </c>
      <c r="C443" t="s">
        <v>850</v>
      </c>
      <c r="D443" t="b">
        <v>0</v>
      </c>
      <c r="E443" t="s">
        <v>130</v>
      </c>
      <c r="F443" t="s">
        <v>850</v>
      </c>
      <c r="G443">
        <v>50</v>
      </c>
      <c r="H443" t="str">
        <f t="shared" si="24"/>
        <v>FALSE</v>
      </c>
      <c r="I443" t="str">
        <f t="shared" si="25"/>
        <v>FALSE</v>
      </c>
      <c r="J443" t="str">
        <f t="shared" si="26"/>
        <v>FALSE</v>
      </c>
      <c r="K443" t="str">
        <f t="shared" si="27"/>
        <v>subfunctionarea;hss-erewildcardsupport;FALSE;subfunctionarea;hss-erewildcardsupport;50</v>
      </c>
    </row>
    <row r="444" spans="1:11" x14ac:dyDescent="0.3">
      <c r="A444">
        <v>8</v>
      </c>
      <c r="B444" t="s">
        <v>130</v>
      </c>
      <c r="C444" t="s">
        <v>851</v>
      </c>
      <c r="D444" t="b">
        <v>0</v>
      </c>
      <c r="E444" t="s">
        <v>130</v>
      </c>
      <c r="F444" t="s">
        <v>851</v>
      </c>
      <c r="G444">
        <v>50</v>
      </c>
      <c r="H444" t="str">
        <f t="shared" si="24"/>
        <v>FALSE</v>
      </c>
      <c r="I444" t="str">
        <f t="shared" si="25"/>
        <v>FALSE</v>
      </c>
      <c r="J444" t="str">
        <f t="shared" si="26"/>
        <v>FALSE</v>
      </c>
      <c r="K444" t="str">
        <f t="shared" si="27"/>
        <v>subfunctionarea;hss-esmnodeidentity;FALSE;subfunctionarea;hss-esmnodeidentity;50</v>
      </c>
    </row>
    <row r="445" spans="1:11" x14ac:dyDescent="0.3">
      <c r="A445">
        <v>8</v>
      </c>
      <c r="B445" t="s">
        <v>130</v>
      </c>
      <c r="C445" t="s">
        <v>852</v>
      </c>
      <c r="D445" t="b">
        <v>0</v>
      </c>
      <c r="E445" t="s">
        <v>130</v>
      </c>
      <c r="F445" t="s">
        <v>852</v>
      </c>
      <c r="G445">
        <v>50</v>
      </c>
      <c r="H445" t="str">
        <f t="shared" si="24"/>
        <v>FALSE</v>
      </c>
      <c r="I445" t="str">
        <f t="shared" si="25"/>
        <v>FALSE</v>
      </c>
      <c r="J445" t="str">
        <f t="shared" si="26"/>
        <v>FALSE</v>
      </c>
      <c r="K445" t="str">
        <f t="shared" si="27"/>
        <v>subfunctionarea;hss-extdbconfiglogactive;FALSE;subfunctionarea;hss-extdbconfiglogactive;50</v>
      </c>
    </row>
    <row r="446" spans="1:11" x14ac:dyDescent="0.3">
      <c r="A446">
        <v>8</v>
      </c>
      <c r="B446" t="s">
        <v>130</v>
      </c>
      <c r="C446" t="s">
        <v>853</v>
      </c>
      <c r="D446" t="b">
        <v>0</v>
      </c>
      <c r="E446" t="s">
        <v>130</v>
      </c>
      <c r="F446" t="s">
        <v>853</v>
      </c>
      <c r="G446">
        <v>100</v>
      </c>
      <c r="H446" t="str">
        <f t="shared" si="24"/>
        <v>FALSE</v>
      </c>
      <c r="I446" t="str">
        <f t="shared" si="25"/>
        <v>FALSE</v>
      </c>
      <c r="J446" t="str">
        <f t="shared" si="26"/>
        <v>TRUE</v>
      </c>
      <c r="K446" t="str">
        <f t="shared" si="27"/>
        <v>subfunctionarea;hss-extdbconfigrootdnlist;FALSE;subfunctionarea;hss-extdbconfigrootdnlist;100</v>
      </c>
    </row>
    <row r="447" spans="1:11" x14ac:dyDescent="0.3">
      <c r="A447">
        <v>8</v>
      </c>
      <c r="B447" t="s">
        <v>130</v>
      </c>
      <c r="C447" t="s">
        <v>854</v>
      </c>
      <c r="D447" t="b">
        <v>0</v>
      </c>
      <c r="E447" t="s">
        <v>130</v>
      </c>
      <c r="F447" t="s">
        <v>854</v>
      </c>
      <c r="G447">
        <v>50</v>
      </c>
      <c r="H447" t="str">
        <f t="shared" si="24"/>
        <v>FALSE</v>
      </c>
      <c r="I447" t="str">
        <f t="shared" si="25"/>
        <v>FALSE</v>
      </c>
      <c r="J447" t="str">
        <f t="shared" si="26"/>
        <v>FALSE</v>
      </c>
      <c r="K447" t="str">
        <f t="shared" si="27"/>
        <v>subfunctionarea;hss-extdbmaxconcurrentclients;FALSE;subfunctionarea;hss-extdbmaxconcurrentclients;50</v>
      </c>
    </row>
    <row r="448" spans="1:11" x14ac:dyDescent="0.3">
      <c r="A448">
        <v>8</v>
      </c>
      <c r="B448" t="s">
        <v>130</v>
      </c>
      <c r="C448" t="s">
        <v>855</v>
      </c>
      <c r="D448" t="b">
        <v>0</v>
      </c>
      <c r="E448" t="s">
        <v>130</v>
      </c>
      <c r="F448" t="s">
        <v>855</v>
      </c>
      <c r="G448">
        <v>50</v>
      </c>
      <c r="H448" t="str">
        <f t="shared" si="24"/>
        <v>FALSE</v>
      </c>
      <c r="I448" t="str">
        <f t="shared" si="25"/>
        <v>FALSE</v>
      </c>
      <c r="J448" t="str">
        <f t="shared" si="26"/>
        <v>FALSE</v>
      </c>
      <c r="K448" t="str">
        <f t="shared" si="27"/>
        <v>subfunctionarea;hss-extdburlpasswordlist;FALSE;subfunctionarea;hss-extdburlpasswordlist;50</v>
      </c>
    </row>
    <row r="449" spans="1:11" x14ac:dyDescent="0.3">
      <c r="A449">
        <v>8</v>
      </c>
      <c r="B449" t="s">
        <v>130</v>
      </c>
      <c r="C449" t="s">
        <v>856</v>
      </c>
      <c r="D449" t="b">
        <v>0</v>
      </c>
      <c r="E449" t="s">
        <v>130</v>
      </c>
      <c r="F449" t="s">
        <v>856</v>
      </c>
      <c r="G449">
        <v>50</v>
      </c>
      <c r="H449" t="str">
        <f t="shared" si="24"/>
        <v>FALSE</v>
      </c>
      <c r="I449" t="str">
        <f t="shared" si="25"/>
        <v>FALSE</v>
      </c>
      <c r="J449" t="str">
        <f t="shared" si="26"/>
        <v>FALSE</v>
      </c>
      <c r="K449" t="str">
        <f t="shared" si="27"/>
        <v>subfunctionarea;hss-isdatacacheused;FALSE;subfunctionarea;hss-isdatacacheused;50</v>
      </c>
    </row>
    <row r="450" spans="1:11" x14ac:dyDescent="0.3">
      <c r="A450">
        <v>8</v>
      </c>
      <c r="B450" t="s">
        <v>130</v>
      </c>
      <c r="C450" t="s">
        <v>857</v>
      </c>
      <c r="D450" t="b">
        <v>0</v>
      </c>
      <c r="E450" t="s">
        <v>130</v>
      </c>
      <c r="F450" t="s">
        <v>857</v>
      </c>
      <c r="G450">
        <v>50</v>
      </c>
      <c r="H450" t="str">
        <f t="shared" ref="H450:H513" si="28">IF(LEN(C450)&gt;30,"TRUE","FALSE")</f>
        <v>FALSE</v>
      </c>
      <c r="I450" t="str">
        <f t="shared" ref="I450:I513" si="29">IF(LEN(F450)&gt;30,"TRUE","FALSE")</f>
        <v>FALSE</v>
      </c>
      <c r="J450" t="str">
        <f t="shared" ref="J450:J513" si="30">IF(G450&gt;50,"TRUE","FALSE")</f>
        <v>FALSE</v>
      </c>
      <c r="K450" t="str">
        <f t="shared" ref="K450:K513" si="31">CONCATENATE(B450,";",C450,";",D450,";",E450,";",F450,";",G450)</f>
        <v>subfunctionarea;hss-nodeidentity;FALSE;subfunctionarea;hss-nodeidentity;50</v>
      </c>
    </row>
    <row r="451" spans="1:11" x14ac:dyDescent="0.3">
      <c r="A451">
        <v>8</v>
      </c>
      <c r="B451" t="s">
        <v>130</v>
      </c>
      <c r="C451" t="s">
        <v>858</v>
      </c>
      <c r="D451" t="b">
        <v>0</v>
      </c>
      <c r="E451" t="s">
        <v>130</v>
      </c>
      <c r="F451" t="s">
        <v>858</v>
      </c>
      <c r="G451">
        <v>50</v>
      </c>
      <c r="H451" t="str">
        <f t="shared" si="28"/>
        <v>FALSE</v>
      </c>
      <c r="I451" t="str">
        <f t="shared" si="29"/>
        <v>FALSE</v>
      </c>
      <c r="J451" t="str">
        <f t="shared" si="30"/>
        <v>FALSE</v>
      </c>
      <c r="K451" t="str">
        <f t="shared" si="31"/>
        <v>subfunctionarea;hss-smnodeidentity;FALSE;subfunctionarea;hss-smnodeidentity;50</v>
      </c>
    </row>
    <row r="452" spans="1:11" x14ac:dyDescent="0.3">
      <c r="A452">
        <v>8</v>
      </c>
      <c r="B452" t="s">
        <v>130</v>
      </c>
      <c r="C452" t="s">
        <v>1132</v>
      </c>
      <c r="D452" t="b">
        <v>0</v>
      </c>
      <c r="E452" t="s">
        <v>130</v>
      </c>
      <c r="F452" t="s">
        <v>1132</v>
      </c>
      <c r="G452">
        <v>50</v>
      </c>
      <c r="H452" t="str">
        <f t="shared" si="28"/>
        <v>FALSE</v>
      </c>
      <c r="I452" t="str">
        <f t="shared" si="29"/>
        <v>FALSE</v>
      </c>
      <c r="J452" t="str">
        <f t="shared" si="30"/>
        <v>FALSE</v>
      </c>
      <c r="K452" t="str">
        <f t="shared" si="31"/>
        <v>subfunctionarea;icmpbarringtime;FALSE;subfunctionarea;icmpbarringtime;50</v>
      </c>
    </row>
    <row r="453" spans="1:11" x14ac:dyDescent="0.3">
      <c r="A453">
        <v>8</v>
      </c>
      <c r="B453" t="s">
        <v>130</v>
      </c>
      <c r="C453" t="s">
        <v>1131</v>
      </c>
      <c r="D453" t="b">
        <v>0</v>
      </c>
      <c r="E453" t="s">
        <v>130</v>
      </c>
      <c r="F453" t="s">
        <v>1131</v>
      </c>
      <c r="G453">
        <v>50</v>
      </c>
      <c r="H453" t="str">
        <f t="shared" si="28"/>
        <v>FALSE</v>
      </c>
      <c r="I453" t="str">
        <f t="shared" si="29"/>
        <v>FALSE</v>
      </c>
      <c r="J453" t="str">
        <f t="shared" si="30"/>
        <v>FALSE</v>
      </c>
      <c r="K453" t="str">
        <f t="shared" si="31"/>
        <v>subfunctionarea;icmpenabled;FALSE;subfunctionarea;icmpenabled;50</v>
      </c>
    </row>
    <row r="454" spans="1:11" x14ac:dyDescent="0.3">
      <c r="A454">
        <v>8</v>
      </c>
      <c r="B454" t="s">
        <v>130</v>
      </c>
      <c r="C454" t="s">
        <v>1130</v>
      </c>
      <c r="D454" t="b">
        <v>0</v>
      </c>
      <c r="E454" t="s">
        <v>130</v>
      </c>
      <c r="F454" t="s">
        <v>1130</v>
      </c>
      <c r="G454">
        <v>50</v>
      </c>
      <c r="H454" t="str">
        <f t="shared" si="28"/>
        <v>FALSE</v>
      </c>
      <c r="I454" t="str">
        <f t="shared" si="29"/>
        <v>FALSE</v>
      </c>
      <c r="J454" t="str">
        <f t="shared" si="30"/>
        <v>FALSE</v>
      </c>
      <c r="K454" t="str">
        <f t="shared" si="31"/>
        <v>subfunctionarea;icmpintermittencyinterval;FALSE;subfunctionarea;icmpintermittencyinterval;50</v>
      </c>
    </row>
    <row r="455" spans="1:11" x14ac:dyDescent="0.3">
      <c r="A455">
        <v>8</v>
      </c>
      <c r="B455" t="s">
        <v>130</v>
      </c>
      <c r="C455" t="s">
        <v>1129</v>
      </c>
      <c r="D455" t="b">
        <v>0</v>
      </c>
      <c r="E455" t="s">
        <v>130</v>
      </c>
      <c r="F455" t="s">
        <v>1129</v>
      </c>
      <c r="G455">
        <v>50</v>
      </c>
      <c r="H455" t="str">
        <f t="shared" si="28"/>
        <v>FALSE</v>
      </c>
      <c r="I455" t="str">
        <f t="shared" si="29"/>
        <v>FALSE</v>
      </c>
      <c r="J455" t="str">
        <f t="shared" si="30"/>
        <v>FALSE</v>
      </c>
      <c r="K455" t="str">
        <f t="shared" si="31"/>
        <v>subfunctionarea;icmpintermittenttolerance;FALSE;subfunctionarea;icmpintermittenttolerance;50</v>
      </c>
    </row>
    <row r="456" spans="1:11" x14ac:dyDescent="0.3">
      <c r="A456">
        <v>8</v>
      </c>
      <c r="B456" t="s">
        <v>130</v>
      </c>
      <c r="C456" t="s">
        <v>1128</v>
      </c>
      <c r="D456" t="b">
        <v>0</v>
      </c>
      <c r="E456" t="s">
        <v>130</v>
      </c>
      <c r="F456" t="s">
        <v>1128</v>
      </c>
      <c r="G456">
        <v>50</v>
      </c>
      <c r="H456" t="str">
        <f t="shared" si="28"/>
        <v>FALSE</v>
      </c>
      <c r="I456" t="str">
        <f t="shared" si="29"/>
        <v>FALSE</v>
      </c>
      <c r="J456" t="str">
        <f t="shared" si="30"/>
        <v>FALSE</v>
      </c>
      <c r="K456" t="str">
        <f t="shared" si="31"/>
        <v>subfunctionarea;icmpmessagedistribution;FALSE;subfunctionarea;icmpmessagedistribution;50</v>
      </c>
    </row>
    <row r="457" spans="1:11" x14ac:dyDescent="0.3">
      <c r="A457">
        <v>8</v>
      </c>
      <c r="B457" t="s">
        <v>130</v>
      </c>
      <c r="C457" t="s">
        <v>1127</v>
      </c>
      <c r="D457" t="b">
        <v>0</v>
      </c>
      <c r="E457" t="s">
        <v>130</v>
      </c>
      <c r="F457" t="s">
        <v>1127</v>
      </c>
      <c r="G457">
        <v>50</v>
      </c>
      <c r="H457" t="str">
        <f t="shared" si="28"/>
        <v>FALSE</v>
      </c>
      <c r="I457" t="str">
        <f t="shared" si="29"/>
        <v>FALSE</v>
      </c>
      <c r="J457" t="str">
        <f t="shared" si="30"/>
        <v>FALSE</v>
      </c>
      <c r="K457" t="str">
        <f t="shared" si="31"/>
        <v>subfunctionarea;icscfdomainnameentry;FALSE;subfunctionarea;icscfdomainnameentry;50</v>
      </c>
    </row>
    <row r="458" spans="1:11" x14ac:dyDescent="0.3">
      <c r="A458">
        <v>8</v>
      </c>
      <c r="B458" t="s">
        <v>130</v>
      </c>
      <c r="C458" t="s">
        <v>1126</v>
      </c>
      <c r="D458" t="b">
        <v>0</v>
      </c>
      <c r="E458" t="s">
        <v>130</v>
      </c>
      <c r="F458" t="s">
        <v>1126</v>
      </c>
      <c r="G458">
        <v>50</v>
      </c>
      <c r="H458" t="str">
        <f t="shared" si="28"/>
        <v>FALSE</v>
      </c>
      <c r="I458" t="str">
        <f t="shared" si="29"/>
        <v>FALSE</v>
      </c>
      <c r="J458" t="str">
        <f t="shared" si="30"/>
        <v>FALSE</v>
      </c>
      <c r="K458" t="str">
        <f t="shared" si="31"/>
        <v>subfunctionarea;icscfnoninvitefailovertimer;FALSE;subfunctionarea;icscfnoninvitefailovertimer;50</v>
      </c>
    </row>
    <row r="459" spans="1:11" x14ac:dyDescent="0.3">
      <c r="A459">
        <v>8</v>
      </c>
      <c r="B459" t="s">
        <v>130</v>
      </c>
      <c r="C459" t="s">
        <v>1125</v>
      </c>
      <c r="D459" t="b">
        <v>0</v>
      </c>
      <c r="E459" t="s">
        <v>130</v>
      </c>
      <c r="F459" t="s">
        <v>1125</v>
      </c>
      <c r="G459">
        <v>50</v>
      </c>
      <c r="H459" t="str">
        <f t="shared" si="28"/>
        <v>FALSE</v>
      </c>
      <c r="I459" t="str">
        <f t="shared" si="29"/>
        <v>FALSE</v>
      </c>
      <c r="J459" t="str">
        <f t="shared" si="30"/>
        <v>FALSE</v>
      </c>
      <c r="K459" t="str">
        <f t="shared" si="31"/>
        <v>subfunctionarea;icscftransitenabled;FALSE;subfunctionarea;icscftransitenabled;50</v>
      </c>
    </row>
    <row r="460" spans="1:11" x14ac:dyDescent="0.3">
      <c r="A460">
        <v>8</v>
      </c>
      <c r="B460" t="s">
        <v>130</v>
      </c>
      <c r="C460" t="s">
        <v>51</v>
      </c>
      <c r="D460" t="b">
        <v>0</v>
      </c>
      <c r="E460" t="s">
        <v>130</v>
      </c>
      <c r="F460" t="s">
        <v>51</v>
      </c>
      <c r="G460">
        <v>50</v>
      </c>
      <c r="H460" t="str">
        <f t="shared" si="28"/>
        <v>FALSE</v>
      </c>
      <c r="I460" t="str">
        <f t="shared" si="29"/>
        <v>FALSE</v>
      </c>
      <c r="J460" t="str">
        <f t="shared" si="30"/>
        <v>FALSE</v>
      </c>
      <c r="K460" t="str">
        <f t="shared" si="31"/>
        <v>subfunctionarea;id;FALSE;subfunctionarea;id;50</v>
      </c>
    </row>
    <row r="461" spans="1:11" x14ac:dyDescent="0.3">
      <c r="A461">
        <v>8</v>
      </c>
      <c r="B461" t="s">
        <v>130</v>
      </c>
      <c r="C461" t="s">
        <v>859</v>
      </c>
      <c r="D461" t="b">
        <v>0</v>
      </c>
      <c r="E461" t="s">
        <v>130</v>
      </c>
      <c r="F461" t="s">
        <v>859</v>
      </c>
      <c r="G461">
        <v>50</v>
      </c>
      <c r="H461" t="str">
        <f t="shared" si="28"/>
        <v>FALSE</v>
      </c>
      <c r="I461" t="str">
        <f t="shared" si="29"/>
        <v>FALSE</v>
      </c>
      <c r="J461" t="str">
        <f t="shared" si="30"/>
        <v>FALSE</v>
      </c>
      <c r="K461" t="str">
        <f t="shared" si="31"/>
        <v>subfunctionarea;ignoreicmpdestunreachable;FALSE;subfunctionarea;ignoreicmpdestunreachable;50</v>
      </c>
    </row>
    <row r="462" spans="1:11" x14ac:dyDescent="0.3">
      <c r="A462">
        <v>8</v>
      </c>
      <c r="B462" t="s">
        <v>130</v>
      </c>
      <c r="C462" t="s">
        <v>860</v>
      </c>
      <c r="D462" t="b">
        <v>0</v>
      </c>
      <c r="E462" t="s">
        <v>130</v>
      </c>
      <c r="F462" t="s">
        <v>860</v>
      </c>
      <c r="G462">
        <v>50</v>
      </c>
      <c r="H462" t="str">
        <f t="shared" si="28"/>
        <v>FALSE</v>
      </c>
      <c r="I462" t="str">
        <f t="shared" si="29"/>
        <v>FALSE</v>
      </c>
      <c r="J462" t="str">
        <f t="shared" si="30"/>
        <v>FALSE</v>
      </c>
      <c r="K462" t="str">
        <f t="shared" si="31"/>
        <v>subfunctionarea;ignorertcpbye;FALSE;subfunctionarea;ignorertcpbye;50</v>
      </c>
    </row>
    <row r="463" spans="1:11" x14ac:dyDescent="0.3">
      <c r="A463">
        <v>8</v>
      </c>
      <c r="B463" t="s">
        <v>130</v>
      </c>
      <c r="C463" t="s">
        <v>861</v>
      </c>
      <c r="D463" t="b">
        <v>0</v>
      </c>
      <c r="E463" t="s">
        <v>130</v>
      </c>
      <c r="F463" t="s">
        <v>861</v>
      </c>
      <c r="G463">
        <v>50</v>
      </c>
      <c r="H463" t="str">
        <f t="shared" si="28"/>
        <v>FALSE</v>
      </c>
      <c r="I463" t="str">
        <f t="shared" si="29"/>
        <v>FALSE</v>
      </c>
      <c r="J463" t="str">
        <f t="shared" si="30"/>
        <v>FALSE</v>
      </c>
      <c r="K463" t="str">
        <f t="shared" si="31"/>
        <v>subfunctionarea;imbasicmessageid;FALSE;subfunctionarea;imbasicmessageid;50</v>
      </c>
    </row>
    <row r="464" spans="1:11" x14ac:dyDescent="0.3">
      <c r="A464">
        <v>8</v>
      </c>
      <c r="B464" t="s">
        <v>130</v>
      </c>
      <c r="C464" t="s">
        <v>862</v>
      </c>
      <c r="D464" t="b">
        <v>0</v>
      </c>
      <c r="E464" t="s">
        <v>130</v>
      </c>
      <c r="F464" t="s">
        <v>862</v>
      </c>
      <c r="G464">
        <v>50</v>
      </c>
      <c r="H464" t="str">
        <f t="shared" si="28"/>
        <v>FALSE</v>
      </c>
      <c r="I464" t="str">
        <f t="shared" si="29"/>
        <v>FALSE</v>
      </c>
      <c r="J464" t="str">
        <f t="shared" si="30"/>
        <v>FALSE</v>
      </c>
      <c r="K464" t="str">
        <f t="shared" si="31"/>
        <v>subfunctionarea;immessagecompositionid;FALSE;subfunctionarea;immessagecompositionid;50</v>
      </c>
    </row>
    <row r="465" spans="1:11" x14ac:dyDescent="0.3">
      <c r="A465">
        <v>8</v>
      </c>
      <c r="B465" t="s">
        <v>130</v>
      </c>
      <c r="C465" t="s">
        <v>477</v>
      </c>
      <c r="D465" t="b">
        <v>0</v>
      </c>
      <c r="E465" t="s">
        <v>130</v>
      </c>
      <c r="F465" t="s">
        <v>477</v>
      </c>
      <c r="G465">
        <v>50</v>
      </c>
      <c r="H465" t="str">
        <f t="shared" si="28"/>
        <v>FALSE</v>
      </c>
      <c r="I465" t="str">
        <f t="shared" si="29"/>
        <v>FALSE</v>
      </c>
      <c r="J465" t="str">
        <f t="shared" si="30"/>
        <v>FALSE</v>
      </c>
      <c r="K465" t="str">
        <f t="shared" si="31"/>
        <v>subfunctionarea;imsakaregistrarusesrcip;FALSE;subfunctionarea;imsakaregistrarusesrcip;50</v>
      </c>
    </row>
    <row r="466" spans="1:11" x14ac:dyDescent="0.3">
      <c r="A466">
        <v>8</v>
      </c>
      <c r="B466" t="s">
        <v>130</v>
      </c>
      <c r="C466" t="s">
        <v>475</v>
      </c>
      <c r="D466" t="b">
        <v>0</v>
      </c>
      <c r="E466" t="s">
        <v>130</v>
      </c>
      <c r="F466" t="s">
        <v>475</v>
      </c>
      <c r="G466">
        <v>50</v>
      </c>
      <c r="H466" t="str">
        <f t="shared" si="28"/>
        <v>FALSE</v>
      </c>
      <c r="I466" t="str">
        <f t="shared" si="29"/>
        <v>FALSE</v>
      </c>
      <c r="J466" t="str">
        <f t="shared" si="30"/>
        <v>FALSE</v>
      </c>
      <c r="K466" t="str">
        <f t="shared" si="31"/>
        <v>subfunctionarea;imsakaremovedialogunprotrereg;FALSE;subfunctionarea;imsakaremovedialogunprotrereg;50</v>
      </c>
    </row>
    <row r="467" spans="1:11" x14ac:dyDescent="0.3">
      <c r="A467">
        <v>8</v>
      </c>
      <c r="B467" t="s">
        <v>130</v>
      </c>
      <c r="C467" t="s">
        <v>476</v>
      </c>
      <c r="D467" t="b">
        <v>0</v>
      </c>
      <c r="E467" t="s">
        <v>130</v>
      </c>
      <c r="F467" t="s">
        <v>476</v>
      </c>
      <c r="G467">
        <v>50</v>
      </c>
      <c r="H467" t="str">
        <f t="shared" si="28"/>
        <v>FALSE</v>
      </c>
      <c r="I467" t="str">
        <f t="shared" si="29"/>
        <v>FALSE</v>
      </c>
      <c r="J467" t="str">
        <f t="shared" si="30"/>
        <v>FALSE</v>
      </c>
      <c r="K467" t="str">
        <f t="shared" si="31"/>
        <v>subfunctionarea;imsakareusetcptermcall;FALSE;subfunctionarea;imsakareusetcptermcall;50</v>
      </c>
    </row>
    <row r="468" spans="1:11" x14ac:dyDescent="0.3">
      <c r="A468">
        <v>8</v>
      </c>
      <c r="B468" t="s">
        <v>130</v>
      </c>
      <c r="C468" t="s">
        <v>863</v>
      </c>
      <c r="D468" t="b">
        <v>0</v>
      </c>
      <c r="E468" t="s">
        <v>130</v>
      </c>
      <c r="F468" t="s">
        <v>863</v>
      </c>
      <c r="G468">
        <v>50</v>
      </c>
      <c r="H468" t="str">
        <f t="shared" si="28"/>
        <v>FALSE</v>
      </c>
      <c r="I468" t="str">
        <f t="shared" si="29"/>
        <v>FALSE</v>
      </c>
      <c r="J468" t="str">
        <f t="shared" si="30"/>
        <v>FALSE</v>
      </c>
      <c r="K468" t="str">
        <f t="shared" si="31"/>
        <v>subfunctionarea;imserviceid;FALSE;subfunctionarea;imserviceid;50</v>
      </c>
    </row>
    <row r="469" spans="1:11" x14ac:dyDescent="0.3">
      <c r="A469">
        <v>8</v>
      </c>
      <c r="B469" t="s">
        <v>130</v>
      </c>
      <c r="C469" t="s">
        <v>1124</v>
      </c>
      <c r="D469" t="b">
        <v>0</v>
      </c>
      <c r="E469" t="s">
        <v>130</v>
      </c>
      <c r="F469" t="s">
        <v>1124</v>
      </c>
      <c r="G469">
        <v>50</v>
      </c>
      <c r="H469" t="str">
        <f t="shared" si="28"/>
        <v>FALSE</v>
      </c>
      <c r="I469" t="str">
        <f t="shared" si="29"/>
        <v>FALSE</v>
      </c>
      <c r="J469" t="str">
        <f t="shared" si="30"/>
        <v>FALSE</v>
      </c>
      <c r="K469" t="str">
        <f t="shared" si="31"/>
        <v>subfunctionarea;initrto;FALSE;subfunctionarea;initrto;50</v>
      </c>
    </row>
    <row r="470" spans="1:11" x14ac:dyDescent="0.3">
      <c r="A470">
        <v>8</v>
      </c>
      <c r="B470" t="s">
        <v>130</v>
      </c>
      <c r="C470" t="s">
        <v>864</v>
      </c>
      <c r="D470" t="b">
        <v>0</v>
      </c>
      <c r="E470" t="s">
        <v>130</v>
      </c>
      <c r="F470" t="s">
        <v>864</v>
      </c>
      <c r="G470">
        <v>50</v>
      </c>
      <c r="H470" t="str">
        <f t="shared" si="28"/>
        <v>FALSE</v>
      </c>
      <c r="I470" t="str">
        <f t="shared" si="29"/>
        <v>FALSE</v>
      </c>
      <c r="J470" t="str">
        <f t="shared" si="30"/>
        <v>FALSE</v>
      </c>
      <c r="K470" t="str">
        <f t="shared" si="31"/>
        <v>subfunctionarea;internallinkgroupid;FALSE;subfunctionarea;internallinkgroupid;50</v>
      </c>
    </row>
    <row r="471" spans="1:11" x14ac:dyDescent="0.3">
      <c r="A471">
        <v>8</v>
      </c>
      <c r="B471" t="s">
        <v>130</v>
      </c>
      <c r="C471" t="s">
        <v>865</v>
      </c>
      <c r="D471" t="b">
        <v>0</v>
      </c>
      <c r="E471" t="s">
        <v>130</v>
      </c>
      <c r="F471" t="s">
        <v>865</v>
      </c>
      <c r="G471">
        <v>50</v>
      </c>
      <c r="H471" t="str">
        <f t="shared" si="28"/>
        <v>FALSE</v>
      </c>
      <c r="I471" t="str">
        <f t="shared" si="29"/>
        <v>FALSE</v>
      </c>
      <c r="J471" t="str">
        <f t="shared" si="30"/>
        <v>FALSE</v>
      </c>
      <c r="K471" t="str">
        <f t="shared" si="31"/>
        <v>subfunctionarea;ipaccesshostetid;FALSE;subfunctionarea;ipaccesshostetid;50</v>
      </c>
    </row>
    <row r="472" spans="1:11" x14ac:dyDescent="0.3">
      <c r="A472">
        <v>8</v>
      </c>
      <c r="B472" t="s">
        <v>130</v>
      </c>
      <c r="C472" t="s">
        <v>866</v>
      </c>
      <c r="D472" t="b">
        <v>0</v>
      </c>
      <c r="E472" t="s">
        <v>130</v>
      </c>
      <c r="F472" t="s">
        <v>866</v>
      </c>
      <c r="G472">
        <v>100</v>
      </c>
      <c r="H472" t="str">
        <f t="shared" si="28"/>
        <v>FALSE</v>
      </c>
      <c r="I472" t="str">
        <f t="shared" si="29"/>
        <v>FALSE</v>
      </c>
      <c r="J472" t="str">
        <f t="shared" si="30"/>
        <v>TRUE</v>
      </c>
      <c r="K472" t="str">
        <f t="shared" si="31"/>
        <v>subfunctionarea;ipaccesshostgpbid;FALSE;subfunctionarea;ipaccesshostgpbid;100</v>
      </c>
    </row>
    <row r="473" spans="1:11" x14ac:dyDescent="0.3">
      <c r="A473">
        <v>8</v>
      </c>
      <c r="B473" t="s">
        <v>130</v>
      </c>
      <c r="C473" t="s">
        <v>867</v>
      </c>
      <c r="D473" t="b">
        <v>0</v>
      </c>
      <c r="E473" t="s">
        <v>130</v>
      </c>
      <c r="F473" t="s">
        <v>867</v>
      </c>
      <c r="G473">
        <v>50</v>
      </c>
      <c r="H473" t="str">
        <f t="shared" si="28"/>
        <v>FALSE</v>
      </c>
      <c r="I473" t="str">
        <f t="shared" si="29"/>
        <v>FALSE</v>
      </c>
      <c r="J473" t="str">
        <f t="shared" si="30"/>
        <v>FALSE</v>
      </c>
      <c r="K473" t="str">
        <f t="shared" si="31"/>
        <v>subfunctionarea;ipaccesshostgpbmoref;FALSE;subfunctionarea;ipaccesshostgpbmoref;50</v>
      </c>
    </row>
    <row r="474" spans="1:11" x14ac:dyDescent="0.3">
      <c r="A474">
        <v>8</v>
      </c>
      <c r="B474" t="s">
        <v>130</v>
      </c>
      <c r="C474" t="s">
        <v>37</v>
      </c>
      <c r="D474" t="b">
        <v>0</v>
      </c>
      <c r="E474" t="s">
        <v>130</v>
      </c>
      <c r="F474" t="s">
        <v>37</v>
      </c>
      <c r="G474">
        <v>50</v>
      </c>
      <c r="H474" t="str">
        <f t="shared" si="28"/>
        <v>FALSE</v>
      </c>
      <c r="I474" t="str">
        <f t="shared" si="29"/>
        <v>FALSE</v>
      </c>
      <c r="J474" t="str">
        <f t="shared" si="30"/>
        <v>FALSE</v>
      </c>
      <c r="K474" t="str">
        <f t="shared" si="31"/>
        <v>subfunctionarea;ipaddress;FALSE;subfunctionarea;ipaddress;50</v>
      </c>
    </row>
    <row r="475" spans="1:11" x14ac:dyDescent="0.3">
      <c r="A475">
        <v>8</v>
      </c>
      <c r="B475" t="s">
        <v>130</v>
      </c>
      <c r="C475" t="s">
        <v>868</v>
      </c>
      <c r="D475" t="b">
        <v>0</v>
      </c>
      <c r="E475" t="s">
        <v>130</v>
      </c>
      <c r="F475" t="s">
        <v>868</v>
      </c>
      <c r="G475">
        <v>50</v>
      </c>
      <c r="H475" t="str">
        <f t="shared" si="28"/>
        <v>FALSE</v>
      </c>
      <c r="I475" t="str">
        <f t="shared" si="29"/>
        <v>FALSE</v>
      </c>
      <c r="J475" t="str">
        <f t="shared" si="30"/>
        <v>FALSE</v>
      </c>
      <c r="K475" t="str">
        <f t="shared" si="31"/>
        <v>subfunctionarea;ipaddress1;FALSE;subfunctionarea;ipaddress1;50</v>
      </c>
    </row>
    <row r="476" spans="1:11" x14ac:dyDescent="0.3">
      <c r="A476">
        <v>8</v>
      </c>
      <c r="B476" t="s">
        <v>130</v>
      </c>
      <c r="C476" t="s">
        <v>869</v>
      </c>
      <c r="D476" t="b">
        <v>0</v>
      </c>
      <c r="E476" t="s">
        <v>130</v>
      </c>
      <c r="F476" t="s">
        <v>869</v>
      </c>
      <c r="G476">
        <v>50</v>
      </c>
      <c r="H476" t="str">
        <f t="shared" si="28"/>
        <v>FALSE</v>
      </c>
      <c r="I476" t="str">
        <f t="shared" si="29"/>
        <v>FALSE</v>
      </c>
      <c r="J476" t="str">
        <f t="shared" si="30"/>
        <v>FALSE</v>
      </c>
      <c r="K476" t="str">
        <f t="shared" si="31"/>
        <v>subfunctionarea;ipaddress2;FALSE;subfunctionarea;ipaddress2;50</v>
      </c>
    </row>
    <row r="477" spans="1:11" x14ac:dyDescent="0.3">
      <c r="A477">
        <v>8</v>
      </c>
      <c r="B477" t="s">
        <v>130</v>
      </c>
      <c r="C477" t="s">
        <v>1123</v>
      </c>
      <c r="D477" t="b">
        <v>0</v>
      </c>
      <c r="E477" t="s">
        <v>130</v>
      </c>
      <c r="F477" t="s">
        <v>1123</v>
      </c>
      <c r="G477">
        <v>50</v>
      </c>
      <c r="H477" t="str">
        <f t="shared" si="28"/>
        <v>FALSE</v>
      </c>
      <c r="I477" t="str">
        <f t="shared" si="29"/>
        <v>FALSE</v>
      </c>
      <c r="J477" t="str">
        <f t="shared" si="30"/>
        <v>FALSE</v>
      </c>
      <c r="K477" t="str">
        <f t="shared" si="31"/>
        <v>subfunctionarea;ipaddressesinuselist;FALSE;subfunctionarea;ipaddressesinuselist;50</v>
      </c>
    </row>
    <row r="478" spans="1:11" x14ac:dyDescent="0.3">
      <c r="A478">
        <v>8</v>
      </c>
      <c r="B478" t="s">
        <v>130</v>
      </c>
      <c r="C478" t="s">
        <v>870</v>
      </c>
      <c r="D478" t="b">
        <v>0</v>
      </c>
      <c r="E478" t="s">
        <v>130</v>
      </c>
      <c r="F478" t="s">
        <v>870</v>
      </c>
      <c r="G478">
        <v>50</v>
      </c>
      <c r="H478" t="str">
        <f t="shared" si="28"/>
        <v>FALSE</v>
      </c>
      <c r="I478" t="str">
        <f t="shared" si="29"/>
        <v>FALSE</v>
      </c>
      <c r="J478" t="str">
        <f t="shared" si="30"/>
        <v>FALSE</v>
      </c>
      <c r="K478" t="str">
        <f t="shared" si="31"/>
        <v>subfunctionarea;ipdefaultttl;FALSE;subfunctionarea;ipdefaultttl;50</v>
      </c>
    </row>
    <row r="479" spans="1:11" x14ac:dyDescent="0.3">
      <c r="A479">
        <v>8</v>
      </c>
      <c r="B479" t="s">
        <v>130</v>
      </c>
      <c r="C479" t="s">
        <v>871</v>
      </c>
      <c r="D479" t="b">
        <v>0</v>
      </c>
      <c r="E479" t="s">
        <v>130</v>
      </c>
      <c r="F479" t="s">
        <v>871</v>
      </c>
      <c r="G479">
        <v>50</v>
      </c>
      <c r="H479" t="str">
        <f t="shared" si="28"/>
        <v>FALSE</v>
      </c>
      <c r="I479" t="str">
        <f t="shared" si="29"/>
        <v>FALSE</v>
      </c>
      <c r="J479" t="str">
        <f t="shared" si="30"/>
        <v>FALSE</v>
      </c>
      <c r="K479" t="str">
        <f t="shared" si="31"/>
        <v>subfunctionarea;ipmuxcollectiontime;FALSE;subfunctionarea;ipmuxcollectiontime;50</v>
      </c>
    </row>
    <row r="480" spans="1:11" x14ac:dyDescent="0.3">
      <c r="A480">
        <v>8</v>
      </c>
      <c r="B480" t="s">
        <v>130</v>
      </c>
      <c r="C480" t="s">
        <v>872</v>
      </c>
      <c r="D480" t="b">
        <v>0</v>
      </c>
      <c r="E480" t="s">
        <v>130</v>
      </c>
      <c r="F480" t="s">
        <v>872</v>
      </c>
      <c r="G480">
        <v>50</v>
      </c>
      <c r="H480" t="str">
        <f t="shared" si="28"/>
        <v>FALSE</v>
      </c>
      <c r="I480" t="str">
        <f t="shared" si="29"/>
        <v>FALSE</v>
      </c>
      <c r="J480" t="str">
        <f t="shared" si="30"/>
        <v>FALSE</v>
      </c>
      <c r="K480" t="str">
        <f t="shared" si="31"/>
        <v>subfunctionarea;ipmuxlocaludpport;FALSE;subfunctionarea;ipmuxlocaludpport;50</v>
      </c>
    </row>
    <row r="481" spans="1:11" x14ac:dyDescent="0.3">
      <c r="A481">
        <v>8</v>
      </c>
      <c r="B481" t="s">
        <v>130</v>
      </c>
      <c r="C481" t="s">
        <v>873</v>
      </c>
      <c r="D481" t="b">
        <v>0</v>
      </c>
      <c r="E481" t="s">
        <v>130</v>
      </c>
      <c r="F481" t="s">
        <v>873</v>
      </c>
      <c r="G481">
        <v>50</v>
      </c>
      <c r="H481" t="str">
        <f t="shared" si="28"/>
        <v>FALSE</v>
      </c>
      <c r="I481" t="str">
        <f t="shared" si="29"/>
        <v>FALSE</v>
      </c>
      <c r="J481" t="str">
        <f t="shared" si="30"/>
        <v>FALSE</v>
      </c>
      <c r="K481" t="str">
        <f t="shared" si="31"/>
        <v>subfunctionarea;ipmuxrtpheadercompression;FALSE;subfunctionarea;ipmuxrtpheadercompression;50</v>
      </c>
    </row>
    <row r="482" spans="1:11" x14ac:dyDescent="0.3">
      <c r="A482">
        <v>8</v>
      </c>
      <c r="B482" t="s">
        <v>130</v>
      </c>
      <c r="C482" t="s">
        <v>874</v>
      </c>
      <c r="D482" t="b">
        <v>0</v>
      </c>
      <c r="E482" t="s">
        <v>130</v>
      </c>
      <c r="F482" t="s">
        <v>874</v>
      </c>
      <c r="G482">
        <v>50</v>
      </c>
      <c r="H482" t="str">
        <f t="shared" si="28"/>
        <v>FALSE</v>
      </c>
      <c r="I482" t="str">
        <f t="shared" si="29"/>
        <v>FALSE</v>
      </c>
      <c r="J482" t="str">
        <f t="shared" si="30"/>
        <v>FALSE</v>
      </c>
      <c r="K482" t="str">
        <f t="shared" si="31"/>
        <v>subfunctionarea;ipnetworkid;FALSE;subfunctionarea;ipnetworkid;50</v>
      </c>
    </row>
    <row r="483" spans="1:11" x14ac:dyDescent="0.3">
      <c r="A483">
        <v>8</v>
      </c>
      <c r="B483" t="s">
        <v>130</v>
      </c>
      <c r="C483" t="s">
        <v>1122</v>
      </c>
      <c r="D483" t="b">
        <v>0</v>
      </c>
      <c r="E483" t="s">
        <v>130</v>
      </c>
      <c r="F483" t="s">
        <v>1122</v>
      </c>
      <c r="G483">
        <v>50</v>
      </c>
      <c r="H483" t="str">
        <f t="shared" si="28"/>
        <v>FALSE</v>
      </c>
      <c r="I483" t="str">
        <f t="shared" si="29"/>
        <v>FALSE</v>
      </c>
      <c r="J483" t="str">
        <f t="shared" si="30"/>
        <v>FALSE</v>
      </c>
      <c r="K483" t="str">
        <f t="shared" si="31"/>
        <v>subfunctionarea;ippoolrangeend;FALSE;subfunctionarea;ippoolrangeend;50</v>
      </c>
    </row>
    <row r="484" spans="1:11" x14ac:dyDescent="0.3">
      <c r="A484">
        <v>8</v>
      </c>
      <c r="B484" t="s">
        <v>130</v>
      </c>
      <c r="C484" t="s">
        <v>1121</v>
      </c>
      <c r="D484" t="b">
        <v>0</v>
      </c>
      <c r="E484" t="s">
        <v>130</v>
      </c>
      <c r="F484" t="s">
        <v>1121</v>
      </c>
      <c r="G484">
        <v>50</v>
      </c>
      <c r="H484" t="str">
        <f t="shared" si="28"/>
        <v>FALSE</v>
      </c>
      <c r="I484" t="str">
        <f t="shared" si="29"/>
        <v>FALSE</v>
      </c>
      <c r="J484" t="str">
        <f t="shared" si="30"/>
        <v>FALSE</v>
      </c>
      <c r="K484" t="str">
        <f t="shared" si="31"/>
        <v>subfunctionarea;ippoolrangestart;FALSE;subfunctionarea;ippoolrangestart;50</v>
      </c>
    </row>
    <row r="485" spans="1:11" x14ac:dyDescent="0.3">
      <c r="A485">
        <v>8</v>
      </c>
      <c r="B485" t="s">
        <v>130</v>
      </c>
      <c r="C485" t="s">
        <v>1120</v>
      </c>
      <c r="D485" t="b">
        <v>0</v>
      </c>
      <c r="E485" t="s">
        <v>130</v>
      </c>
      <c r="F485" t="s">
        <v>1120</v>
      </c>
      <c r="G485">
        <v>50</v>
      </c>
      <c r="H485" t="str">
        <f t="shared" si="28"/>
        <v>FALSE</v>
      </c>
      <c r="I485" t="str">
        <f t="shared" si="29"/>
        <v>FALSE</v>
      </c>
      <c r="J485" t="str">
        <f t="shared" si="30"/>
        <v>FALSE</v>
      </c>
      <c r="K485" t="str">
        <f t="shared" si="31"/>
        <v>subfunctionarea;ippoolstate;FALSE;subfunctionarea;ippoolstate;50</v>
      </c>
    </row>
    <row r="486" spans="1:11" x14ac:dyDescent="0.3">
      <c r="A486">
        <v>8</v>
      </c>
      <c r="B486" t="s">
        <v>130</v>
      </c>
      <c r="C486" t="s">
        <v>875</v>
      </c>
      <c r="D486" t="b">
        <v>0</v>
      </c>
      <c r="E486" t="s">
        <v>130</v>
      </c>
      <c r="F486" t="s">
        <v>875</v>
      </c>
      <c r="G486">
        <v>50</v>
      </c>
      <c r="H486" t="str">
        <f t="shared" si="28"/>
        <v>FALSE</v>
      </c>
      <c r="I486" t="str">
        <f t="shared" si="29"/>
        <v>FALSE</v>
      </c>
      <c r="J486" t="str">
        <f t="shared" si="30"/>
        <v>FALSE</v>
      </c>
      <c r="K486" t="str">
        <f t="shared" si="31"/>
        <v>subfunctionarea;ipsubnet;FALSE;subfunctionarea;ipsubnet;50</v>
      </c>
    </row>
    <row r="487" spans="1:11" x14ac:dyDescent="0.3">
      <c r="A487">
        <v>8</v>
      </c>
      <c r="B487" t="s">
        <v>130</v>
      </c>
      <c r="C487" t="s">
        <v>876</v>
      </c>
      <c r="D487" t="b">
        <v>0</v>
      </c>
      <c r="E487" t="s">
        <v>130</v>
      </c>
      <c r="F487" t="s">
        <v>876</v>
      </c>
      <c r="G487">
        <v>50</v>
      </c>
      <c r="H487" t="str">
        <f t="shared" si="28"/>
        <v>FALSE</v>
      </c>
      <c r="I487" t="str">
        <f t="shared" si="29"/>
        <v>FALSE</v>
      </c>
      <c r="J487" t="str">
        <f t="shared" si="30"/>
        <v>FALSE</v>
      </c>
      <c r="K487" t="str">
        <f t="shared" si="31"/>
        <v>subfunctionarea;isdnv110resynctimer;FALSE;subfunctionarea;isdnv110resynctimer;50</v>
      </c>
    </row>
    <row r="488" spans="1:11" x14ac:dyDescent="0.3">
      <c r="A488">
        <v>8</v>
      </c>
      <c r="B488" t="s">
        <v>130</v>
      </c>
      <c r="C488" t="s">
        <v>877</v>
      </c>
      <c r="D488" t="b">
        <v>0</v>
      </c>
      <c r="E488" t="s">
        <v>130</v>
      </c>
      <c r="F488" t="s">
        <v>877</v>
      </c>
      <c r="G488">
        <v>50</v>
      </c>
      <c r="H488" t="str">
        <f t="shared" si="28"/>
        <v>FALSE</v>
      </c>
      <c r="I488" t="str">
        <f t="shared" si="29"/>
        <v>FALSE</v>
      </c>
      <c r="J488" t="str">
        <f t="shared" si="30"/>
        <v>FALSE</v>
      </c>
      <c r="K488" t="str">
        <f t="shared" si="31"/>
        <v>subfunctionarea;isdnv110synctimer;FALSE;subfunctionarea;isdnv110synctimer;50</v>
      </c>
    </row>
    <row r="489" spans="1:11" x14ac:dyDescent="0.3">
      <c r="A489">
        <v>8</v>
      </c>
      <c r="B489" t="s">
        <v>130</v>
      </c>
      <c r="C489" t="s">
        <v>878</v>
      </c>
      <c r="D489" t="b">
        <v>0</v>
      </c>
      <c r="E489" t="s">
        <v>130</v>
      </c>
      <c r="F489" t="s">
        <v>878</v>
      </c>
      <c r="G489">
        <v>50</v>
      </c>
      <c r="H489" t="str">
        <f t="shared" si="28"/>
        <v>FALSE</v>
      </c>
      <c r="I489" t="str">
        <f t="shared" si="29"/>
        <v>FALSE</v>
      </c>
      <c r="J489" t="str">
        <f t="shared" si="30"/>
        <v>FALSE</v>
      </c>
      <c r="K489" t="str">
        <f t="shared" si="31"/>
        <v>subfunctionarea;iteration;FALSE;subfunctionarea;iteration;50</v>
      </c>
    </row>
    <row r="490" spans="1:11" x14ac:dyDescent="0.3">
      <c r="A490">
        <v>8</v>
      </c>
      <c r="B490" t="s">
        <v>130</v>
      </c>
      <c r="C490" t="s">
        <v>879</v>
      </c>
      <c r="D490" t="b">
        <v>0</v>
      </c>
      <c r="E490" t="s">
        <v>130</v>
      </c>
      <c r="F490" t="s">
        <v>879</v>
      </c>
      <c r="G490">
        <v>50</v>
      </c>
      <c r="H490" t="str">
        <f t="shared" si="28"/>
        <v>FALSE</v>
      </c>
      <c r="I490" t="str">
        <f t="shared" si="29"/>
        <v>FALSE</v>
      </c>
      <c r="J490" t="str">
        <f t="shared" si="30"/>
        <v>FALSE</v>
      </c>
      <c r="K490" t="str">
        <f t="shared" si="31"/>
        <v>subfunctionarea;javacafappid;FALSE;subfunctionarea;javacafappid;50</v>
      </c>
    </row>
    <row r="491" spans="1:11" x14ac:dyDescent="0.3">
      <c r="A491">
        <v>8</v>
      </c>
      <c r="B491" t="s">
        <v>130</v>
      </c>
      <c r="C491" t="s">
        <v>880</v>
      </c>
      <c r="D491" t="b">
        <v>0</v>
      </c>
      <c r="E491" t="s">
        <v>130</v>
      </c>
      <c r="F491" t="s">
        <v>880</v>
      </c>
      <c r="G491">
        <v>50</v>
      </c>
      <c r="H491" t="str">
        <f t="shared" si="28"/>
        <v>FALSE</v>
      </c>
      <c r="I491" t="str">
        <f t="shared" si="29"/>
        <v>FALSE</v>
      </c>
      <c r="J491" t="str">
        <f t="shared" si="30"/>
        <v>FALSE</v>
      </c>
      <c r="K491" t="str">
        <f t="shared" si="31"/>
        <v>subfunctionarea;jvmid;FALSE;subfunctionarea;jvmid;50</v>
      </c>
    </row>
    <row r="492" spans="1:11" x14ac:dyDescent="0.3">
      <c r="A492">
        <v>8</v>
      </c>
      <c r="B492" t="s">
        <v>130</v>
      </c>
      <c r="C492" t="s">
        <v>881</v>
      </c>
      <c r="D492" t="b">
        <v>0</v>
      </c>
      <c r="E492" t="s">
        <v>130</v>
      </c>
      <c r="F492" t="s">
        <v>881</v>
      </c>
      <c r="G492">
        <v>50</v>
      </c>
      <c r="H492" t="str">
        <f t="shared" si="28"/>
        <v>FALSE</v>
      </c>
      <c r="I492" t="str">
        <f t="shared" si="29"/>
        <v>FALSE</v>
      </c>
      <c r="J492" t="str">
        <f t="shared" si="30"/>
        <v>FALSE</v>
      </c>
      <c r="K492" t="str">
        <f t="shared" si="31"/>
        <v>subfunctionarea;languagecode;FALSE;subfunctionarea;languagecode;50</v>
      </c>
    </row>
    <row r="493" spans="1:11" x14ac:dyDescent="0.3">
      <c r="A493">
        <v>8</v>
      </c>
      <c r="B493" t="s">
        <v>130</v>
      </c>
      <c r="C493" t="s">
        <v>1119</v>
      </c>
      <c r="D493" t="b">
        <v>0</v>
      </c>
      <c r="E493" t="s">
        <v>130</v>
      </c>
      <c r="F493" t="s">
        <v>1119</v>
      </c>
      <c r="G493">
        <v>50</v>
      </c>
      <c r="H493" t="str">
        <f t="shared" si="28"/>
        <v>FALSE</v>
      </c>
      <c r="I493" t="str">
        <f t="shared" si="29"/>
        <v>FALSE</v>
      </c>
      <c r="J493" t="str">
        <f t="shared" si="30"/>
        <v>FALSE</v>
      </c>
      <c r="K493" t="str">
        <f t="shared" si="31"/>
        <v>subfunctionarea;lastinventorychange;FALSE;subfunctionarea;lastinventorychange;50</v>
      </c>
    </row>
    <row r="494" spans="1:11" x14ac:dyDescent="0.3">
      <c r="A494">
        <v>8</v>
      </c>
      <c r="B494" t="s">
        <v>130</v>
      </c>
      <c r="C494" t="s">
        <v>1118</v>
      </c>
      <c r="D494" t="b">
        <v>0</v>
      </c>
      <c r="E494" t="s">
        <v>130</v>
      </c>
      <c r="F494" t="s">
        <v>1118</v>
      </c>
      <c r="G494">
        <v>50</v>
      </c>
      <c r="H494" t="str">
        <f t="shared" si="28"/>
        <v>FALSE</v>
      </c>
      <c r="I494" t="str">
        <f t="shared" si="29"/>
        <v>FALSE</v>
      </c>
      <c r="J494" t="str">
        <f t="shared" si="30"/>
        <v>FALSE</v>
      </c>
      <c r="K494" t="str">
        <f t="shared" si="31"/>
        <v>subfunctionarea;lastlicenseinventoryrefresh;FALSE;subfunctionarea;lastlicenseinventoryrefresh;50</v>
      </c>
    </row>
    <row r="495" spans="1:11" x14ac:dyDescent="0.3">
      <c r="A495">
        <v>8</v>
      </c>
      <c r="B495" t="s">
        <v>130</v>
      </c>
      <c r="C495" t="s">
        <v>882</v>
      </c>
      <c r="D495" t="b">
        <v>0</v>
      </c>
      <c r="E495" t="s">
        <v>130</v>
      </c>
      <c r="F495" t="s">
        <v>882</v>
      </c>
      <c r="G495">
        <v>50</v>
      </c>
      <c r="H495" t="str">
        <f t="shared" si="28"/>
        <v>FALSE</v>
      </c>
      <c r="I495" t="str">
        <f t="shared" si="29"/>
        <v>FALSE</v>
      </c>
      <c r="J495" t="str">
        <f t="shared" si="30"/>
        <v>FALSE</v>
      </c>
      <c r="K495" t="str">
        <f t="shared" si="31"/>
        <v>subfunctionarea;lastupdatetime;FALSE;subfunctionarea;lastupdatetime;50</v>
      </c>
    </row>
    <row r="496" spans="1:11" x14ac:dyDescent="0.3">
      <c r="A496">
        <v>8</v>
      </c>
      <c r="B496" t="s">
        <v>130</v>
      </c>
      <c r="C496" t="s">
        <v>1117</v>
      </c>
      <c r="D496" t="b">
        <v>0</v>
      </c>
      <c r="E496" t="s">
        <v>130</v>
      </c>
      <c r="F496" t="s">
        <v>1117</v>
      </c>
      <c r="G496">
        <v>50</v>
      </c>
      <c r="H496" t="str">
        <f t="shared" si="28"/>
        <v>FALSE</v>
      </c>
      <c r="I496" t="str">
        <f t="shared" si="29"/>
        <v>FALSE</v>
      </c>
      <c r="J496" t="str">
        <f t="shared" si="30"/>
        <v>FALSE</v>
      </c>
      <c r="K496" t="str">
        <f t="shared" si="31"/>
        <v>subfunctionarea;licenseexpirationwarning;FALSE;subfunctionarea;licenseexpirationwarning;50</v>
      </c>
    </row>
    <row r="497" spans="1:11" x14ac:dyDescent="0.3">
      <c r="A497">
        <v>8</v>
      </c>
      <c r="B497" t="s">
        <v>130</v>
      </c>
      <c r="C497" t="s">
        <v>883</v>
      </c>
      <c r="D497" t="b">
        <v>0</v>
      </c>
      <c r="E497" t="s">
        <v>130</v>
      </c>
      <c r="F497" t="s">
        <v>883</v>
      </c>
      <c r="G497">
        <v>50</v>
      </c>
      <c r="H497" t="str">
        <f t="shared" si="28"/>
        <v>FALSE</v>
      </c>
      <c r="I497" t="str">
        <f t="shared" si="29"/>
        <v>FALSE</v>
      </c>
      <c r="J497" t="str">
        <f t="shared" si="30"/>
        <v>FALSE</v>
      </c>
      <c r="K497" t="str">
        <f t="shared" si="31"/>
        <v>subfunctionarea;linespeechleveldl;FALSE;subfunctionarea;linespeechleveldl;50</v>
      </c>
    </row>
    <row r="498" spans="1:11" x14ac:dyDescent="0.3">
      <c r="A498">
        <v>8</v>
      </c>
      <c r="B498" t="s">
        <v>130</v>
      </c>
      <c r="C498" t="s">
        <v>884</v>
      </c>
      <c r="D498" t="b">
        <v>0</v>
      </c>
      <c r="E498" t="s">
        <v>130</v>
      </c>
      <c r="F498" t="s">
        <v>884</v>
      </c>
      <c r="G498">
        <v>50</v>
      </c>
      <c r="H498" t="str">
        <f t="shared" si="28"/>
        <v>FALSE</v>
      </c>
      <c r="I498" t="str">
        <f t="shared" si="29"/>
        <v>FALSE</v>
      </c>
      <c r="J498" t="str">
        <f t="shared" si="30"/>
        <v>FALSE</v>
      </c>
      <c r="K498" t="str">
        <f t="shared" si="31"/>
        <v>subfunctionarea;linespeechlevelul;FALSE;subfunctionarea;linespeechlevelul;50</v>
      </c>
    </row>
    <row r="499" spans="1:11" x14ac:dyDescent="0.3">
      <c r="A499">
        <v>8</v>
      </c>
      <c r="B499" t="s">
        <v>130</v>
      </c>
      <c r="C499" t="s">
        <v>1116</v>
      </c>
      <c r="D499" t="b">
        <v>0</v>
      </c>
      <c r="E499" t="s">
        <v>130</v>
      </c>
      <c r="F499" t="s">
        <v>1116</v>
      </c>
      <c r="G499">
        <v>50</v>
      </c>
      <c r="H499" t="str">
        <f t="shared" si="28"/>
        <v>FALSE</v>
      </c>
      <c r="I499" t="str">
        <f t="shared" si="29"/>
        <v>FALSE</v>
      </c>
      <c r="J499" t="str">
        <f t="shared" si="30"/>
        <v>FALSE</v>
      </c>
      <c r="K499" t="str">
        <f t="shared" si="31"/>
        <v>subfunctionarea;lmid;FALSE;subfunctionarea;lmid;50</v>
      </c>
    </row>
    <row r="500" spans="1:11" x14ac:dyDescent="0.3">
      <c r="A500">
        <v>8</v>
      </c>
      <c r="B500" t="s">
        <v>130</v>
      </c>
      <c r="C500" t="s">
        <v>1115</v>
      </c>
      <c r="D500" t="b">
        <v>0</v>
      </c>
      <c r="E500" t="s">
        <v>130</v>
      </c>
      <c r="F500" t="s">
        <v>1115</v>
      </c>
      <c r="G500">
        <v>50</v>
      </c>
      <c r="H500" t="str">
        <f t="shared" si="28"/>
        <v>FALSE</v>
      </c>
      <c r="I500" t="str">
        <f t="shared" si="29"/>
        <v>FALSE</v>
      </c>
      <c r="J500" t="str">
        <f t="shared" si="30"/>
        <v>FALSE</v>
      </c>
      <c r="K500" t="str">
        <f t="shared" si="31"/>
        <v>subfunctionarea;lmstate;FALSE;subfunctionarea;lmstate;50</v>
      </c>
    </row>
    <row r="501" spans="1:11" x14ac:dyDescent="0.3">
      <c r="A501">
        <v>8</v>
      </c>
      <c r="B501" t="s">
        <v>130</v>
      </c>
      <c r="C501" t="s">
        <v>1114</v>
      </c>
      <c r="D501" t="b">
        <v>0</v>
      </c>
      <c r="E501" t="s">
        <v>130</v>
      </c>
      <c r="F501" t="s">
        <v>1114</v>
      </c>
      <c r="G501">
        <v>50</v>
      </c>
      <c r="H501" t="str">
        <f t="shared" si="28"/>
        <v>FALSE</v>
      </c>
      <c r="I501" t="str">
        <f t="shared" si="29"/>
        <v>FALSE</v>
      </c>
      <c r="J501" t="str">
        <f t="shared" si="30"/>
        <v>FALSE</v>
      </c>
      <c r="K501" t="str">
        <f t="shared" si="31"/>
        <v>subfunctionarea;localfilestorepath;FALSE;subfunctionarea;localfilestorepath;50</v>
      </c>
    </row>
    <row r="502" spans="1:11" x14ac:dyDescent="0.3">
      <c r="A502">
        <v>8</v>
      </c>
      <c r="B502" t="s">
        <v>130</v>
      </c>
      <c r="C502" t="s">
        <v>1113</v>
      </c>
      <c r="D502" t="b">
        <v>0</v>
      </c>
      <c r="E502" t="s">
        <v>130</v>
      </c>
      <c r="F502" t="s">
        <v>1113</v>
      </c>
      <c r="G502">
        <v>50</v>
      </c>
      <c r="H502" t="str">
        <f t="shared" si="28"/>
        <v>FALSE</v>
      </c>
      <c r="I502" t="str">
        <f t="shared" si="29"/>
        <v>FALSE</v>
      </c>
      <c r="J502" t="str">
        <f t="shared" si="30"/>
        <v>FALSE</v>
      </c>
      <c r="K502" t="str">
        <f t="shared" si="31"/>
        <v>subfunctionarea;localipaddress;FALSE;subfunctionarea;localipaddress;50</v>
      </c>
    </row>
    <row r="503" spans="1:11" x14ac:dyDescent="0.3">
      <c r="A503">
        <v>8</v>
      </c>
      <c r="B503" t="s">
        <v>130</v>
      </c>
      <c r="C503" t="s">
        <v>1112</v>
      </c>
      <c r="D503" t="b">
        <v>0</v>
      </c>
      <c r="E503" t="s">
        <v>130</v>
      </c>
      <c r="F503" t="s">
        <v>1112</v>
      </c>
      <c r="G503">
        <v>50</v>
      </c>
      <c r="H503" t="str">
        <f t="shared" si="28"/>
        <v>FALSE</v>
      </c>
      <c r="I503" t="str">
        <f t="shared" si="29"/>
        <v>FALSE</v>
      </c>
      <c r="J503" t="str">
        <f t="shared" si="30"/>
        <v>FALSE</v>
      </c>
      <c r="K503" t="str">
        <f t="shared" si="31"/>
        <v>subfunctionarea;localportnumber;FALSE;subfunctionarea;localportnumber;50</v>
      </c>
    </row>
    <row r="504" spans="1:11" x14ac:dyDescent="0.3">
      <c r="A504">
        <v>8</v>
      </c>
      <c r="B504" t="s">
        <v>130</v>
      </c>
      <c r="C504" t="s">
        <v>885</v>
      </c>
      <c r="D504" t="b">
        <v>0</v>
      </c>
      <c r="E504" t="s">
        <v>130</v>
      </c>
      <c r="F504" t="s">
        <v>885</v>
      </c>
      <c r="G504">
        <v>50</v>
      </c>
      <c r="H504" t="str">
        <f t="shared" si="28"/>
        <v>FALSE</v>
      </c>
      <c r="I504" t="str">
        <f t="shared" si="29"/>
        <v>FALSE</v>
      </c>
      <c r="J504" t="str">
        <f t="shared" si="30"/>
        <v>FALSE</v>
      </c>
      <c r="K504" t="str">
        <f t="shared" si="31"/>
        <v>subfunctionarea;localserverid;FALSE;subfunctionarea;localserverid;50</v>
      </c>
    </row>
    <row r="505" spans="1:11" x14ac:dyDescent="0.3">
      <c r="A505">
        <v>8</v>
      </c>
      <c r="B505" t="s">
        <v>130</v>
      </c>
      <c r="C505" t="s">
        <v>1111</v>
      </c>
      <c r="D505" t="b">
        <v>0</v>
      </c>
      <c r="E505" t="s">
        <v>130</v>
      </c>
      <c r="F505" t="s">
        <v>1111</v>
      </c>
      <c r="G505">
        <v>50</v>
      </c>
      <c r="H505" t="str">
        <f t="shared" si="28"/>
        <v>FALSE</v>
      </c>
      <c r="I505" t="str">
        <f t="shared" si="29"/>
        <v>FALSE</v>
      </c>
      <c r="J505" t="str">
        <f t="shared" si="30"/>
        <v>FALSE</v>
      </c>
      <c r="K505" t="str">
        <f t="shared" si="31"/>
        <v>subfunctionarea;lockingcode;FALSE;subfunctionarea;lockingcode;50</v>
      </c>
    </row>
    <row r="506" spans="1:11" x14ac:dyDescent="0.3">
      <c r="A506">
        <v>8</v>
      </c>
      <c r="B506" t="s">
        <v>130</v>
      </c>
      <c r="C506" t="s">
        <v>886</v>
      </c>
      <c r="D506" t="b">
        <v>0</v>
      </c>
      <c r="E506" t="s">
        <v>130</v>
      </c>
      <c r="F506" t="s">
        <v>886</v>
      </c>
      <c r="G506">
        <v>50</v>
      </c>
      <c r="H506" t="str">
        <f t="shared" si="28"/>
        <v>FALSE</v>
      </c>
      <c r="I506" t="str">
        <f t="shared" si="29"/>
        <v>FALSE</v>
      </c>
      <c r="J506" t="str">
        <f t="shared" si="30"/>
        <v>FALSE</v>
      </c>
      <c r="K506" t="str">
        <f t="shared" si="31"/>
        <v>subfunctionarea;lockout;FALSE;subfunctionarea;lockout;50</v>
      </c>
    </row>
    <row r="507" spans="1:11" x14ac:dyDescent="0.3">
      <c r="A507">
        <v>8</v>
      </c>
      <c r="B507" t="s">
        <v>130</v>
      </c>
      <c r="C507" t="s">
        <v>887</v>
      </c>
      <c r="D507" t="b">
        <v>0</v>
      </c>
      <c r="E507" t="s">
        <v>130</v>
      </c>
      <c r="F507" t="s">
        <v>887</v>
      </c>
      <c r="G507">
        <v>50</v>
      </c>
      <c r="H507" t="str">
        <f t="shared" si="28"/>
        <v>FALSE</v>
      </c>
      <c r="I507" t="str">
        <f t="shared" si="29"/>
        <v>FALSE</v>
      </c>
      <c r="J507" t="str">
        <f t="shared" si="30"/>
        <v>FALSE</v>
      </c>
      <c r="K507" t="str">
        <f t="shared" si="31"/>
        <v>subfunctionarea;logactive;FALSE;subfunctionarea;logactive;50</v>
      </c>
    </row>
    <row r="508" spans="1:11" x14ac:dyDescent="0.3">
      <c r="A508">
        <v>8</v>
      </c>
      <c r="B508" t="s">
        <v>130</v>
      </c>
      <c r="C508" t="s">
        <v>888</v>
      </c>
      <c r="D508" t="b">
        <v>0</v>
      </c>
      <c r="E508" t="s">
        <v>130</v>
      </c>
      <c r="F508" t="s">
        <v>888</v>
      </c>
      <c r="G508">
        <v>50</v>
      </c>
      <c r="H508" t="str">
        <f t="shared" si="28"/>
        <v>FALSE</v>
      </c>
      <c r="I508" t="str">
        <f t="shared" si="29"/>
        <v>FALSE</v>
      </c>
      <c r="J508" t="str">
        <f t="shared" si="30"/>
        <v>FALSE</v>
      </c>
      <c r="K508" t="str">
        <f t="shared" si="31"/>
        <v>subfunctionarea;logmid;FALSE;subfunctionarea;logmid;50</v>
      </c>
    </row>
    <row r="509" spans="1:11" x14ac:dyDescent="0.3">
      <c r="A509">
        <v>8</v>
      </c>
      <c r="B509" t="s">
        <v>130</v>
      </c>
      <c r="C509" t="s">
        <v>889</v>
      </c>
      <c r="D509" t="b">
        <v>0</v>
      </c>
      <c r="E509" t="s">
        <v>130</v>
      </c>
      <c r="F509" t="s">
        <v>889</v>
      </c>
      <c r="G509">
        <v>50</v>
      </c>
      <c r="H509" t="str">
        <f t="shared" si="28"/>
        <v>FALSE</v>
      </c>
      <c r="I509" t="str">
        <f t="shared" si="29"/>
        <v>FALSE</v>
      </c>
      <c r="J509" t="str">
        <f t="shared" si="30"/>
        <v>FALSE</v>
      </c>
      <c r="K509" t="str">
        <f t="shared" si="31"/>
        <v>subfunctionarea;lowfreqlevel;FALSE;subfunctionarea;lowfreqlevel;50</v>
      </c>
    </row>
    <row r="510" spans="1:11" x14ac:dyDescent="0.3">
      <c r="A510">
        <v>8</v>
      </c>
      <c r="B510" t="s">
        <v>130</v>
      </c>
      <c r="C510" t="s">
        <v>890</v>
      </c>
      <c r="D510" t="b">
        <v>0</v>
      </c>
      <c r="E510" t="s">
        <v>130</v>
      </c>
      <c r="F510" t="s">
        <v>890</v>
      </c>
      <c r="G510">
        <v>50</v>
      </c>
      <c r="H510" t="str">
        <f t="shared" si="28"/>
        <v>FALSE</v>
      </c>
      <c r="I510" t="str">
        <f t="shared" si="29"/>
        <v>FALSE</v>
      </c>
      <c r="J510" t="str">
        <f t="shared" si="30"/>
        <v>FALSE</v>
      </c>
      <c r="K510" t="str">
        <f t="shared" si="31"/>
        <v>subfunctionarea;m3uanoofattempsofdauds;FALSE;subfunctionarea;m3uanoofattempsofdauds;50</v>
      </c>
    </row>
    <row r="511" spans="1:11" x14ac:dyDescent="0.3">
      <c r="A511">
        <v>8</v>
      </c>
      <c r="B511" t="s">
        <v>130</v>
      </c>
      <c r="C511" t="s">
        <v>1110</v>
      </c>
      <c r="D511" t="b">
        <v>0</v>
      </c>
      <c r="E511" t="s">
        <v>130</v>
      </c>
      <c r="F511" t="s">
        <v>1110</v>
      </c>
      <c r="G511">
        <v>50</v>
      </c>
      <c r="H511" t="str">
        <f t="shared" si="28"/>
        <v>FALSE</v>
      </c>
      <c r="I511" t="str">
        <f t="shared" si="29"/>
        <v>FALSE</v>
      </c>
      <c r="J511" t="str">
        <f t="shared" si="30"/>
        <v>FALSE</v>
      </c>
      <c r="K511" t="str">
        <f t="shared" si="31"/>
        <v>subfunctionarea;maxburst;FALSE;subfunctionarea;maxburst;50</v>
      </c>
    </row>
    <row r="512" spans="1:11" x14ac:dyDescent="0.3">
      <c r="A512">
        <v>8</v>
      </c>
      <c r="B512" t="s">
        <v>130</v>
      </c>
      <c r="C512" t="s">
        <v>891</v>
      </c>
      <c r="D512" t="b">
        <v>0</v>
      </c>
      <c r="E512" t="s">
        <v>130</v>
      </c>
      <c r="F512" t="s">
        <v>891</v>
      </c>
      <c r="G512">
        <v>50</v>
      </c>
      <c r="H512" t="str">
        <f t="shared" si="28"/>
        <v>FALSE</v>
      </c>
      <c r="I512" t="str">
        <f t="shared" si="29"/>
        <v>FALSE</v>
      </c>
      <c r="J512" t="str">
        <f t="shared" si="30"/>
        <v>FALSE</v>
      </c>
      <c r="K512" t="str">
        <f t="shared" si="31"/>
        <v>subfunctionarea;maxconsecutivesrejs;FALSE;subfunctionarea;maxconsecutivesrejs;50</v>
      </c>
    </row>
    <row r="513" spans="1:11" x14ac:dyDescent="0.3">
      <c r="A513">
        <v>8</v>
      </c>
      <c r="B513" t="s">
        <v>130</v>
      </c>
      <c r="C513" t="s">
        <v>892</v>
      </c>
      <c r="D513" t="b">
        <v>0</v>
      </c>
      <c r="E513" t="s">
        <v>130</v>
      </c>
      <c r="F513" t="s">
        <v>892</v>
      </c>
      <c r="G513">
        <v>50</v>
      </c>
      <c r="H513" t="str">
        <f t="shared" si="28"/>
        <v>FALSE</v>
      </c>
      <c r="I513" t="str">
        <f t="shared" si="29"/>
        <v>FALSE</v>
      </c>
      <c r="J513" t="str">
        <f t="shared" si="30"/>
        <v>FALSE</v>
      </c>
      <c r="K513" t="str">
        <f t="shared" si="31"/>
        <v>subfunctionarea;maxduration;FALSE;subfunctionarea;maxduration;50</v>
      </c>
    </row>
    <row r="514" spans="1:11" x14ac:dyDescent="0.3">
      <c r="A514">
        <v>8</v>
      </c>
      <c r="B514" t="s">
        <v>130</v>
      </c>
      <c r="C514" t="s">
        <v>481</v>
      </c>
      <c r="D514" t="b">
        <v>0</v>
      </c>
      <c r="E514" t="s">
        <v>130</v>
      </c>
      <c r="F514" t="s">
        <v>481</v>
      </c>
      <c r="G514">
        <v>50</v>
      </c>
      <c r="H514" t="str">
        <f t="shared" ref="H514:H577" si="32">IF(LEN(C514)&gt;30,"TRUE","FALSE")</f>
        <v>FALSE</v>
      </c>
      <c r="I514" t="str">
        <f t="shared" ref="I514:I577" si="33">IF(LEN(F514)&gt;30,"TRUE","FALSE")</f>
        <v>FALSE</v>
      </c>
      <c r="J514" t="str">
        <f t="shared" ref="J514:J577" si="34">IF(G514&gt;50,"TRUE","FALSE")</f>
        <v>FALSE</v>
      </c>
      <c r="K514" t="str">
        <f t="shared" ref="K514:K577" si="35">CONCATENATE(B514,";",C514,";",D514,";",E514,";",F514,";",G514)</f>
        <v>subfunctionarea;maxinitrt;FALSE;subfunctionarea;maxinitrt;50</v>
      </c>
    </row>
    <row r="515" spans="1:11" x14ac:dyDescent="0.3">
      <c r="A515">
        <v>8</v>
      </c>
      <c r="B515" t="s">
        <v>130</v>
      </c>
      <c r="C515" t="s">
        <v>893</v>
      </c>
      <c r="D515" t="b">
        <v>0</v>
      </c>
      <c r="E515" t="s">
        <v>130</v>
      </c>
      <c r="F515" t="s">
        <v>893</v>
      </c>
      <c r="G515">
        <v>50</v>
      </c>
      <c r="H515" t="str">
        <f t="shared" si="32"/>
        <v>FALSE</v>
      </c>
      <c r="I515" t="str">
        <f t="shared" si="33"/>
        <v>FALSE</v>
      </c>
      <c r="J515" t="str">
        <f t="shared" si="34"/>
        <v>FALSE</v>
      </c>
      <c r="K515" t="str">
        <f t="shared" si="35"/>
        <v>subfunctionarea;maxnoofreportfiles;FALSE;subfunctionarea;maxnoofreportfiles;50</v>
      </c>
    </row>
    <row r="516" spans="1:11" x14ac:dyDescent="0.3">
      <c r="A516">
        <v>8</v>
      </c>
      <c r="B516" t="s">
        <v>130</v>
      </c>
      <c r="C516" t="s">
        <v>1109</v>
      </c>
      <c r="D516" t="b">
        <v>0</v>
      </c>
      <c r="E516" t="s">
        <v>130</v>
      </c>
      <c r="F516" t="s">
        <v>1109</v>
      </c>
      <c r="G516">
        <v>50</v>
      </c>
      <c r="H516" t="str">
        <f t="shared" si="32"/>
        <v>FALSE</v>
      </c>
      <c r="I516" t="str">
        <f t="shared" si="33"/>
        <v>FALSE</v>
      </c>
      <c r="J516" t="str">
        <f t="shared" si="34"/>
        <v>FALSE</v>
      </c>
      <c r="K516" t="str">
        <f t="shared" si="35"/>
        <v>subfunctionarea;maxrnitrt;FALSE;subfunctionarea;maxrnitrt;50</v>
      </c>
    </row>
    <row r="517" spans="1:11" x14ac:dyDescent="0.3">
      <c r="A517">
        <v>8</v>
      </c>
      <c r="B517" t="s">
        <v>130</v>
      </c>
      <c r="C517" t="s">
        <v>1108</v>
      </c>
      <c r="D517" t="b">
        <v>0</v>
      </c>
      <c r="E517" t="s">
        <v>130</v>
      </c>
      <c r="F517" t="s">
        <v>1108</v>
      </c>
      <c r="G517">
        <v>50</v>
      </c>
      <c r="H517" t="str">
        <f t="shared" si="32"/>
        <v>FALSE</v>
      </c>
      <c r="I517" t="str">
        <f t="shared" si="33"/>
        <v>FALSE</v>
      </c>
      <c r="J517" t="str">
        <f t="shared" si="34"/>
        <v>FALSE</v>
      </c>
      <c r="K517" t="str">
        <f t="shared" si="35"/>
        <v>subfunctionarea;maxrto;FALSE;subfunctionarea;maxrto;50</v>
      </c>
    </row>
    <row r="518" spans="1:11" x14ac:dyDescent="0.3">
      <c r="A518">
        <v>8</v>
      </c>
      <c r="B518" t="s">
        <v>130</v>
      </c>
      <c r="C518" t="s">
        <v>1107</v>
      </c>
      <c r="D518" t="b">
        <v>0</v>
      </c>
      <c r="E518" t="s">
        <v>130</v>
      </c>
      <c r="F518" t="s">
        <v>1107</v>
      </c>
      <c r="G518">
        <v>50</v>
      </c>
      <c r="H518" t="str">
        <f t="shared" si="32"/>
        <v>FALSE</v>
      </c>
      <c r="I518" t="str">
        <f t="shared" si="33"/>
        <v>FALSE</v>
      </c>
      <c r="J518" t="str">
        <f t="shared" si="34"/>
        <v>FALSE</v>
      </c>
      <c r="K518" t="str">
        <f t="shared" si="35"/>
        <v>subfunctionarea;maxsctppdusize;FALSE;subfunctionarea;maxsctppdusize;50</v>
      </c>
    </row>
    <row r="519" spans="1:11" x14ac:dyDescent="0.3">
      <c r="A519">
        <v>8</v>
      </c>
      <c r="B519" t="s">
        <v>130</v>
      </c>
      <c r="C519" t="s">
        <v>894</v>
      </c>
      <c r="D519" t="b">
        <v>0</v>
      </c>
      <c r="E519" t="s">
        <v>130</v>
      </c>
      <c r="F519" t="s">
        <v>894</v>
      </c>
      <c r="G519">
        <v>50</v>
      </c>
      <c r="H519" t="str">
        <f t="shared" si="32"/>
        <v>FALSE</v>
      </c>
      <c r="I519" t="str">
        <f t="shared" si="33"/>
        <v>FALSE</v>
      </c>
      <c r="J519" t="str">
        <f t="shared" si="34"/>
        <v>FALSE</v>
      </c>
      <c r="K519" t="str">
        <f t="shared" si="35"/>
        <v>subfunctionarea;maxsizechangebuf;FALSE;subfunctionarea;maxsizechangebuf;50</v>
      </c>
    </row>
    <row r="520" spans="1:11" x14ac:dyDescent="0.3">
      <c r="A520">
        <v>8</v>
      </c>
      <c r="B520" t="s">
        <v>130</v>
      </c>
      <c r="C520" t="s">
        <v>895</v>
      </c>
      <c r="D520" t="b">
        <v>0</v>
      </c>
      <c r="E520" t="s">
        <v>130</v>
      </c>
      <c r="F520" t="s">
        <v>895</v>
      </c>
      <c r="G520">
        <v>50</v>
      </c>
      <c r="H520" t="str">
        <f t="shared" si="32"/>
        <v>FALSE</v>
      </c>
      <c r="I520" t="str">
        <f t="shared" si="33"/>
        <v>FALSE</v>
      </c>
      <c r="J520" t="str">
        <f t="shared" si="34"/>
        <v>FALSE</v>
      </c>
      <c r="K520" t="str">
        <f t="shared" si="35"/>
        <v>subfunctionarea;maxsizereroutbuf;FALSE;subfunctionarea;maxsizereroutbuf;50</v>
      </c>
    </row>
    <row r="521" spans="1:11" x14ac:dyDescent="0.3">
      <c r="A521">
        <v>8</v>
      </c>
      <c r="B521" t="s">
        <v>130</v>
      </c>
      <c r="C521" t="s">
        <v>896</v>
      </c>
      <c r="D521" t="b">
        <v>0</v>
      </c>
      <c r="E521" t="s">
        <v>130</v>
      </c>
      <c r="F521" t="s">
        <v>896</v>
      </c>
      <c r="G521">
        <v>50</v>
      </c>
      <c r="H521" t="str">
        <f t="shared" si="32"/>
        <v>FALSE</v>
      </c>
      <c r="I521" t="str">
        <f t="shared" si="33"/>
        <v>FALSE</v>
      </c>
      <c r="J521" t="str">
        <f t="shared" si="34"/>
        <v>FALSE</v>
      </c>
      <c r="K521" t="str">
        <f t="shared" si="35"/>
        <v>subfunctionarea;maxwaittimepertcpframe;FALSE;subfunctionarea;maxwaittimepertcpframe;50</v>
      </c>
    </row>
    <row r="522" spans="1:11" x14ac:dyDescent="0.3">
      <c r="A522">
        <v>8</v>
      </c>
      <c r="B522" t="s">
        <v>130</v>
      </c>
      <c r="C522" t="s">
        <v>897</v>
      </c>
      <c r="D522" t="b">
        <v>0</v>
      </c>
      <c r="E522" t="s">
        <v>130</v>
      </c>
      <c r="F522" t="s">
        <v>897</v>
      </c>
      <c r="G522">
        <v>50</v>
      </c>
      <c r="H522" t="str">
        <f t="shared" si="32"/>
        <v>FALSE</v>
      </c>
      <c r="I522" t="str">
        <f t="shared" si="33"/>
        <v>FALSE</v>
      </c>
      <c r="J522" t="str">
        <f t="shared" si="34"/>
        <v>FALSE</v>
      </c>
      <c r="K522" t="str">
        <f t="shared" si="35"/>
        <v>subfunctionarea;mccmode;FALSE;subfunctionarea;mccmode;50</v>
      </c>
    </row>
    <row r="523" spans="1:11" x14ac:dyDescent="0.3">
      <c r="A523">
        <v>8</v>
      </c>
      <c r="B523" t="s">
        <v>130</v>
      </c>
      <c r="C523" t="s">
        <v>1106</v>
      </c>
      <c r="D523" t="b">
        <v>0</v>
      </c>
      <c r="E523" t="s">
        <v>130</v>
      </c>
      <c r="F523" t="s">
        <v>1106</v>
      </c>
      <c r="G523">
        <v>50</v>
      </c>
      <c r="H523" t="str">
        <f t="shared" si="32"/>
        <v>FALSE</v>
      </c>
      <c r="I523" t="str">
        <f t="shared" si="33"/>
        <v>FALSE</v>
      </c>
      <c r="J523" t="str">
        <f t="shared" si="34"/>
        <v>FALSE</v>
      </c>
      <c r="K523" t="str">
        <f t="shared" si="35"/>
        <v>subfunctionarea;mediavlanid;FALSE;subfunctionarea;mediavlanid;50</v>
      </c>
    </row>
    <row r="524" spans="1:11" x14ac:dyDescent="0.3">
      <c r="A524">
        <v>8</v>
      </c>
      <c r="B524" t="s">
        <v>130</v>
      </c>
      <c r="C524" t="s">
        <v>898</v>
      </c>
      <c r="D524" t="b">
        <v>0</v>
      </c>
      <c r="E524" t="s">
        <v>130</v>
      </c>
      <c r="F524" t="s">
        <v>898</v>
      </c>
      <c r="G524">
        <v>50</v>
      </c>
      <c r="H524" t="str">
        <f t="shared" si="32"/>
        <v>FALSE</v>
      </c>
      <c r="I524" t="str">
        <f t="shared" si="33"/>
        <v>FALSE</v>
      </c>
      <c r="J524" t="str">
        <f t="shared" si="34"/>
        <v>FALSE</v>
      </c>
      <c r="K524" t="str">
        <f t="shared" si="35"/>
        <v>subfunctionarea;messageid;FALSE;subfunctionarea;messageid;50</v>
      </c>
    </row>
    <row r="525" spans="1:11" x14ac:dyDescent="0.3">
      <c r="A525">
        <v>8</v>
      </c>
      <c r="B525" t="s">
        <v>130</v>
      </c>
      <c r="C525" t="s">
        <v>899</v>
      </c>
      <c r="D525" t="b">
        <v>0</v>
      </c>
      <c r="E525" t="s">
        <v>130</v>
      </c>
      <c r="F525" t="s">
        <v>899</v>
      </c>
      <c r="G525">
        <v>50</v>
      </c>
      <c r="H525" t="str">
        <f t="shared" si="32"/>
        <v>FALSE</v>
      </c>
      <c r="I525" t="str">
        <f t="shared" si="33"/>
        <v>FALSE</v>
      </c>
      <c r="J525" t="str">
        <f t="shared" si="34"/>
        <v>FALSE</v>
      </c>
      <c r="K525" t="str">
        <f t="shared" si="35"/>
        <v>subfunctionarea;mgclabel;FALSE;subfunctionarea;mgclabel;50</v>
      </c>
    </row>
    <row r="526" spans="1:11" x14ac:dyDescent="0.3">
      <c r="A526">
        <v>8</v>
      </c>
      <c r="B526" t="s">
        <v>130</v>
      </c>
      <c r="C526" t="s">
        <v>900</v>
      </c>
      <c r="D526" t="b">
        <v>0</v>
      </c>
      <c r="E526" t="s">
        <v>130</v>
      </c>
      <c r="F526" t="s">
        <v>900</v>
      </c>
      <c r="G526">
        <v>50</v>
      </c>
      <c r="H526" t="str">
        <f t="shared" si="32"/>
        <v>FALSE</v>
      </c>
      <c r="I526" t="str">
        <f t="shared" si="33"/>
        <v>FALSE</v>
      </c>
      <c r="J526" t="str">
        <f t="shared" si="34"/>
        <v>FALSE</v>
      </c>
      <c r="K526" t="str">
        <f t="shared" si="35"/>
        <v>subfunctionarea;mindigitpause;FALSE;subfunctionarea;mindigitpause;50</v>
      </c>
    </row>
    <row r="527" spans="1:11" x14ac:dyDescent="0.3">
      <c r="A527">
        <v>8</v>
      </c>
      <c r="B527" t="s">
        <v>130</v>
      </c>
      <c r="C527" t="s">
        <v>901</v>
      </c>
      <c r="D527" t="b">
        <v>0</v>
      </c>
      <c r="E527" t="s">
        <v>130</v>
      </c>
      <c r="F527" t="s">
        <v>901</v>
      </c>
      <c r="G527">
        <v>50</v>
      </c>
      <c r="H527" t="str">
        <f t="shared" si="32"/>
        <v>FALSE</v>
      </c>
      <c r="I527" t="str">
        <f t="shared" si="33"/>
        <v>FALSE</v>
      </c>
      <c r="J527" t="str">
        <f t="shared" si="34"/>
        <v>FALSE</v>
      </c>
      <c r="K527" t="str">
        <f t="shared" si="35"/>
        <v>subfunctionarea;minduration;FALSE;subfunctionarea;minduration;50</v>
      </c>
    </row>
    <row r="528" spans="1:11" x14ac:dyDescent="0.3">
      <c r="A528">
        <v>8</v>
      </c>
      <c r="B528" t="s">
        <v>130</v>
      </c>
      <c r="C528" t="s">
        <v>902</v>
      </c>
      <c r="D528" t="b">
        <v>0</v>
      </c>
      <c r="E528" t="s">
        <v>130</v>
      </c>
      <c r="F528" t="s">
        <v>902</v>
      </c>
      <c r="G528">
        <v>50</v>
      </c>
      <c r="H528" t="str">
        <f t="shared" si="32"/>
        <v>FALSE</v>
      </c>
      <c r="I528" t="str">
        <f t="shared" si="33"/>
        <v>FALSE</v>
      </c>
      <c r="J528" t="str">
        <f t="shared" si="34"/>
        <v>FALSE</v>
      </c>
      <c r="K528" t="str">
        <f t="shared" si="35"/>
        <v>subfunctionarea;mininterworkingduration;FALSE;subfunctionarea;mininterworkingduration;50</v>
      </c>
    </row>
    <row r="529" spans="1:11" x14ac:dyDescent="0.3">
      <c r="A529">
        <v>8</v>
      </c>
      <c r="B529" t="s">
        <v>130</v>
      </c>
      <c r="C529" t="s">
        <v>903</v>
      </c>
      <c r="D529" t="b">
        <v>0</v>
      </c>
      <c r="E529" t="s">
        <v>130</v>
      </c>
      <c r="F529" t="s">
        <v>903</v>
      </c>
      <c r="G529">
        <v>50</v>
      </c>
      <c r="H529" t="str">
        <f t="shared" si="32"/>
        <v>FALSE</v>
      </c>
      <c r="I529" t="str">
        <f t="shared" si="33"/>
        <v>FALSE</v>
      </c>
      <c r="J529" t="str">
        <f t="shared" si="34"/>
        <v>FALSE</v>
      </c>
      <c r="K529" t="str">
        <f t="shared" si="35"/>
        <v>subfunctionarea;mininterworkingpause;FALSE;subfunctionarea;mininterworkingpause;50</v>
      </c>
    </row>
    <row r="530" spans="1:11" x14ac:dyDescent="0.3">
      <c r="A530">
        <v>8</v>
      </c>
      <c r="B530" t="s">
        <v>130</v>
      </c>
      <c r="C530" t="s">
        <v>1105</v>
      </c>
      <c r="D530" t="b">
        <v>0</v>
      </c>
      <c r="E530" t="s">
        <v>130</v>
      </c>
      <c r="F530" t="s">
        <v>1105</v>
      </c>
      <c r="G530">
        <v>50</v>
      </c>
      <c r="H530" t="str">
        <f t="shared" si="32"/>
        <v>FALSE</v>
      </c>
      <c r="I530" t="str">
        <f t="shared" si="33"/>
        <v>FALSE</v>
      </c>
      <c r="J530" t="str">
        <f t="shared" si="34"/>
        <v>FALSE</v>
      </c>
      <c r="K530" t="str">
        <f t="shared" si="35"/>
        <v>subfunctionarea;minrto;FALSE;subfunctionarea;minrto;50</v>
      </c>
    </row>
    <row r="531" spans="1:11" x14ac:dyDescent="0.3">
      <c r="A531">
        <v>8</v>
      </c>
      <c r="B531" t="s">
        <v>130</v>
      </c>
      <c r="C531" t="s">
        <v>904</v>
      </c>
      <c r="D531" t="b">
        <v>0</v>
      </c>
      <c r="E531" t="s">
        <v>130</v>
      </c>
      <c r="F531" t="s">
        <v>904</v>
      </c>
      <c r="G531">
        <v>50</v>
      </c>
      <c r="H531" t="str">
        <f t="shared" si="32"/>
        <v>FALSE</v>
      </c>
      <c r="I531" t="str">
        <f t="shared" si="33"/>
        <v>FALSE</v>
      </c>
      <c r="J531" t="str">
        <f t="shared" si="34"/>
        <v>FALSE</v>
      </c>
      <c r="K531" t="str">
        <f t="shared" si="35"/>
        <v>subfunctionarea;mobileaccessconn;FALSE;subfunctionarea;mobileaccessconn;50</v>
      </c>
    </row>
    <row r="532" spans="1:11" x14ac:dyDescent="0.3">
      <c r="A532">
        <v>8</v>
      </c>
      <c r="B532" t="s">
        <v>130</v>
      </c>
      <c r="C532" t="s">
        <v>905</v>
      </c>
      <c r="D532" t="b">
        <v>0</v>
      </c>
      <c r="E532" t="s">
        <v>130</v>
      </c>
      <c r="F532" t="s">
        <v>905</v>
      </c>
      <c r="G532">
        <v>50</v>
      </c>
      <c r="H532" t="str">
        <f t="shared" si="32"/>
        <v>FALSE</v>
      </c>
      <c r="I532" t="str">
        <f t="shared" si="33"/>
        <v>FALSE</v>
      </c>
      <c r="J532" t="str">
        <f t="shared" si="34"/>
        <v>FALSE</v>
      </c>
      <c r="K532" t="str">
        <f t="shared" si="35"/>
        <v>subfunctionarea;mpv-logstatus;FALSE;subfunctionarea;mpv-logstatus;50</v>
      </c>
    </row>
    <row r="533" spans="1:11" x14ac:dyDescent="0.3">
      <c r="A533">
        <v>8</v>
      </c>
      <c r="B533" t="s">
        <v>130</v>
      </c>
      <c r="C533" t="s">
        <v>906</v>
      </c>
      <c r="D533" t="b">
        <v>0</v>
      </c>
      <c r="E533" t="s">
        <v>130</v>
      </c>
      <c r="F533" t="s">
        <v>906</v>
      </c>
      <c r="G533">
        <v>50</v>
      </c>
      <c r="H533" t="str">
        <f t="shared" si="32"/>
        <v>FALSE</v>
      </c>
      <c r="I533" t="str">
        <f t="shared" si="33"/>
        <v>FALSE</v>
      </c>
      <c r="J533" t="str">
        <f t="shared" si="34"/>
        <v>FALSE</v>
      </c>
      <c r="K533" t="str">
        <f t="shared" si="35"/>
        <v>subfunctionarea;mrfcapplicationid;FALSE;subfunctionarea;mrfcapplicationid;50</v>
      </c>
    </row>
    <row r="534" spans="1:11" x14ac:dyDescent="0.3">
      <c r="A534">
        <v>8</v>
      </c>
      <c r="B534" t="s">
        <v>130</v>
      </c>
      <c r="C534" t="s">
        <v>1104</v>
      </c>
      <c r="D534" t="b">
        <v>0</v>
      </c>
      <c r="E534" t="s">
        <v>130</v>
      </c>
      <c r="F534" t="s">
        <v>1104</v>
      </c>
      <c r="G534">
        <v>50</v>
      </c>
      <c r="H534" t="str">
        <f t="shared" si="32"/>
        <v>FALSE</v>
      </c>
      <c r="I534" t="str">
        <f t="shared" si="33"/>
        <v>FALSE</v>
      </c>
      <c r="J534" t="str">
        <f t="shared" si="34"/>
        <v>FALSE</v>
      </c>
      <c r="K534" t="str">
        <f t="shared" si="35"/>
        <v>subfunctionarea;mrfconfigurationid;FALSE;subfunctionarea;mrfconfigurationid;50</v>
      </c>
    </row>
    <row r="535" spans="1:11" x14ac:dyDescent="0.3">
      <c r="A535">
        <v>8</v>
      </c>
      <c r="B535" t="s">
        <v>130</v>
      </c>
      <c r="C535" t="s">
        <v>1103</v>
      </c>
      <c r="D535" t="b">
        <v>0</v>
      </c>
      <c r="E535" t="s">
        <v>130</v>
      </c>
      <c r="F535" t="s">
        <v>1103</v>
      </c>
      <c r="G535">
        <v>50</v>
      </c>
      <c r="H535" t="str">
        <f t="shared" si="32"/>
        <v>FALSE</v>
      </c>
      <c r="I535" t="str">
        <f t="shared" si="33"/>
        <v>FALSE</v>
      </c>
      <c r="J535" t="str">
        <f t="shared" si="34"/>
        <v>FALSE</v>
      </c>
      <c r="K535" t="str">
        <f t="shared" si="35"/>
        <v>subfunctionarea;mrfh248controlid;FALSE;subfunctionarea;mrfh248controlid;50</v>
      </c>
    </row>
    <row r="536" spans="1:11" x14ac:dyDescent="0.3">
      <c r="A536">
        <v>8</v>
      </c>
      <c r="B536" t="s">
        <v>130</v>
      </c>
      <c r="C536" t="s">
        <v>1102</v>
      </c>
      <c r="D536" t="b">
        <v>0</v>
      </c>
      <c r="E536" t="s">
        <v>130</v>
      </c>
      <c r="F536" t="s">
        <v>1102</v>
      </c>
      <c r="G536">
        <v>50</v>
      </c>
      <c r="H536" t="str">
        <f t="shared" si="32"/>
        <v>FALSE</v>
      </c>
      <c r="I536" t="str">
        <f t="shared" si="33"/>
        <v>FALSE</v>
      </c>
      <c r="J536" t="str">
        <f t="shared" si="34"/>
        <v>FALSE</v>
      </c>
      <c r="K536" t="str">
        <f t="shared" si="35"/>
        <v>subfunctionarea;mrfresourceid;FALSE;subfunctionarea;mrfresourceid;50</v>
      </c>
    </row>
    <row r="537" spans="1:11" x14ac:dyDescent="0.3">
      <c r="A537">
        <v>8</v>
      </c>
      <c r="B537" t="s">
        <v>130</v>
      </c>
      <c r="C537" t="s">
        <v>1101</v>
      </c>
      <c r="D537" t="b">
        <v>0</v>
      </c>
      <c r="E537" t="s">
        <v>130</v>
      </c>
      <c r="F537" t="s">
        <v>1101</v>
      </c>
      <c r="G537">
        <v>50</v>
      </c>
      <c r="H537" t="str">
        <f t="shared" si="32"/>
        <v>FALSE</v>
      </c>
      <c r="I537" t="str">
        <f t="shared" si="33"/>
        <v>FALSE</v>
      </c>
      <c r="J537" t="str">
        <f t="shared" si="34"/>
        <v>FALSE</v>
      </c>
      <c r="K537" t="str">
        <f t="shared" si="35"/>
        <v>subfunctionarea;mrfsipcontrolid;FALSE;subfunctionarea;mrfsipcontrolid;50</v>
      </c>
    </row>
    <row r="538" spans="1:11" x14ac:dyDescent="0.3">
      <c r="A538">
        <v>8</v>
      </c>
      <c r="B538" t="s">
        <v>130</v>
      </c>
      <c r="C538" t="s">
        <v>907</v>
      </c>
      <c r="D538" t="b">
        <v>0</v>
      </c>
      <c r="E538" t="s">
        <v>130</v>
      </c>
      <c r="F538" t="s">
        <v>907</v>
      </c>
      <c r="G538">
        <v>50</v>
      </c>
      <c r="H538" t="str">
        <f t="shared" si="32"/>
        <v>FALSE</v>
      </c>
      <c r="I538" t="str">
        <f t="shared" si="33"/>
        <v>FALSE</v>
      </c>
      <c r="J538" t="str">
        <f t="shared" si="34"/>
        <v>FALSE</v>
      </c>
      <c r="K538" t="str">
        <f t="shared" si="35"/>
        <v>subfunctionarea;mspgid;FALSE;subfunctionarea;mspgid;50</v>
      </c>
    </row>
    <row r="539" spans="1:11" x14ac:dyDescent="0.3">
      <c r="A539">
        <v>8</v>
      </c>
      <c r="B539" t="s">
        <v>130</v>
      </c>
      <c r="C539" t="s">
        <v>107</v>
      </c>
      <c r="D539" t="b">
        <v>0</v>
      </c>
      <c r="E539" t="s">
        <v>130</v>
      </c>
      <c r="F539" t="s">
        <v>107</v>
      </c>
      <c r="G539">
        <v>50</v>
      </c>
      <c r="H539" t="str">
        <f t="shared" si="32"/>
        <v>FALSE</v>
      </c>
      <c r="I539" t="str">
        <f t="shared" si="33"/>
        <v>FALSE</v>
      </c>
      <c r="J539" t="str">
        <f t="shared" si="34"/>
        <v>FALSE</v>
      </c>
      <c r="K539" t="str">
        <f t="shared" si="35"/>
        <v>subfunctionarea;msprocessingid;FALSE;subfunctionarea;msprocessingid;50</v>
      </c>
    </row>
    <row r="540" spans="1:11" x14ac:dyDescent="0.3">
      <c r="A540">
        <v>8</v>
      </c>
      <c r="B540" t="s">
        <v>130</v>
      </c>
      <c r="C540" t="s">
        <v>1100</v>
      </c>
      <c r="D540" t="b">
        <v>0</v>
      </c>
      <c r="E540" t="s">
        <v>130</v>
      </c>
      <c r="F540" t="s">
        <v>1100</v>
      </c>
      <c r="G540">
        <v>50</v>
      </c>
      <c r="H540" t="str">
        <f t="shared" si="32"/>
        <v>FALSE</v>
      </c>
      <c r="I540" t="str">
        <f t="shared" si="33"/>
        <v>FALSE</v>
      </c>
      <c r="J540" t="str">
        <f t="shared" si="34"/>
        <v>FALSE</v>
      </c>
      <c r="K540" t="str">
        <f t="shared" si="35"/>
        <v>subfunctionarea;mtascharging;FALSE;subfunctionarea;mtascharging;50</v>
      </c>
    </row>
    <row r="541" spans="1:11" x14ac:dyDescent="0.3">
      <c r="A541">
        <v>8</v>
      </c>
      <c r="B541" t="s">
        <v>130</v>
      </c>
      <c r="C541" t="s">
        <v>1099</v>
      </c>
      <c r="D541" t="b">
        <v>0</v>
      </c>
      <c r="E541" t="s">
        <v>130</v>
      </c>
      <c r="F541" t="s">
        <v>1099</v>
      </c>
      <c r="G541">
        <v>50</v>
      </c>
      <c r="H541" t="str">
        <f t="shared" si="32"/>
        <v>FALSE</v>
      </c>
      <c r="I541" t="str">
        <f t="shared" si="33"/>
        <v>FALSE</v>
      </c>
      <c r="J541" t="str">
        <f t="shared" si="34"/>
        <v>FALSE</v>
      </c>
      <c r="K541" t="str">
        <f t="shared" si="35"/>
        <v>subfunctionarea;mtaschargingacrbackupfiles;FALSE;subfunctionarea;mtaschargingacrbackupfiles;50</v>
      </c>
    </row>
    <row r="542" spans="1:11" x14ac:dyDescent="0.3">
      <c r="A542">
        <v>8</v>
      </c>
      <c r="B542" t="s">
        <v>130</v>
      </c>
      <c r="C542" t="s">
        <v>908</v>
      </c>
      <c r="D542" t="b">
        <v>0</v>
      </c>
      <c r="E542" t="s">
        <v>130</v>
      </c>
      <c r="F542" t="s">
        <v>908</v>
      </c>
      <c r="G542">
        <v>50</v>
      </c>
      <c r="H542" t="str">
        <f t="shared" si="32"/>
        <v>FALSE</v>
      </c>
      <c r="I542" t="str">
        <f t="shared" si="33"/>
        <v>FALSE</v>
      </c>
      <c r="J542" t="str">
        <f t="shared" si="34"/>
        <v>FALSE</v>
      </c>
      <c r="K542" t="str">
        <f t="shared" si="35"/>
        <v>subfunctionarea;mtaschargingacrcachingmaxtime;FALSE;subfunctionarea;mtaschargingacrcachingmaxtime;50</v>
      </c>
    </row>
    <row r="543" spans="1:11" x14ac:dyDescent="0.3">
      <c r="A543">
        <v>8</v>
      </c>
      <c r="B543" t="s">
        <v>130</v>
      </c>
      <c r="C543" t="s">
        <v>1098</v>
      </c>
      <c r="D543" t="b">
        <v>0</v>
      </c>
      <c r="E543" t="s">
        <v>130</v>
      </c>
      <c r="F543" t="s">
        <v>1098</v>
      </c>
      <c r="G543">
        <v>50</v>
      </c>
      <c r="H543" t="str">
        <f t="shared" si="32"/>
        <v>FALSE</v>
      </c>
      <c r="I543" t="str">
        <f t="shared" si="33"/>
        <v>FALSE</v>
      </c>
      <c r="J543" t="str">
        <f t="shared" si="34"/>
        <v>FALSE</v>
      </c>
      <c r="K543" t="str">
        <f t="shared" si="35"/>
        <v>subfunctionarea;mtaschargingacrstorage;FALSE;subfunctionarea;mtaschargingacrstorage;50</v>
      </c>
    </row>
    <row r="544" spans="1:11" x14ac:dyDescent="0.3">
      <c r="A544">
        <v>8</v>
      </c>
      <c r="B544" t="s">
        <v>130</v>
      </c>
      <c r="C544" t="s">
        <v>1097</v>
      </c>
      <c r="D544" t="b">
        <v>0</v>
      </c>
      <c r="E544" t="s">
        <v>130</v>
      </c>
      <c r="F544" t="s">
        <v>1097</v>
      </c>
      <c r="G544">
        <v>50</v>
      </c>
      <c r="H544" t="str">
        <f t="shared" si="32"/>
        <v>FALSE</v>
      </c>
      <c r="I544" t="str">
        <f t="shared" si="33"/>
        <v>FALSE</v>
      </c>
      <c r="J544" t="str">
        <f t="shared" si="34"/>
        <v>FALSE</v>
      </c>
      <c r="K544" t="str">
        <f t="shared" si="35"/>
        <v>subfunctionarea;mtaschargingacrstoragemaxtime;FALSE;subfunctionarea;mtaschargingacrstoragemaxtime;50</v>
      </c>
    </row>
    <row r="545" spans="1:11" x14ac:dyDescent="0.3">
      <c r="A545">
        <v>8</v>
      </c>
      <c r="B545" t="s">
        <v>130</v>
      </c>
      <c r="C545" t="s">
        <v>909</v>
      </c>
      <c r="D545" t="b">
        <v>0</v>
      </c>
      <c r="E545" t="s">
        <v>130</v>
      </c>
      <c r="F545" t="s">
        <v>909</v>
      </c>
      <c r="G545">
        <v>50</v>
      </c>
      <c r="H545" t="str">
        <f t="shared" si="32"/>
        <v>FALSE</v>
      </c>
      <c r="I545" t="str">
        <f t="shared" si="33"/>
        <v>FALSE</v>
      </c>
      <c r="J545" t="str">
        <f t="shared" si="34"/>
        <v>FALSE</v>
      </c>
      <c r="K545" t="str">
        <f t="shared" si="35"/>
        <v>subfunctionarea;mtascharginganiwithouttrigger;FALSE;subfunctionarea;mtascharginganiwithouttrigger;50</v>
      </c>
    </row>
    <row r="546" spans="1:11" x14ac:dyDescent="0.3">
      <c r="A546">
        <v>8</v>
      </c>
      <c r="B546" t="s">
        <v>130</v>
      </c>
      <c r="C546" t="s">
        <v>910</v>
      </c>
      <c r="D546" t="b">
        <v>0</v>
      </c>
      <c r="E546" t="s">
        <v>130</v>
      </c>
      <c r="F546" t="s">
        <v>910</v>
      </c>
      <c r="G546">
        <v>50</v>
      </c>
      <c r="H546" t="str">
        <f t="shared" si="32"/>
        <v>FALSE</v>
      </c>
      <c r="I546" t="str">
        <f t="shared" si="33"/>
        <v>FALSE</v>
      </c>
      <c r="J546" t="str">
        <f t="shared" si="34"/>
        <v>FALSE</v>
      </c>
      <c r="K546" t="str">
        <f t="shared" si="35"/>
        <v>subfunctionarea;mtaschargingccrcachingmaxtime;FALSE;subfunctionarea;mtaschargingccrcachingmaxtime;50</v>
      </c>
    </row>
    <row r="547" spans="1:11" x14ac:dyDescent="0.3">
      <c r="A547">
        <v>8</v>
      </c>
      <c r="B547" t="s">
        <v>130</v>
      </c>
      <c r="C547" t="s">
        <v>1096</v>
      </c>
      <c r="D547" t="b">
        <v>0</v>
      </c>
      <c r="E547" t="s">
        <v>130</v>
      </c>
      <c r="F547" t="s">
        <v>1096</v>
      </c>
      <c r="G547">
        <v>50</v>
      </c>
      <c r="H547" t="str">
        <f t="shared" si="32"/>
        <v>FALSE</v>
      </c>
      <c r="I547" t="str">
        <f t="shared" si="33"/>
        <v>FALSE</v>
      </c>
      <c r="J547" t="str">
        <f t="shared" si="34"/>
        <v>FALSE</v>
      </c>
      <c r="K547" t="str">
        <f t="shared" si="35"/>
        <v>subfunctionarea;mtaschargingdeactivateddests;FALSE;subfunctionarea;mtaschargingdeactivateddests;50</v>
      </c>
    </row>
    <row r="548" spans="1:11" x14ac:dyDescent="0.3">
      <c r="A548">
        <v>8</v>
      </c>
      <c r="B548" t="s">
        <v>130</v>
      </c>
      <c r="C548" t="s">
        <v>1095</v>
      </c>
      <c r="D548" t="b">
        <v>0</v>
      </c>
      <c r="E548" t="s">
        <v>130</v>
      </c>
      <c r="F548" t="s">
        <v>1095</v>
      </c>
      <c r="G548">
        <v>50</v>
      </c>
      <c r="H548" t="str">
        <f t="shared" si="32"/>
        <v>FALSE</v>
      </c>
      <c r="I548" t="str">
        <f t="shared" si="33"/>
        <v>FALSE</v>
      </c>
      <c r="J548" t="str">
        <f t="shared" si="34"/>
        <v>FALSE</v>
      </c>
      <c r="K548" t="str">
        <f t="shared" si="35"/>
        <v>subfunctionarea;mtaschargingdefaultcdfaddress;FALSE;subfunctionarea;mtaschargingdefaultcdfaddress;50</v>
      </c>
    </row>
    <row r="549" spans="1:11" x14ac:dyDescent="0.3">
      <c r="A549">
        <v>8</v>
      </c>
      <c r="B549" t="s">
        <v>130</v>
      </c>
      <c r="C549" t="s">
        <v>291</v>
      </c>
      <c r="D549" t="b">
        <v>0</v>
      </c>
      <c r="E549" t="s">
        <v>130</v>
      </c>
      <c r="F549" t="s">
        <v>375</v>
      </c>
      <c r="G549">
        <v>50</v>
      </c>
      <c r="H549" t="str">
        <f t="shared" si="32"/>
        <v>FALSE</v>
      </c>
      <c r="I549" t="str">
        <f t="shared" si="33"/>
        <v>FALSE</v>
      </c>
      <c r="J549" t="str">
        <f t="shared" si="34"/>
        <v>FALSE</v>
      </c>
      <c r="K549" t="str">
        <f t="shared" si="35"/>
        <v>subfunctionarea;mtaschargingoriginatingoffline;FALSE;subfunctionarea;mtaschargoriginatingoffline;50</v>
      </c>
    </row>
    <row r="550" spans="1:11" x14ac:dyDescent="0.3">
      <c r="A550">
        <v>8</v>
      </c>
      <c r="B550" t="s">
        <v>130</v>
      </c>
      <c r="C550" t="s">
        <v>1094</v>
      </c>
      <c r="D550" t="b">
        <v>0</v>
      </c>
      <c r="E550" t="s">
        <v>130</v>
      </c>
      <c r="F550" t="s">
        <v>1094</v>
      </c>
      <c r="G550">
        <v>50</v>
      </c>
      <c r="H550" t="str">
        <f t="shared" si="32"/>
        <v>FALSE</v>
      </c>
      <c r="I550" t="str">
        <f t="shared" si="33"/>
        <v>FALSE</v>
      </c>
      <c r="J550" t="str">
        <f t="shared" si="34"/>
        <v>FALSE</v>
      </c>
      <c r="K550" t="str">
        <f t="shared" si="35"/>
        <v>subfunctionarea;mtaschargingoriginatingonline;FALSE;subfunctionarea;mtaschargingoriginatingonline;50</v>
      </c>
    </row>
    <row r="551" spans="1:11" x14ac:dyDescent="0.3">
      <c r="A551">
        <v>8</v>
      </c>
      <c r="B551" t="s">
        <v>130</v>
      </c>
      <c r="C551" t="s">
        <v>1093</v>
      </c>
      <c r="D551" t="b">
        <v>0</v>
      </c>
      <c r="E551" t="s">
        <v>130</v>
      </c>
      <c r="F551" t="s">
        <v>1093</v>
      </c>
      <c r="G551">
        <v>50</v>
      </c>
      <c r="H551" t="str">
        <f t="shared" si="32"/>
        <v>FALSE</v>
      </c>
      <c r="I551" t="str">
        <f t="shared" si="33"/>
        <v>FALSE</v>
      </c>
      <c r="J551" t="str">
        <f t="shared" si="34"/>
        <v>FALSE</v>
      </c>
      <c r="K551" t="str">
        <f t="shared" si="35"/>
        <v>subfunctionarea;mtaschargingrttiadminState;FALSE;subfunctionarea;mtaschargingrttiadminState;50</v>
      </c>
    </row>
    <row r="552" spans="1:11" x14ac:dyDescent="0.3">
      <c r="A552">
        <v>8</v>
      </c>
      <c r="B552" t="s">
        <v>130</v>
      </c>
      <c r="C552" t="s">
        <v>287</v>
      </c>
      <c r="D552" t="b">
        <v>0</v>
      </c>
      <c r="E552" t="s">
        <v>130</v>
      </c>
      <c r="F552" t="s">
        <v>372</v>
      </c>
      <c r="G552">
        <v>50</v>
      </c>
      <c r="H552" t="str">
        <f t="shared" si="32"/>
        <v>FALSE</v>
      </c>
      <c r="I552" t="str">
        <f t="shared" si="33"/>
        <v>FALSE</v>
      </c>
      <c r="J552" t="str">
        <f t="shared" si="34"/>
        <v>FALSE</v>
      </c>
      <c r="K552" t="str">
        <f t="shared" si="35"/>
        <v>subfunctionarea;mtaschargingterminatingoffline;FALSE;subfunctionarea;mtaschargterminatingoffline;50</v>
      </c>
    </row>
    <row r="553" spans="1:11" x14ac:dyDescent="0.3">
      <c r="A553">
        <v>8</v>
      </c>
      <c r="B553" t="s">
        <v>130</v>
      </c>
      <c r="C553" t="s">
        <v>1092</v>
      </c>
      <c r="D553" t="b">
        <v>0</v>
      </c>
      <c r="E553" t="s">
        <v>130</v>
      </c>
      <c r="F553" t="s">
        <v>1092</v>
      </c>
      <c r="G553">
        <v>50</v>
      </c>
      <c r="H553" t="str">
        <f t="shared" si="32"/>
        <v>FALSE</v>
      </c>
      <c r="I553" t="str">
        <f t="shared" si="33"/>
        <v>FALSE</v>
      </c>
      <c r="J553" t="str">
        <f t="shared" si="34"/>
        <v>FALSE</v>
      </c>
      <c r="K553" t="str">
        <f t="shared" si="35"/>
        <v>subfunctionarea;mtaschargingterminatingonline;FALSE;subfunctionarea;mtaschargingterminatingonline;50</v>
      </c>
    </row>
    <row r="554" spans="1:11" x14ac:dyDescent="0.3">
      <c r="A554">
        <v>8</v>
      </c>
      <c r="B554" t="s">
        <v>130</v>
      </c>
      <c r="C554" t="s">
        <v>912</v>
      </c>
      <c r="D554" t="b">
        <v>0</v>
      </c>
      <c r="E554" t="s">
        <v>130</v>
      </c>
      <c r="F554" t="s">
        <v>912</v>
      </c>
      <c r="G554">
        <v>50</v>
      </c>
      <c r="H554" t="str">
        <f t="shared" si="32"/>
        <v>FALSE</v>
      </c>
      <c r="I554" t="str">
        <f t="shared" si="33"/>
        <v>FALSE</v>
      </c>
      <c r="J554" t="str">
        <f t="shared" si="34"/>
        <v>FALSE</v>
      </c>
      <c r="K554" t="str">
        <f t="shared" si="35"/>
        <v>subfunctionarea;mtaschargingtimezonesource;FALSE;subfunctionarea;mtaschargingtimezonesource;50</v>
      </c>
    </row>
    <row r="555" spans="1:11" x14ac:dyDescent="0.3">
      <c r="A555">
        <v>8</v>
      </c>
      <c r="B555" t="s">
        <v>130</v>
      </c>
      <c r="C555" t="s">
        <v>913</v>
      </c>
      <c r="D555" t="b">
        <v>0</v>
      </c>
      <c r="E555" t="s">
        <v>130</v>
      </c>
      <c r="F555" t="s">
        <v>913</v>
      </c>
      <c r="G555">
        <v>50</v>
      </c>
      <c r="H555" t="str">
        <f t="shared" si="32"/>
        <v>FALSE</v>
      </c>
      <c r="I555" t="str">
        <f t="shared" si="33"/>
        <v>FALSE</v>
      </c>
      <c r="J555" t="str">
        <f t="shared" si="34"/>
        <v>FALSE</v>
      </c>
      <c r="K555" t="str">
        <f t="shared" si="35"/>
        <v>subfunctionarea;mtaschargingtxtimer;FALSE;subfunctionarea;mtaschargingtxtimer;50</v>
      </c>
    </row>
    <row r="556" spans="1:11" x14ac:dyDescent="0.3">
      <c r="A556">
        <v>8</v>
      </c>
      <c r="B556" t="s">
        <v>130</v>
      </c>
      <c r="C556" t="s">
        <v>1091</v>
      </c>
      <c r="D556" t="b">
        <v>0</v>
      </c>
      <c r="E556" t="s">
        <v>130</v>
      </c>
      <c r="F556" t="s">
        <v>1091</v>
      </c>
      <c r="G556">
        <v>50</v>
      </c>
      <c r="H556" t="str">
        <f t="shared" si="32"/>
        <v>FALSE</v>
      </c>
      <c r="I556" t="str">
        <f t="shared" si="33"/>
        <v>FALSE</v>
      </c>
      <c r="J556" t="str">
        <f t="shared" si="34"/>
        <v>FALSE</v>
      </c>
      <c r="K556" t="str">
        <f t="shared" si="35"/>
        <v>subfunctionarea;mtaschargingxtimer;FALSE;subfunctionarea;mtaschargingxtimer;50</v>
      </c>
    </row>
    <row r="557" spans="1:11" x14ac:dyDescent="0.3">
      <c r="A557">
        <v>8</v>
      </c>
      <c r="B557" t="s">
        <v>130</v>
      </c>
      <c r="C557" t="s">
        <v>459</v>
      </c>
      <c r="D557" t="b">
        <v>0</v>
      </c>
      <c r="E557" t="s">
        <v>130</v>
      </c>
      <c r="F557" t="s">
        <v>459</v>
      </c>
      <c r="G557">
        <v>50</v>
      </c>
      <c r="H557" t="str">
        <f t="shared" si="32"/>
        <v>FALSE</v>
      </c>
      <c r="I557" t="str">
        <f t="shared" si="33"/>
        <v>FALSE</v>
      </c>
      <c r="J557" t="str">
        <f t="shared" si="34"/>
        <v>FALSE</v>
      </c>
      <c r="K557" t="str">
        <f t="shared" si="35"/>
        <v>subfunctionarea;mtascomdetails;FALSE;subfunctionarea;mtascomdetails;50</v>
      </c>
    </row>
    <row r="558" spans="1:11" x14ac:dyDescent="0.3">
      <c r="A558">
        <v>8</v>
      </c>
      <c r="B558" t="s">
        <v>130</v>
      </c>
      <c r="C558" t="s">
        <v>309</v>
      </c>
      <c r="D558" t="b">
        <v>0</v>
      </c>
      <c r="E558" t="s">
        <v>130</v>
      </c>
      <c r="F558" t="s">
        <v>309</v>
      </c>
      <c r="G558">
        <v>50</v>
      </c>
      <c r="H558" t="str">
        <f t="shared" si="32"/>
        <v>FALSE</v>
      </c>
      <c r="I558" t="str">
        <f t="shared" si="33"/>
        <v>FALSE</v>
      </c>
      <c r="J558" t="str">
        <f t="shared" si="34"/>
        <v>FALSE</v>
      </c>
      <c r="K558" t="str">
        <f t="shared" si="35"/>
        <v>subfunctionarea;mtascomdetailsinterfaceversion;FALSE;subfunctionarea;mtascomdetailsinterfaceversion;50</v>
      </c>
    </row>
    <row r="559" spans="1:11" x14ac:dyDescent="0.3">
      <c r="A559">
        <v>8</v>
      </c>
      <c r="B559" t="s">
        <v>130</v>
      </c>
      <c r="C559" t="s">
        <v>457</v>
      </c>
      <c r="D559" t="b">
        <v>0</v>
      </c>
      <c r="E559" t="s">
        <v>130</v>
      </c>
      <c r="F559" t="s">
        <v>457</v>
      </c>
      <c r="G559">
        <v>50</v>
      </c>
      <c r="H559" t="str">
        <f t="shared" si="32"/>
        <v>FALSE</v>
      </c>
      <c r="I559" t="str">
        <f t="shared" si="33"/>
        <v>FALSE</v>
      </c>
      <c r="J559" t="str">
        <f t="shared" si="34"/>
        <v>FALSE</v>
      </c>
      <c r="K559" t="str">
        <f t="shared" si="35"/>
        <v>subfunctionarea;mtascomdetailsprimecdsaddress;FALSE;subfunctionarea;mtascomdetailsprimecdsaddress;50</v>
      </c>
    </row>
    <row r="560" spans="1:11" x14ac:dyDescent="0.3">
      <c r="A560">
        <v>8</v>
      </c>
      <c r="B560" t="s">
        <v>130</v>
      </c>
      <c r="C560" t="s">
        <v>914</v>
      </c>
      <c r="D560" t="b">
        <v>0</v>
      </c>
      <c r="E560" t="s">
        <v>130</v>
      </c>
      <c r="F560" t="s">
        <v>914</v>
      </c>
      <c r="G560">
        <v>50</v>
      </c>
      <c r="H560" t="str">
        <f t="shared" si="32"/>
        <v>FALSE</v>
      </c>
      <c r="I560" t="str">
        <f t="shared" si="33"/>
        <v>FALSE</v>
      </c>
      <c r="J560" t="str">
        <f t="shared" si="34"/>
        <v>FALSE</v>
      </c>
      <c r="K560" t="str">
        <f t="shared" si="35"/>
        <v>subfunctionarea;mtascomdetailsreportingtype;FALSE;subfunctionarea;mtascomdetailsreportingtype;50</v>
      </c>
    </row>
    <row r="561" spans="1:11" x14ac:dyDescent="0.3">
      <c r="A561">
        <v>8</v>
      </c>
      <c r="B561" t="s">
        <v>130</v>
      </c>
      <c r="C561" t="s">
        <v>310</v>
      </c>
      <c r="D561" t="b">
        <v>0</v>
      </c>
      <c r="E561" t="s">
        <v>130</v>
      </c>
      <c r="F561" t="s">
        <v>310</v>
      </c>
      <c r="G561">
        <v>50</v>
      </c>
      <c r="H561" t="str">
        <f t="shared" si="32"/>
        <v>FALSE</v>
      </c>
      <c r="I561" t="str">
        <f t="shared" si="33"/>
        <v>FALSE</v>
      </c>
      <c r="J561" t="str">
        <f t="shared" si="34"/>
        <v>FALSE</v>
      </c>
      <c r="K561" t="str">
        <f t="shared" si="35"/>
        <v>subfunctionarea;mtascomdetailssecondcdsaddress;FALSE;subfunctionarea;mtascomdetailssecondcdsaddress;50</v>
      </c>
    </row>
    <row r="562" spans="1:11" x14ac:dyDescent="0.3">
      <c r="A562">
        <v>8</v>
      </c>
      <c r="B562" t="s">
        <v>130</v>
      </c>
      <c r="C562" t="s">
        <v>460</v>
      </c>
      <c r="D562" t="b">
        <v>0</v>
      </c>
      <c r="E562" t="s">
        <v>130</v>
      </c>
      <c r="F562" t="s">
        <v>460</v>
      </c>
      <c r="G562">
        <v>50</v>
      </c>
      <c r="H562" t="str">
        <f t="shared" si="32"/>
        <v>FALSE</v>
      </c>
      <c r="I562" t="str">
        <f t="shared" si="33"/>
        <v>FALSE</v>
      </c>
      <c r="J562" t="str">
        <f t="shared" si="34"/>
        <v>FALSE</v>
      </c>
      <c r="K562" t="str">
        <f t="shared" si="35"/>
        <v>subfunctionarea;mtascomdetailsservcontext;FALSE;subfunctionarea;mtascomdetailsservcontext;50</v>
      </c>
    </row>
    <row r="563" spans="1:11" x14ac:dyDescent="0.3">
      <c r="A563">
        <v>8</v>
      </c>
      <c r="B563" t="s">
        <v>130</v>
      </c>
      <c r="C563" t="s">
        <v>1090</v>
      </c>
      <c r="D563" t="b">
        <v>0</v>
      </c>
      <c r="E563" t="s">
        <v>130</v>
      </c>
      <c r="F563" t="s">
        <v>1090</v>
      </c>
      <c r="G563">
        <v>50</v>
      </c>
      <c r="H563" t="str">
        <f t="shared" si="32"/>
        <v>FALSE</v>
      </c>
      <c r="I563" t="str">
        <f t="shared" si="33"/>
        <v>FALSE</v>
      </c>
      <c r="J563" t="str">
        <f t="shared" si="34"/>
        <v>FALSE</v>
      </c>
      <c r="K563" t="str">
        <f t="shared" si="35"/>
        <v>subfunctionarea;mtascommondata;FALSE;subfunctionarea;mtascommondata;50</v>
      </c>
    </row>
    <row r="564" spans="1:11" x14ac:dyDescent="0.3">
      <c r="A564">
        <v>8</v>
      </c>
      <c r="B564" t="s">
        <v>130</v>
      </c>
      <c r="C564" t="s">
        <v>458</v>
      </c>
      <c r="D564" t="b">
        <v>0</v>
      </c>
      <c r="E564" t="s">
        <v>130</v>
      </c>
      <c r="F564" t="s">
        <v>458</v>
      </c>
      <c r="G564">
        <v>50</v>
      </c>
      <c r="H564" t="str">
        <f t="shared" si="32"/>
        <v>FALSE</v>
      </c>
      <c r="I564" t="str">
        <f t="shared" si="33"/>
        <v>FALSE</v>
      </c>
      <c r="J564" t="str">
        <f t="shared" si="34"/>
        <v>FALSE</v>
      </c>
      <c r="K564" t="str">
        <f t="shared" si="35"/>
        <v>subfunctionarea;mtascondetailsreportingtype;FALSE;subfunctionarea;mtascondetailsreportingtype;50</v>
      </c>
    </row>
    <row r="565" spans="1:11" x14ac:dyDescent="0.3">
      <c r="A565">
        <v>8</v>
      </c>
      <c r="B565" t="s">
        <v>130</v>
      </c>
      <c r="C565" t="s">
        <v>1089</v>
      </c>
      <c r="D565" t="b">
        <v>0</v>
      </c>
      <c r="E565" t="s">
        <v>130</v>
      </c>
      <c r="F565" t="s">
        <v>1089</v>
      </c>
      <c r="G565">
        <v>50</v>
      </c>
      <c r="H565" t="str">
        <f t="shared" si="32"/>
        <v>FALSE</v>
      </c>
      <c r="I565" t="str">
        <f t="shared" si="33"/>
        <v>FALSE</v>
      </c>
      <c r="J565" t="str">
        <f t="shared" si="34"/>
        <v>FALSE</v>
      </c>
      <c r="K565" t="str">
        <f t="shared" si="35"/>
        <v>subfunctionarea;mtascsi;FALSE;subfunctionarea;mtascsi;50</v>
      </c>
    </row>
    <row r="566" spans="1:11" x14ac:dyDescent="0.3">
      <c r="A566">
        <v>8</v>
      </c>
      <c r="B566" t="s">
        <v>130</v>
      </c>
      <c r="C566" t="s">
        <v>1088</v>
      </c>
      <c r="D566" t="b">
        <v>0</v>
      </c>
      <c r="E566" t="s">
        <v>130</v>
      </c>
      <c r="F566" t="s">
        <v>1088</v>
      </c>
      <c r="G566">
        <v>50</v>
      </c>
      <c r="H566" t="str">
        <f t="shared" si="32"/>
        <v>FALSE</v>
      </c>
      <c r="I566" t="str">
        <f t="shared" si="33"/>
        <v>FALSE</v>
      </c>
      <c r="J566" t="str">
        <f t="shared" si="34"/>
        <v>FALSE</v>
      </c>
      <c r="K566" t="str">
        <f t="shared" si="35"/>
        <v>subfunctionarea;mtascsiadministrativestate;FALSE;subfunctionarea;mtascsiadministrativestate;50</v>
      </c>
    </row>
    <row r="567" spans="1:11" x14ac:dyDescent="0.3">
      <c r="A567">
        <v>8</v>
      </c>
      <c r="B567" t="s">
        <v>130</v>
      </c>
      <c r="C567" t="s">
        <v>1087</v>
      </c>
      <c r="D567" t="b">
        <v>0</v>
      </c>
      <c r="E567" t="s">
        <v>130</v>
      </c>
      <c r="F567" t="s">
        <v>1087</v>
      </c>
      <c r="G567">
        <v>50</v>
      </c>
      <c r="H567" t="str">
        <f t="shared" si="32"/>
        <v>FALSE</v>
      </c>
      <c r="I567" t="str">
        <f t="shared" si="33"/>
        <v>FALSE</v>
      </c>
      <c r="J567" t="str">
        <f t="shared" si="34"/>
        <v>FALSE</v>
      </c>
      <c r="K567" t="str">
        <f t="shared" si="35"/>
        <v>subfunctionarea;mtascsiglobaltitle;FALSE;subfunctionarea;mtascsiglobaltitle;50</v>
      </c>
    </row>
    <row r="568" spans="1:11" x14ac:dyDescent="0.3">
      <c r="A568">
        <v>8</v>
      </c>
      <c r="B568" t="s">
        <v>130</v>
      </c>
      <c r="C568" t="s">
        <v>1086</v>
      </c>
      <c r="D568" t="b">
        <v>0</v>
      </c>
      <c r="E568" t="s">
        <v>130</v>
      </c>
      <c r="F568" t="s">
        <v>1086</v>
      </c>
      <c r="G568">
        <v>50</v>
      </c>
      <c r="H568" t="str">
        <f t="shared" si="32"/>
        <v>FALSE</v>
      </c>
      <c r="I568" t="str">
        <f t="shared" si="33"/>
        <v>FALSE</v>
      </c>
      <c r="J568" t="str">
        <f t="shared" si="34"/>
        <v>FALSE</v>
      </c>
      <c r="K568" t="str">
        <f t="shared" si="35"/>
        <v>subfunctionarea;mtascsiscfsubsystemnumber;FALSE;subfunctionarea;mtascsiscfsubsystemnumber;50</v>
      </c>
    </row>
    <row r="569" spans="1:11" x14ac:dyDescent="0.3">
      <c r="A569">
        <v>8</v>
      </c>
      <c r="B569" t="s">
        <v>130</v>
      </c>
      <c r="C569" t="s">
        <v>1085</v>
      </c>
      <c r="D569" t="b">
        <v>0</v>
      </c>
      <c r="E569" t="s">
        <v>130</v>
      </c>
      <c r="F569" t="s">
        <v>1085</v>
      </c>
      <c r="G569">
        <v>50</v>
      </c>
      <c r="H569" t="str">
        <f t="shared" si="32"/>
        <v>FALSE</v>
      </c>
      <c r="I569" t="str">
        <f t="shared" si="33"/>
        <v>FALSE</v>
      </c>
      <c r="J569" t="str">
        <f t="shared" si="34"/>
        <v>FALSE</v>
      </c>
      <c r="K569" t="str">
        <f t="shared" si="35"/>
        <v>subfunctionarea;mtascsissfsubsystemnumber;FALSE;subfunctionarea;mtascsissfsubsystemnumber;50</v>
      </c>
    </row>
    <row r="570" spans="1:11" x14ac:dyDescent="0.3">
      <c r="A570">
        <v>8</v>
      </c>
      <c r="B570" t="s">
        <v>130</v>
      </c>
      <c r="C570" t="s">
        <v>915</v>
      </c>
      <c r="D570" t="b">
        <v>0</v>
      </c>
      <c r="E570" t="s">
        <v>130</v>
      </c>
      <c r="F570" t="s">
        <v>915</v>
      </c>
      <c r="G570">
        <v>50</v>
      </c>
      <c r="H570" t="str">
        <f t="shared" si="32"/>
        <v>FALSE</v>
      </c>
      <c r="I570" t="str">
        <f t="shared" si="33"/>
        <v>FALSE</v>
      </c>
      <c r="J570" t="str">
        <f t="shared" si="34"/>
        <v>FALSE</v>
      </c>
      <c r="K570" t="str">
        <f t="shared" si="35"/>
        <v>subfunctionarea;mtasdns;FALSE;subfunctionarea;mtasdns;50</v>
      </c>
    </row>
    <row r="571" spans="1:11" x14ac:dyDescent="0.3">
      <c r="A571">
        <v>8</v>
      </c>
      <c r="B571" t="s">
        <v>130</v>
      </c>
      <c r="C571" t="s">
        <v>916</v>
      </c>
      <c r="D571" t="b">
        <v>0</v>
      </c>
      <c r="E571" t="s">
        <v>130</v>
      </c>
      <c r="F571" t="s">
        <v>916</v>
      </c>
      <c r="G571">
        <v>50</v>
      </c>
      <c r="H571" t="str">
        <f t="shared" si="32"/>
        <v>FALSE</v>
      </c>
      <c r="I571" t="str">
        <f t="shared" si="33"/>
        <v>FALSE</v>
      </c>
      <c r="J571" t="str">
        <f t="shared" si="34"/>
        <v>FALSE</v>
      </c>
      <c r="K571" t="str">
        <f t="shared" si="35"/>
        <v>subfunctionarea;mtasdnsmonitoringenabled;FALSE;subfunctionarea;mtasdnsmonitoringenabled;50</v>
      </c>
    </row>
    <row r="572" spans="1:11" x14ac:dyDescent="0.3">
      <c r="A572">
        <v>8</v>
      </c>
      <c r="B572" t="s">
        <v>130</v>
      </c>
      <c r="C572" t="s">
        <v>467</v>
      </c>
      <c r="D572" t="b">
        <v>0</v>
      </c>
      <c r="E572" t="s">
        <v>130</v>
      </c>
      <c r="F572" t="s">
        <v>467</v>
      </c>
      <c r="G572">
        <v>50</v>
      </c>
      <c r="H572" t="str">
        <f t="shared" si="32"/>
        <v>FALSE</v>
      </c>
      <c r="I572" t="str">
        <f t="shared" si="33"/>
        <v>FALSE</v>
      </c>
      <c r="J572" t="str">
        <f t="shared" si="34"/>
        <v>FALSE</v>
      </c>
      <c r="K572" t="str">
        <f t="shared" si="35"/>
        <v>subfunctionarea;mtasdxmsretryaftermaximum;FALSE;subfunctionarea;mtasdxmsretryaftermaximum;50</v>
      </c>
    </row>
    <row r="573" spans="1:11" x14ac:dyDescent="0.3">
      <c r="A573">
        <v>8</v>
      </c>
      <c r="B573" t="s">
        <v>130</v>
      </c>
      <c r="C573" t="s">
        <v>463</v>
      </c>
      <c r="D573" t="b">
        <v>0</v>
      </c>
      <c r="E573" t="s">
        <v>130</v>
      </c>
      <c r="F573" t="s">
        <v>463</v>
      </c>
      <c r="G573">
        <v>50</v>
      </c>
      <c r="H573" t="str">
        <f t="shared" si="32"/>
        <v>FALSE</v>
      </c>
      <c r="I573" t="str">
        <f t="shared" si="33"/>
        <v>FALSE</v>
      </c>
      <c r="J573" t="str">
        <f t="shared" si="34"/>
        <v>FALSE</v>
      </c>
      <c r="K573" t="str">
        <f t="shared" si="35"/>
        <v>subfunctionarea;mtasgls;FALSE;subfunctionarea;mtasgls;50</v>
      </c>
    </row>
    <row r="574" spans="1:11" x14ac:dyDescent="0.3">
      <c r="A574">
        <v>8</v>
      </c>
      <c r="B574" t="s">
        <v>130</v>
      </c>
      <c r="C574" t="s">
        <v>917</v>
      </c>
      <c r="D574" t="b">
        <v>0</v>
      </c>
      <c r="E574" t="s">
        <v>130</v>
      </c>
      <c r="F574" t="s">
        <v>917</v>
      </c>
      <c r="G574">
        <v>50</v>
      </c>
      <c r="H574" t="str">
        <f t="shared" si="32"/>
        <v>FALSE</v>
      </c>
      <c r="I574" t="str">
        <f t="shared" si="33"/>
        <v>FALSE</v>
      </c>
      <c r="J574" t="str">
        <f t="shared" si="34"/>
        <v>FALSE</v>
      </c>
      <c r="K574" t="str">
        <f t="shared" si="35"/>
        <v>subfunctionarea;mtashttp;FALSE;subfunctionarea;mtashttp;50</v>
      </c>
    </row>
    <row r="575" spans="1:11" x14ac:dyDescent="0.3">
      <c r="A575">
        <v>8</v>
      </c>
      <c r="B575" t="s">
        <v>130</v>
      </c>
      <c r="C575" t="s">
        <v>918</v>
      </c>
      <c r="D575" t="b">
        <v>0</v>
      </c>
      <c r="E575" t="s">
        <v>130</v>
      </c>
      <c r="F575" t="s">
        <v>918</v>
      </c>
      <c r="G575">
        <v>50</v>
      </c>
      <c r="H575" t="str">
        <f t="shared" si="32"/>
        <v>FALSE</v>
      </c>
      <c r="I575" t="str">
        <f t="shared" si="33"/>
        <v>FALSE</v>
      </c>
      <c r="J575" t="str">
        <f t="shared" si="34"/>
        <v>FALSE</v>
      </c>
      <c r="K575" t="str">
        <f t="shared" si="35"/>
        <v>subfunctionarea;mtashttprequesttimeout;FALSE;subfunctionarea;mtashttprequesttimeout;50</v>
      </c>
    </row>
    <row r="576" spans="1:11" x14ac:dyDescent="0.3">
      <c r="A576">
        <v>8</v>
      </c>
      <c r="B576" t="s">
        <v>130</v>
      </c>
      <c r="C576" t="s">
        <v>919</v>
      </c>
      <c r="D576" t="b">
        <v>0</v>
      </c>
      <c r="E576" t="s">
        <v>130</v>
      </c>
      <c r="F576" t="s">
        <v>919</v>
      </c>
      <c r="G576">
        <v>50</v>
      </c>
      <c r="H576" t="str">
        <f t="shared" si="32"/>
        <v>FALSE</v>
      </c>
      <c r="I576" t="str">
        <f t="shared" si="33"/>
        <v>FALSE</v>
      </c>
      <c r="J576" t="str">
        <f t="shared" si="34"/>
        <v>FALSE</v>
      </c>
      <c r="K576" t="str">
        <f t="shared" si="35"/>
        <v>subfunctionarea;mtaslicenses;FALSE;subfunctionarea;mtaslicenses;50</v>
      </c>
    </row>
    <row r="577" spans="1:11" x14ac:dyDescent="0.3">
      <c r="A577">
        <v>8</v>
      </c>
      <c r="B577" t="s">
        <v>130</v>
      </c>
      <c r="C577" t="s">
        <v>456</v>
      </c>
      <c r="D577" t="b">
        <v>0</v>
      </c>
      <c r="E577" t="s">
        <v>130</v>
      </c>
      <c r="F577" t="s">
        <v>456</v>
      </c>
      <c r="G577">
        <v>50</v>
      </c>
      <c r="H577" t="str">
        <f t="shared" si="32"/>
        <v>FALSE</v>
      </c>
      <c r="I577" t="str">
        <f t="shared" si="33"/>
        <v>FALSE</v>
      </c>
      <c r="J577" t="str">
        <f t="shared" si="34"/>
        <v>FALSE</v>
      </c>
      <c r="K577" t="str">
        <f t="shared" si="35"/>
        <v>subfunctionarea;mtasmediaframework;FALSE;subfunctionarea;mtasmediaframework;50</v>
      </c>
    </row>
    <row r="578" spans="1:11" x14ac:dyDescent="0.3">
      <c r="A578">
        <v>8</v>
      </c>
      <c r="B578" t="s">
        <v>130</v>
      </c>
      <c r="C578" t="s">
        <v>465</v>
      </c>
      <c r="D578" t="b">
        <v>0</v>
      </c>
      <c r="E578" t="s">
        <v>130</v>
      </c>
      <c r="F578" t="s">
        <v>465</v>
      </c>
      <c r="G578">
        <v>50</v>
      </c>
      <c r="H578" t="str">
        <f t="shared" ref="H578:H641" si="36">IF(LEN(C578)&gt;30,"TRUE","FALSE")</f>
        <v>FALSE</v>
      </c>
      <c r="I578" t="str">
        <f t="shared" ref="I578:I641" si="37">IF(LEN(F578)&gt;30,"TRUE","FALSE")</f>
        <v>FALSE</v>
      </c>
      <c r="J578" t="str">
        <f t="shared" ref="J578:J641" si="38">IF(G578&gt;50,"TRUE","FALSE")</f>
        <v>FALSE</v>
      </c>
      <c r="K578" t="str">
        <f t="shared" ref="K578:K641" si="39">CONCATENATE(B578,";",C578,";",D578,";",E578,";",F578,";",G578)</f>
        <v>subfunctionarea;mtasmrfc;FALSE;subfunctionarea;mtasmrfc;50</v>
      </c>
    </row>
    <row r="579" spans="1:11" x14ac:dyDescent="0.3">
      <c r="A579">
        <v>8</v>
      </c>
      <c r="B579" t="s">
        <v>130</v>
      </c>
      <c r="C579" t="s">
        <v>1084</v>
      </c>
      <c r="D579" t="b">
        <v>0</v>
      </c>
      <c r="E579" t="s">
        <v>130</v>
      </c>
      <c r="F579" t="s">
        <v>1084</v>
      </c>
      <c r="G579">
        <v>50</v>
      </c>
      <c r="H579" t="str">
        <f t="shared" si="36"/>
        <v>FALSE</v>
      </c>
      <c r="I579" t="str">
        <f t="shared" si="37"/>
        <v>FALSE</v>
      </c>
      <c r="J579" t="str">
        <f t="shared" si="38"/>
        <v>FALSE</v>
      </c>
      <c r="K579" t="str">
        <f t="shared" si="39"/>
        <v>subfunctionarea;mtaspx;FALSE;subfunctionarea;mtaspx;50</v>
      </c>
    </row>
    <row r="580" spans="1:11" x14ac:dyDescent="0.3">
      <c r="A580">
        <v>8</v>
      </c>
      <c r="B580" t="s">
        <v>130</v>
      </c>
      <c r="C580" t="s">
        <v>920</v>
      </c>
      <c r="D580" t="b">
        <v>0</v>
      </c>
      <c r="E580" t="s">
        <v>130</v>
      </c>
      <c r="F580" t="s">
        <v>920</v>
      </c>
      <c r="G580">
        <v>50</v>
      </c>
      <c r="H580" t="str">
        <f t="shared" si="36"/>
        <v>FALSE</v>
      </c>
      <c r="I580" t="str">
        <f t="shared" si="37"/>
        <v>FALSE</v>
      </c>
      <c r="J580" t="str">
        <f t="shared" si="38"/>
        <v>FALSE</v>
      </c>
      <c r="K580" t="str">
        <f t="shared" si="39"/>
        <v>subfunctionarea;mtasscaling;FALSE;subfunctionarea;mtasscaling;50</v>
      </c>
    </row>
    <row r="581" spans="1:11" x14ac:dyDescent="0.3">
      <c r="A581">
        <v>8</v>
      </c>
      <c r="B581" t="s">
        <v>130</v>
      </c>
      <c r="C581" t="s">
        <v>921</v>
      </c>
      <c r="D581" t="b">
        <v>0</v>
      </c>
      <c r="E581" t="s">
        <v>130</v>
      </c>
      <c r="F581" t="s">
        <v>921</v>
      </c>
      <c r="G581">
        <v>50</v>
      </c>
      <c r="H581" t="str">
        <f t="shared" si="36"/>
        <v>FALSE</v>
      </c>
      <c r="I581" t="str">
        <f t="shared" si="37"/>
        <v>FALSE</v>
      </c>
      <c r="J581" t="str">
        <f t="shared" si="38"/>
        <v>FALSE</v>
      </c>
      <c r="K581" t="str">
        <f t="shared" si="39"/>
        <v>subfunctionarea;mtasscalingscalein;FALSE;subfunctionarea;mtasscalingscalein;50</v>
      </c>
    </row>
    <row r="582" spans="1:11" x14ac:dyDescent="0.3">
      <c r="A582">
        <v>8</v>
      </c>
      <c r="B582" t="s">
        <v>130</v>
      </c>
      <c r="C582" t="s">
        <v>922</v>
      </c>
      <c r="D582" t="b">
        <v>0</v>
      </c>
      <c r="E582" t="s">
        <v>130</v>
      </c>
      <c r="F582" t="s">
        <v>922</v>
      </c>
      <c r="G582">
        <v>50</v>
      </c>
      <c r="H582" t="str">
        <f t="shared" si="36"/>
        <v>FALSE</v>
      </c>
      <c r="I582" t="str">
        <f t="shared" si="37"/>
        <v>FALSE</v>
      </c>
      <c r="J582" t="str">
        <f t="shared" si="38"/>
        <v>FALSE</v>
      </c>
      <c r="K582" t="str">
        <f t="shared" si="39"/>
        <v>subfunctionarea;mtasscalingscaleout;FALSE;subfunctionarea;mtasscalingscaleout;50</v>
      </c>
    </row>
    <row r="583" spans="1:11" x14ac:dyDescent="0.3">
      <c r="A583">
        <v>8</v>
      </c>
      <c r="B583" t="s">
        <v>130</v>
      </c>
      <c r="C583" t="s">
        <v>1083</v>
      </c>
      <c r="D583" t="b">
        <v>0</v>
      </c>
      <c r="E583" t="s">
        <v>130</v>
      </c>
      <c r="F583" t="s">
        <v>1083</v>
      </c>
      <c r="G583">
        <v>50</v>
      </c>
      <c r="H583" t="str">
        <f t="shared" si="36"/>
        <v>FALSE</v>
      </c>
      <c r="I583" t="str">
        <f t="shared" si="37"/>
        <v>FALSE</v>
      </c>
      <c r="J583" t="str">
        <f t="shared" si="38"/>
        <v>FALSE</v>
      </c>
      <c r="K583" t="str">
        <f t="shared" si="39"/>
        <v>subfunctionarea;mtasservices;FALSE;subfunctionarea;mtasservices;50</v>
      </c>
    </row>
    <row r="584" spans="1:11" x14ac:dyDescent="0.3">
      <c r="A584">
        <v>8</v>
      </c>
      <c r="B584" t="s">
        <v>130</v>
      </c>
      <c r="C584" t="s">
        <v>1082</v>
      </c>
      <c r="D584" t="b">
        <v>0</v>
      </c>
      <c r="E584" t="s">
        <v>130</v>
      </c>
      <c r="F584" t="s">
        <v>1082</v>
      </c>
      <c r="G584">
        <v>50</v>
      </c>
      <c r="H584" t="str">
        <f t="shared" si="36"/>
        <v>FALSE</v>
      </c>
      <c r="I584" t="str">
        <f t="shared" si="37"/>
        <v>FALSE</v>
      </c>
      <c r="J584" t="str">
        <f t="shared" si="38"/>
        <v>FALSE</v>
      </c>
      <c r="K584" t="str">
        <f t="shared" si="39"/>
        <v>subfunctionarea;mtassh;FALSE;subfunctionarea;mtassh;50</v>
      </c>
    </row>
    <row r="585" spans="1:11" x14ac:dyDescent="0.3">
      <c r="A585">
        <v>8</v>
      </c>
      <c r="B585" t="s">
        <v>130</v>
      </c>
      <c r="C585" t="s">
        <v>1081</v>
      </c>
      <c r="D585" t="b">
        <v>0</v>
      </c>
      <c r="E585" t="s">
        <v>130</v>
      </c>
      <c r="F585" t="s">
        <v>1081</v>
      </c>
      <c r="G585">
        <v>50</v>
      </c>
      <c r="H585" t="str">
        <f t="shared" si="36"/>
        <v>FALSE</v>
      </c>
      <c r="I585" t="str">
        <f t="shared" si="37"/>
        <v>FALSE</v>
      </c>
      <c r="J585" t="str">
        <f t="shared" si="38"/>
        <v>FALSE</v>
      </c>
      <c r="K585" t="str">
        <f t="shared" si="39"/>
        <v>subfunctionarea;mtassip;FALSE;subfunctionarea;mtassip;50</v>
      </c>
    </row>
    <row r="586" spans="1:11" x14ac:dyDescent="0.3">
      <c r="A586">
        <v>8</v>
      </c>
      <c r="B586" t="s">
        <v>130</v>
      </c>
      <c r="C586" t="s">
        <v>923</v>
      </c>
      <c r="D586" t="b">
        <v>0</v>
      </c>
      <c r="E586" t="s">
        <v>130</v>
      </c>
      <c r="F586" t="s">
        <v>923</v>
      </c>
      <c r="G586">
        <v>50</v>
      </c>
      <c r="H586" t="str">
        <f t="shared" si="36"/>
        <v>FALSE</v>
      </c>
      <c r="I586" t="str">
        <f t="shared" si="37"/>
        <v>FALSE</v>
      </c>
      <c r="J586" t="str">
        <f t="shared" si="38"/>
        <v>FALSE</v>
      </c>
      <c r="K586" t="str">
        <f t="shared" si="39"/>
        <v>subfunctionarea;mtassipasgenericport;FALSE;subfunctionarea;mtassipasgenericport;50</v>
      </c>
    </row>
    <row r="587" spans="1:11" x14ac:dyDescent="0.3">
      <c r="A587">
        <v>8</v>
      </c>
      <c r="B587" t="s">
        <v>130</v>
      </c>
      <c r="C587" t="s">
        <v>1080</v>
      </c>
      <c r="D587" t="b">
        <v>0</v>
      </c>
      <c r="E587" t="s">
        <v>130</v>
      </c>
      <c r="F587" t="s">
        <v>1080</v>
      </c>
      <c r="G587">
        <v>50</v>
      </c>
      <c r="H587" t="str">
        <f t="shared" si="36"/>
        <v>FALSE</v>
      </c>
      <c r="I587" t="str">
        <f t="shared" si="37"/>
        <v>FALSE</v>
      </c>
      <c r="J587" t="str">
        <f t="shared" si="38"/>
        <v>FALSE</v>
      </c>
      <c r="K587" t="str">
        <f t="shared" si="39"/>
        <v>subfunctionarea;mtassipcalloutOfbluerouting;FALSE;subfunctionarea;mtassipcalloutOfbluerouting;50</v>
      </c>
    </row>
    <row r="588" spans="1:11" x14ac:dyDescent="0.3">
      <c r="A588">
        <v>8</v>
      </c>
      <c r="B588" t="s">
        <v>130</v>
      </c>
      <c r="C588" t="s">
        <v>440</v>
      </c>
      <c r="D588" t="b">
        <v>0</v>
      </c>
      <c r="E588" t="s">
        <v>130</v>
      </c>
      <c r="F588" t="s">
        <v>440</v>
      </c>
      <c r="G588">
        <v>50</v>
      </c>
      <c r="H588" t="str">
        <f t="shared" si="36"/>
        <v>FALSE</v>
      </c>
      <c r="I588" t="str">
        <f t="shared" si="37"/>
        <v>FALSE</v>
      </c>
      <c r="J588" t="str">
        <f t="shared" si="38"/>
        <v>FALSE</v>
      </c>
      <c r="K588" t="str">
        <f t="shared" si="39"/>
        <v>subfunctionarea;mtassipcnameport;FALSE;subfunctionarea;mtassipcnameport;50</v>
      </c>
    </row>
    <row r="589" spans="1:11" x14ac:dyDescent="0.3">
      <c r="A589">
        <v>8</v>
      </c>
      <c r="B589" t="s">
        <v>130</v>
      </c>
      <c r="C589" t="s">
        <v>450</v>
      </c>
      <c r="D589" t="b">
        <v>0</v>
      </c>
      <c r="E589" t="s">
        <v>130</v>
      </c>
      <c r="F589" t="s">
        <v>450</v>
      </c>
      <c r="G589">
        <v>50</v>
      </c>
      <c r="H589" t="str">
        <f t="shared" si="36"/>
        <v>FALSE</v>
      </c>
      <c r="I589" t="str">
        <f t="shared" si="37"/>
        <v>FALSE</v>
      </c>
      <c r="J589" t="str">
        <f t="shared" si="38"/>
        <v>FALSE</v>
      </c>
      <c r="K589" t="str">
        <f t="shared" si="39"/>
        <v>subfunctionarea;mtassipdefaultminse;FALSE;subfunctionarea;mtassipdefaultminse;50</v>
      </c>
    </row>
    <row r="590" spans="1:11" x14ac:dyDescent="0.3">
      <c r="A590">
        <v>8</v>
      </c>
      <c r="B590" t="s">
        <v>130</v>
      </c>
      <c r="C590" t="s">
        <v>449</v>
      </c>
      <c r="D590" t="b">
        <v>0</v>
      </c>
      <c r="E590" t="s">
        <v>130</v>
      </c>
      <c r="F590" t="s">
        <v>449</v>
      </c>
      <c r="G590">
        <v>50</v>
      </c>
      <c r="H590" t="str">
        <f t="shared" si="36"/>
        <v>FALSE</v>
      </c>
      <c r="I590" t="str">
        <f t="shared" si="37"/>
        <v>FALSE</v>
      </c>
      <c r="J590" t="str">
        <f t="shared" si="38"/>
        <v>FALSE</v>
      </c>
      <c r="K590" t="str">
        <f t="shared" si="39"/>
        <v>subfunctionarea;mtassipdefaultsessionexpiry;FALSE;subfunctionarea;mtassipdefaultsessionexpiry;50</v>
      </c>
    </row>
    <row r="591" spans="1:11" x14ac:dyDescent="0.3">
      <c r="A591">
        <v>8</v>
      </c>
      <c r="B591" t="s">
        <v>130</v>
      </c>
      <c r="C591" t="s">
        <v>1079</v>
      </c>
      <c r="D591" t="b">
        <v>0</v>
      </c>
      <c r="E591" t="s">
        <v>130</v>
      </c>
      <c r="F591" t="s">
        <v>1079</v>
      </c>
      <c r="G591">
        <v>50</v>
      </c>
      <c r="H591" t="str">
        <f t="shared" si="36"/>
        <v>FALSE</v>
      </c>
      <c r="I591" t="str">
        <f t="shared" si="37"/>
        <v>FALSE</v>
      </c>
      <c r="J591" t="str">
        <f t="shared" si="38"/>
        <v>FALSE</v>
      </c>
      <c r="K591" t="str">
        <f t="shared" si="39"/>
        <v>subfunctionarea;mtassipdisablelargemsgcheck;FALSE;subfunctionarea;mtassipdisablelargemsgcheck;50</v>
      </c>
    </row>
    <row r="592" spans="1:11" x14ac:dyDescent="0.3">
      <c r="A592">
        <v>8</v>
      </c>
      <c r="B592" t="s">
        <v>130</v>
      </c>
      <c r="C592" t="s">
        <v>442</v>
      </c>
      <c r="D592" t="b">
        <v>0</v>
      </c>
      <c r="E592" t="s">
        <v>130</v>
      </c>
      <c r="F592" t="s">
        <v>442</v>
      </c>
      <c r="G592">
        <v>50</v>
      </c>
      <c r="H592" t="str">
        <f t="shared" si="36"/>
        <v>FALSE</v>
      </c>
      <c r="I592" t="str">
        <f t="shared" si="37"/>
        <v>FALSE</v>
      </c>
      <c r="J592" t="str">
        <f t="shared" si="38"/>
        <v>FALSE</v>
      </c>
      <c r="K592" t="str">
        <f t="shared" si="39"/>
        <v>subfunctionarea;mtassipfailovertimeinvite;FALSE;subfunctionarea;mtassipfailovertimeinvite;50</v>
      </c>
    </row>
    <row r="593" spans="1:11" x14ac:dyDescent="0.3">
      <c r="A593">
        <v>8</v>
      </c>
      <c r="B593" t="s">
        <v>130</v>
      </c>
      <c r="C593" t="s">
        <v>446</v>
      </c>
      <c r="D593" t="b">
        <v>0</v>
      </c>
      <c r="E593" t="s">
        <v>130</v>
      </c>
      <c r="F593" t="s">
        <v>446</v>
      </c>
      <c r="G593">
        <v>50</v>
      </c>
      <c r="H593" t="str">
        <f t="shared" si="36"/>
        <v>FALSE</v>
      </c>
      <c r="I593" t="str">
        <f t="shared" si="37"/>
        <v>FALSE</v>
      </c>
      <c r="J593" t="str">
        <f t="shared" si="38"/>
        <v>FALSE</v>
      </c>
      <c r="K593" t="str">
        <f t="shared" si="39"/>
        <v>subfunctionarea;mtassipfailovertimenoninvite;FALSE;subfunctionarea;mtassipfailovertimenoninvite;50</v>
      </c>
    </row>
    <row r="594" spans="1:11" x14ac:dyDescent="0.3">
      <c r="A594">
        <v>8</v>
      </c>
      <c r="B594" t="s">
        <v>130</v>
      </c>
      <c r="C594" t="s">
        <v>1078</v>
      </c>
      <c r="D594" t="b">
        <v>0</v>
      </c>
      <c r="E594" t="s">
        <v>130</v>
      </c>
      <c r="F594" t="s">
        <v>1078</v>
      </c>
      <c r="G594">
        <v>50</v>
      </c>
      <c r="H594" t="str">
        <f t="shared" si="36"/>
        <v>FALSE</v>
      </c>
      <c r="I594" t="str">
        <f t="shared" si="37"/>
        <v>FALSE</v>
      </c>
      <c r="J594" t="str">
        <f t="shared" si="38"/>
        <v>FALSE</v>
      </c>
      <c r="K594" t="str">
        <f t="shared" si="39"/>
        <v>subfunctionarea;mtassipicscfname;FALSE;subfunctionarea;mtassipicscfname;50</v>
      </c>
    </row>
    <row r="595" spans="1:11" x14ac:dyDescent="0.3">
      <c r="A595">
        <v>8</v>
      </c>
      <c r="B595" t="s">
        <v>130</v>
      </c>
      <c r="C595" t="s">
        <v>924</v>
      </c>
      <c r="D595" t="b">
        <v>0</v>
      </c>
      <c r="E595" t="s">
        <v>130</v>
      </c>
      <c r="F595" t="s">
        <v>924</v>
      </c>
      <c r="G595">
        <v>50</v>
      </c>
      <c r="H595" t="str">
        <f t="shared" si="36"/>
        <v>FALSE</v>
      </c>
      <c r="I595" t="str">
        <f t="shared" si="37"/>
        <v>FALSE</v>
      </c>
      <c r="J595" t="str">
        <f t="shared" si="38"/>
        <v>FALSE</v>
      </c>
      <c r="K595" t="str">
        <f t="shared" si="39"/>
        <v>subfunctionarea;mtassipipaddresslist;FALSE;subfunctionarea;mtassipipaddresslist;50</v>
      </c>
    </row>
    <row r="596" spans="1:11" x14ac:dyDescent="0.3">
      <c r="A596">
        <v>8</v>
      </c>
      <c r="B596" t="s">
        <v>130</v>
      </c>
      <c r="C596" t="s">
        <v>455</v>
      </c>
      <c r="D596" t="b">
        <v>0</v>
      </c>
      <c r="E596" t="s">
        <v>130</v>
      </c>
      <c r="F596" t="s">
        <v>455</v>
      </c>
      <c r="G596">
        <v>50</v>
      </c>
      <c r="H596" t="str">
        <f t="shared" si="36"/>
        <v>FALSE</v>
      </c>
      <c r="I596" t="str">
        <f t="shared" si="37"/>
        <v>FALSE</v>
      </c>
      <c r="J596" t="str">
        <f t="shared" si="38"/>
        <v>FALSE</v>
      </c>
      <c r="K596" t="str">
        <f t="shared" si="39"/>
        <v>subfunctionarea;mtassipipdscpmarking;FALSE;subfunctionarea;mtassipipdscpmarking;50</v>
      </c>
    </row>
    <row r="597" spans="1:11" x14ac:dyDescent="0.3">
      <c r="A597">
        <v>8</v>
      </c>
      <c r="B597" t="s">
        <v>130</v>
      </c>
      <c r="C597" t="s">
        <v>925</v>
      </c>
      <c r="D597" t="b">
        <v>0</v>
      </c>
      <c r="E597" t="s">
        <v>130</v>
      </c>
      <c r="F597" t="s">
        <v>925</v>
      </c>
      <c r="G597">
        <v>50</v>
      </c>
      <c r="H597" t="str">
        <f t="shared" si="36"/>
        <v>FALSE</v>
      </c>
      <c r="I597" t="str">
        <f t="shared" si="37"/>
        <v>FALSE</v>
      </c>
      <c r="J597" t="str">
        <f t="shared" si="38"/>
        <v>FALSE</v>
      </c>
      <c r="K597" t="str">
        <f t="shared" si="39"/>
        <v>subfunctionarea;mtassipipdscpprioritymarking;FALSE;subfunctionarea;mtassipipdscpprioritymarking;50</v>
      </c>
    </row>
    <row r="598" spans="1:11" x14ac:dyDescent="0.3">
      <c r="A598">
        <v>8</v>
      </c>
      <c r="B598" t="s">
        <v>130</v>
      </c>
      <c r="C598" t="s">
        <v>436</v>
      </c>
      <c r="D598" t="b">
        <v>0</v>
      </c>
      <c r="E598" t="s">
        <v>130</v>
      </c>
      <c r="F598" t="s">
        <v>436</v>
      </c>
      <c r="G598">
        <v>50</v>
      </c>
      <c r="H598" t="str">
        <f t="shared" si="36"/>
        <v>FALSE</v>
      </c>
      <c r="I598" t="str">
        <f t="shared" si="37"/>
        <v>FALSE</v>
      </c>
      <c r="J598" t="str">
        <f t="shared" si="38"/>
        <v>FALSE</v>
      </c>
      <c r="K598" t="str">
        <f t="shared" si="39"/>
        <v>subfunctionarea;mtassipipversion;FALSE;subfunctionarea;mtassipipversion;50</v>
      </c>
    </row>
    <row r="599" spans="1:11" x14ac:dyDescent="0.3">
      <c r="A599">
        <v>8</v>
      </c>
      <c r="B599" t="s">
        <v>130</v>
      </c>
      <c r="C599" t="s">
        <v>926</v>
      </c>
      <c r="D599" t="b">
        <v>0</v>
      </c>
      <c r="E599" t="s">
        <v>130</v>
      </c>
      <c r="F599" t="s">
        <v>926</v>
      </c>
      <c r="G599">
        <v>50</v>
      </c>
      <c r="H599" t="str">
        <f t="shared" si="36"/>
        <v>FALSE</v>
      </c>
      <c r="I599" t="str">
        <f t="shared" si="37"/>
        <v>FALSE</v>
      </c>
      <c r="J599" t="str">
        <f t="shared" si="38"/>
        <v>FALSE</v>
      </c>
      <c r="K599" t="str">
        <f t="shared" si="39"/>
        <v>subfunctionarea;mtassipipversionpreference;FALSE;subfunctionarea;mtassipipversionpreference;50</v>
      </c>
    </row>
    <row r="600" spans="1:11" x14ac:dyDescent="0.3">
      <c r="A600">
        <v>8</v>
      </c>
      <c r="B600" t="s">
        <v>130</v>
      </c>
      <c r="C600" t="s">
        <v>437</v>
      </c>
      <c r="D600" t="b">
        <v>0</v>
      </c>
      <c r="E600" t="s">
        <v>130</v>
      </c>
      <c r="F600" t="s">
        <v>437</v>
      </c>
      <c r="G600">
        <v>100</v>
      </c>
      <c r="H600" t="str">
        <f t="shared" si="36"/>
        <v>FALSE</v>
      </c>
      <c r="I600" t="str">
        <f t="shared" si="37"/>
        <v>FALSE</v>
      </c>
      <c r="J600" t="str">
        <f t="shared" si="38"/>
        <v>TRUE</v>
      </c>
      <c r="K600" t="str">
        <f t="shared" si="39"/>
        <v>subfunctionarea;mtassipoptionsuri;FALSE;subfunctionarea;mtassipoptionsuri;100</v>
      </c>
    </row>
    <row r="601" spans="1:11" x14ac:dyDescent="0.3">
      <c r="A601">
        <v>8</v>
      </c>
      <c r="B601" t="s">
        <v>130</v>
      </c>
      <c r="C601" t="s">
        <v>444</v>
      </c>
      <c r="D601" t="b">
        <v>0</v>
      </c>
      <c r="E601" t="s">
        <v>130</v>
      </c>
      <c r="F601" t="s">
        <v>444</v>
      </c>
      <c r="G601">
        <v>50</v>
      </c>
      <c r="H601" t="str">
        <f t="shared" si="36"/>
        <v>FALSE</v>
      </c>
      <c r="I601" t="str">
        <f t="shared" si="37"/>
        <v>FALSE</v>
      </c>
      <c r="J601" t="str">
        <f t="shared" si="38"/>
        <v>FALSE</v>
      </c>
      <c r="K601" t="str">
        <f t="shared" si="39"/>
        <v>subfunctionarea;mtassiporiginatingaschaining;FALSE;subfunctionarea;mtassiporiginatingaschaining;50</v>
      </c>
    </row>
    <row r="602" spans="1:11" x14ac:dyDescent="0.3">
      <c r="A602">
        <v>8</v>
      </c>
      <c r="B602" t="s">
        <v>130</v>
      </c>
      <c r="C602" t="s">
        <v>1077</v>
      </c>
      <c r="D602" t="b">
        <v>0</v>
      </c>
      <c r="E602" t="s">
        <v>130</v>
      </c>
      <c r="F602" t="s">
        <v>1077</v>
      </c>
      <c r="G602">
        <v>50</v>
      </c>
      <c r="H602" t="str">
        <f t="shared" si="36"/>
        <v>FALSE</v>
      </c>
      <c r="I602" t="str">
        <f t="shared" si="37"/>
        <v>FALSE</v>
      </c>
      <c r="J602" t="str">
        <f t="shared" si="38"/>
        <v>FALSE</v>
      </c>
      <c r="K602" t="str">
        <f t="shared" si="39"/>
        <v>subfunctionarea;mtassippresenceport;FALSE;subfunctionarea;mtassippresenceport;50</v>
      </c>
    </row>
    <row r="603" spans="1:11" x14ac:dyDescent="0.3">
      <c r="A603">
        <v>8</v>
      </c>
      <c r="B603" t="s">
        <v>130</v>
      </c>
      <c r="C603" t="s">
        <v>452</v>
      </c>
      <c r="D603" t="b">
        <v>0</v>
      </c>
      <c r="E603" t="s">
        <v>130</v>
      </c>
      <c r="F603" t="s">
        <v>452</v>
      </c>
      <c r="G603">
        <v>50</v>
      </c>
      <c r="H603" t="str">
        <f t="shared" si="36"/>
        <v>FALSE</v>
      </c>
      <c r="I603" t="str">
        <f t="shared" si="37"/>
        <v>FALSE</v>
      </c>
      <c r="J603" t="str">
        <f t="shared" si="38"/>
        <v>FALSE</v>
      </c>
      <c r="K603" t="str">
        <f t="shared" si="39"/>
        <v>subfunctionarea;mtassipprotocolmtasorigcall;FALSE;subfunctionarea;mtassipprotocolmtasorigcall;50</v>
      </c>
    </row>
    <row r="604" spans="1:11" x14ac:dyDescent="0.3">
      <c r="A604">
        <v>8</v>
      </c>
      <c r="B604" t="s">
        <v>130</v>
      </c>
      <c r="C604" t="s">
        <v>451</v>
      </c>
      <c r="D604" t="b">
        <v>0</v>
      </c>
      <c r="E604" t="s">
        <v>130</v>
      </c>
      <c r="F604" t="s">
        <v>451</v>
      </c>
      <c r="G604">
        <v>50</v>
      </c>
      <c r="H604" t="str">
        <f t="shared" si="36"/>
        <v>FALSE</v>
      </c>
      <c r="I604" t="str">
        <f t="shared" si="37"/>
        <v>FALSE</v>
      </c>
      <c r="J604" t="str">
        <f t="shared" si="38"/>
        <v>FALSE</v>
      </c>
      <c r="K604" t="str">
        <f t="shared" si="39"/>
        <v>subfunctionarea;mtassippsiport;FALSE;subfunctionarea;mtassippsiport;50</v>
      </c>
    </row>
    <row r="605" spans="1:11" x14ac:dyDescent="0.3">
      <c r="A605">
        <v>8</v>
      </c>
      <c r="B605" t="s">
        <v>130</v>
      </c>
      <c r="C605" t="s">
        <v>927</v>
      </c>
      <c r="D605" t="b">
        <v>0</v>
      </c>
      <c r="E605" t="s">
        <v>130</v>
      </c>
      <c r="F605" t="s">
        <v>927</v>
      </c>
      <c r="G605">
        <v>50</v>
      </c>
      <c r="H605" t="str">
        <f t="shared" si="36"/>
        <v>FALSE</v>
      </c>
      <c r="I605" t="str">
        <f t="shared" si="37"/>
        <v>FALSE</v>
      </c>
      <c r="J605" t="str">
        <f t="shared" si="38"/>
        <v>FALSE</v>
      </c>
      <c r="K605" t="str">
        <f t="shared" si="39"/>
        <v>subfunctionarea;mtassipretryaftersupport;FALSE;subfunctionarea;mtassipretryaftersupport;50</v>
      </c>
    </row>
    <row r="606" spans="1:11" x14ac:dyDescent="0.3">
      <c r="A606">
        <v>8</v>
      </c>
      <c r="B606" t="s">
        <v>130</v>
      </c>
      <c r="C606" t="s">
        <v>928</v>
      </c>
      <c r="D606" t="b">
        <v>0</v>
      </c>
      <c r="E606" t="s">
        <v>130</v>
      </c>
      <c r="F606" t="s">
        <v>928</v>
      </c>
      <c r="G606">
        <v>50</v>
      </c>
      <c r="H606" t="str">
        <f t="shared" si="36"/>
        <v>FALSE</v>
      </c>
      <c r="I606" t="str">
        <f t="shared" si="37"/>
        <v>FALSE</v>
      </c>
      <c r="J606" t="str">
        <f t="shared" si="38"/>
        <v>FALSE</v>
      </c>
      <c r="K606" t="str">
        <f t="shared" si="39"/>
        <v>subfunctionarea;mtassipretryaftertime;FALSE;subfunctionarea;mtassipretryaftertime;50</v>
      </c>
    </row>
    <row r="607" spans="1:11" x14ac:dyDescent="0.3">
      <c r="A607">
        <v>8</v>
      </c>
      <c r="B607" t="s">
        <v>130</v>
      </c>
      <c r="C607" t="s">
        <v>1076</v>
      </c>
      <c r="D607" t="b">
        <v>0</v>
      </c>
      <c r="E607" t="s">
        <v>130</v>
      </c>
      <c r="F607" t="s">
        <v>1076</v>
      </c>
      <c r="G607">
        <v>50</v>
      </c>
      <c r="H607" t="str">
        <f t="shared" si="36"/>
        <v>FALSE</v>
      </c>
      <c r="I607" t="str">
        <f t="shared" si="37"/>
        <v>FALSE</v>
      </c>
      <c r="J607" t="str">
        <f t="shared" si="38"/>
        <v>FALSE</v>
      </c>
      <c r="K607" t="str">
        <f t="shared" si="39"/>
        <v>subfunctionarea;mtassiprsport;FALSE;subfunctionarea;mtassiprsport;50</v>
      </c>
    </row>
    <row r="608" spans="1:11" x14ac:dyDescent="0.3">
      <c r="A608">
        <v>8</v>
      </c>
      <c r="B608" t="s">
        <v>130</v>
      </c>
      <c r="C608" t="s">
        <v>438</v>
      </c>
      <c r="D608" t="b">
        <v>0</v>
      </c>
      <c r="E608" t="s">
        <v>130</v>
      </c>
      <c r="F608" t="s">
        <v>438</v>
      </c>
      <c r="G608">
        <v>50</v>
      </c>
      <c r="H608" t="str">
        <f t="shared" si="36"/>
        <v>FALSE</v>
      </c>
      <c r="I608" t="str">
        <f t="shared" si="37"/>
        <v>FALSE</v>
      </c>
      <c r="J608" t="str">
        <f t="shared" si="38"/>
        <v>FALSE</v>
      </c>
      <c r="K608" t="str">
        <f t="shared" si="39"/>
        <v>subfunctionarea;mtassipsccorigport;FALSE;subfunctionarea;mtassipsccorigport;50</v>
      </c>
    </row>
    <row r="609" spans="1:11" x14ac:dyDescent="0.3">
      <c r="A609">
        <v>8</v>
      </c>
      <c r="B609" t="s">
        <v>130</v>
      </c>
      <c r="C609" t="s">
        <v>445</v>
      </c>
      <c r="D609" t="b">
        <v>0</v>
      </c>
      <c r="E609" t="s">
        <v>130</v>
      </c>
      <c r="F609" t="s">
        <v>445</v>
      </c>
      <c r="G609">
        <v>50</v>
      </c>
      <c r="H609" t="str">
        <f t="shared" si="36"/>
        <v>FALSE</v>
      </c>
      <c r="I609" t="str">
        <f t="shared" si="37"/>
        <v>FALSE</v>
      </c>
      <c r="J609" t="str">
        <f t="shared" si="38"/>
        <v>FALSE</v>
      </c>
      <c r="K609" t="str">
        <f t="shared" si="39"/>
        <v>subfunctionarea;mtassipsccorigunregport;FALSE;subfunctionarea;mtassipsccorigunregport;50</v>
      </c>
    </row>
    <row r="610" spans="1:11" x14ac:dyDescent="0.3">
      <c r="A610">
        <v>8</v>
      </c>
      <c r="B610" t="s">
        <v>130</v>
      </c>
      <c r="C610" t="s">
        <v>1075</v>
      </c>
      <c r="D610" t="b">
        <v>0</v>
      </c>
      <c r="E610" t="s">
        <v>130</v>
      </c>
      <c r="F610" t="s">
        <v>1075</v>
      </c>
      <c r="G610">
        <v>50</v>
      </c>
      <c r="H610" t="str">
        <f t="shared" si="36"/>
        <v>FALSE</v>
      </c>
      <c r="I610" t="str">
        <f t="shared" si="37"/>
        <v>FALSE</v>
      </c>
      <c r="J610" t="str">
        <f t="shared" si="38"/>
        <v>FALSE</v>
      </c>
      <c r="K610" t="str">
        <f t="shared" si="39"/>
        <v>subfunctionarea;mtassipscctermport;FALSE;subfunctionarea;mtassipscctermport;50</v>
      </c>
    </row>
    <row r="611" spans="1:11" x14ac:dyDescent="0.3">
      <c r="A611">
        <v>8</v>
      </c>
      <c r="B611" t="s">
        <v>130</v>
      </c>
      <c r="C611" t="s">
        <v>447</v>
      </c>
      <c r="D611" t="b">
        <v>0</v>
      </c>
      <c r="E611" t="s">
        <v>130</v>
      </c>
      <c r="F611" t="s">
        <v>447</v>
      </c>
      <c r="G611">
        <v>50</v>
      </c>
      <c r="H611" t="str">
        <f t="shared" si="36"/>
        <v>FALSE</v>
      </c>
      <c r="I611" t="str">
        <f t="shared" si="37"/>
        <v>FALSE</v>
      </c>
      <c r="J611" t="str">
        <f t="shared" si="38"/>
        <v>FALSE</v>
      </c>
      <c r="K611" t="str">
        <f t="shared" si="39"/>
        <v>subfunctionarea;mtassipscctermunregport;FALSE;subfunctionarea;mtassipscctermunregport;50</v>
      </c>
    </row>
    <row r="612" spans="1:11" x14ac:dyDescent="0.3">
      <c r="A612">
        <v>8</v>
      </c>
      <c r="B612" t="s">
        <v>130</v>
      </c>
      <c r="C612" t="s">
        <v>443</v>
      </c>
      <c r="D612" t="b">
        <v>0</v>
      </c>
      <c r="E612" t="s">
        <v>130</v>
      </c>
      <c r="F612" t="s">
        <v>443</v>
      </c>
      <c r="G612">
        <v>50</v>
      </c>
      <c r="H612" t="str">
        <f t="shared" si="36"/>
        <v>FALSE</v>
      </c>
      <c r="I612" t="str">
        <f t="shared" si="37"/>
        <v>FALSE</v>
      </c>
      <c r="J612" t="str">
        <f t="shared" si="38"/>
        <v>FALSE</v>
      </c>
      <c r="K612" t="str">
        <f t="shared" si="39"/>
        <v>subfunctionarea;mtassipsdpans200;FALSE;subfunctionarea;mtassipsdpans200;50</v>
      </c>
    </row>
    <row r="613" spans="1:11" x14ac:dyDescent="0.3">
      <c r="A613">
        <v>8</v>
      </c>
      <c r="B613" t="s">
        <v>130</v>
      </c>
      <c r="C613" t="s">
        <v>929</v>
      </c>
      <c r="D613" t="b">
        <v>0</v>
      </c>
      <c r="E613" t="s">
        <v>130</v>
      </c>
      <c r="F613" t="s">
        <v>929</v>
      </c>
      <c r="G613">
        <v>50</v>
      </c>
      <c r="H613" t="str">
        <f t="shared" si="36"/>
        <v>FALSE</v>
      </c>
      <c r="I613" t="str">
        <f t="shared" si="37"/>
        <v>FALSE</v>
      </c>
      <c r="J613" t="str">
        <f t="shared" si="38"/>
        <v>FALSE</v>
      </c>
      <c r="K613" t="str">
        <f t="shared" si="39"/>
        <v>subfunctionarea;mtassipsdpstrictmatching;FALSE;subfunctionarea;mtassipsdpstrictmatching;50</v>
      </c>
    </row>
    <row r="614" spans="1:11" x14ac:dyDescent="0.3">
      <c r="A614">
        <v>8</v>
      </c>
      <c r="B614" t="s">
        <v>130</v>
      </c>
      <c r="C614" t="s">
        <v>439</v>
      </c>
      <c r="D614" t="b">
        <v>0</v>
      </c>
      <c r="E614" t="s">
        <v>130</v>
      </c>
      <c r="F614" t="s">
        <v>439</v>
      </c>
      <c r="G614">
        <v>50</v>
      </c>
      <c r="H614" t="str">
        <f t="shared" si="36"/>
        <v>FALSE</v>
      </c>
      <c r="I614" t="str">
        <f t="shared" si="37"/>
        <v>FALSE</v>
      </c>
      <c r="J614" t="str">
        <f t="shared" si="38"/>
        <v>FALSE</v>
      </c>
      <c r="K614" t="str">
        <f t="shared" si="39"/>
        <v>subfunctionarea;mtassipserveruseragentheader;FALSE;subfunctionarea;mtassipserveruseragentheader;50</v>
      </c>
    </row>
    <row r="615" spans="1:11" x14ac:dyDescent="0.3">
      <c r="A615">
        <v>8</v>
      </c>
      <c r="B615" t="s">
        <v>130</v>
      </c>
      <c r="C615" t="s">
        <v>454</v>
      </c>
      <c r="D615" t="b">
        <v>0</v>
      </c>
      <c r="E615" t="s">
        <v>130</v>
      </c>
      <c r="F615" t="s">
        <v>454</v>
      </c>
      <c r="G615">
        <v>50</v>
      </c>
      <c r="H615" t="str">
        <f t="shared" si="36"/>
        <v>FALSE</v>
      </c>
      <c r="I615" t="str">
        <f t="shared" si="37"/>
        <v>FALSE</v>
      </c>
      <c r="J615" t="str">
        <f t="shared" si="38"/>
        <v>FALSE</v>
      </c>
      <c r="K615" t="str">
        <f t="shared" si="39"/>
        <v>subfunctionarea;mtassipstport;FALSE;subfunctionarea;mtassipstport;50</v>
      </c>
    </row>
    <row r="616" spans="1:11" x14ac:dyDescent="0.3">
      <c r="A616">
        <v>8</v>
      </c>
      <c r="B616" t="s">
        <v>130</v>
      </c>
      <c r="C616" t="s">
        <v>1074</v>
      </c>
      <c r="D616" t="b">
        <v>0</v>
      </c>
      <c r="E616" t="s">
        <v>130</v>
      </c>
      <c r="F616" t="s">
        <v>1074</v>
      </c>
      <c r="G616">
        <v>50</v>
      </c>
      <c r="H616" t="str">
        <f t="shared" si="36"/>
        <v>FALSE</v>
      </c>
      <c r="I616" t="str">
        <f t="shared" si="37"/>
        <v>FALSE</v>
      </c>
      <c r="J616" t="str">
        <f t="shared" si="38"/>
        <v>FALSE</v>
      </c>
      <c r="K616" t="str">
        <f t="shared" si="39"/>
        <v>subfunctionarea;mtassipsuperviseallsessions;FALSE;subfunctionarea;mtassipsuperviseallsessions;50</v>
      </c>
    </row>
    <row r="617" spans="1:11" x14ac:dyDescent="0.3">
      <c r="A617">
        <v>8</v>
      </c>
      <c r="B617" t="s">
        <v>130</v>
      </c>
      <c r="C617" t="s">
        <v>1073</v>
      </c>
      <c r="D617" t="b">
        <v>0</v>
      </c>
      <c r="E617" t="s">
        <v>130</v>
      </c>
      <c r="F617" t="s">
        <v>1073</v>
      </c>
      <c r="G617">
        <v>50</v>
      </c>
      <c r="H617" t="str">
        <f t="shared" si="36"/>
        <v>FALSE</v>
      </c>
      <c r="I617" t="str">
        <f t="shared" si="37"/>
        <v>FALSE</v>
      </c>
      <c r="J617" t="str">
        <f t="shared" si="38"/>
        <v>FALSE</v>
      </c>
      <c r="K617" t="str">
        <f t="shared" si="39"/>
        <v>subfunctionarea;mtassiptcpconnectiontimeout;FALSE;subfunctionarea;mtassiptcpconnectiontimeout;50</v>
      </c>
    </row>
    <row r="618" spans="1:11" x14ac:dyDescent="0.3">
      <c r="A618">
        <v>8</v>
      </c>
      <c r="B618" t="s">
        <v>130</v>
      </c>
      <c r="C618" t="s">
        <v>930</v>
      </c>
      <c r="D618" t="b">
        <v>0</v>
      </c>
      <c r="E618" t="s">
        <v>130</v>
      </c>
      <c r="F618" t="s">
        <v>930</v>
      </c>
      <c r="G618">
        <v>50</v>
      </c>
      <c r="H618" t="str">
        <f t="shared" si="36"/>
        <v>FALSE</v>
      </c>
      <c r="I618" t="str">
        <f t="shared" si="37"/>
        <v>FALSE</v>
      </c>
      <c r="J618" t="str">
        <f t="shared" si="38"/>
        <v>FALSE</v>
      </c>
      <c r="K618" t="str">
        <f t="shared" si="39"/>
        <v>subfunctionarea;mtassiptcpsessiondelayack;FALSE;subfunctionarea;mtassiptcpsessiondelayack;50</v>
      </c>
    </row>
    <row r="619" spans="1:11" x14ac:dyDescent="0.3">
      <c r="A619">
        <v>8</v>
      </c>
      <c r="B619" t="s">
        <v>130</v>
      </c>
      <c r="C619" t="s">
        <v>931</v>
      </c>
      <c r="D619" t="b">
        <v>0</v>
      </c>
      <c r="E619" t="s">
        <v>130</v>
      </c>
      <c r="F619" t="s">
        <v>931</v>
      </c>
      <c r="G619">
        <v>50</v>
      </c>
      <c r="H619" t="str">
        <f t="shared" si="36"/>
        <v>FALSE</v>
      </c>
      <c r="I619" t="str">
        <f t="shared" si="37"/>
        <v>FALSE</v>
      </c>
      <c r="J619" t="str">
        <f t="shared" si="38"/>
        <v>FALSE</v>
      </c>
      <c r="K619" t="str">
        <f t="shared" si="39"/>
        <v>subfunctionarea;mtassiptcpsessionnodelay;FALSE;subfunctionarea;mtassiptcpsessionnodelay;50</v>
      </c>
    </row>
    <row r="620" spans="1:11" x14ac:dyDescent="0.3">
      <c r="A620">
        <v>8</v>
      </c>
      <c r="B620" t="s">
        <v>130</v>
      </c>
      <c r="C620" t="s">
        <v>453</v>
      </c>
      <c r="D620" t="b">
        <v>0</v>
      </c>
      <c r="E620" t="s">
        <v>130</v>
      </c>
      <c r="F620" t="s">
        <v>453</v>
      </c>
      <c r="G620">
        <v>50</v>
      </c>
      <c r="H620" t="str">
        <f t="shared" si="36"/>
        <v>FALSE</v>
      </c>
      <c r="I620" t="str">
        <f t="shared" si="37"/>
        <v>FALSE</v>
      </c>
      <c r="J620" t="str">
        <f t="shared" si="38"/>
        <v>FALSE</v>
      </c>
      <c r="K620" t="str">
        <f t="shared" si="39"/>
        <v>subfunctionarea;mtassiptimerb;FALSE;subfunctionarea;mtassiptimerb;50</v>
      </c>
    </row>
    <row r="621" spans="1:11" x14ac:dyDescent="0.3">
      <c r="A621">
        <v>8</v>
      </c>
      <c r="B621" t="s">
        <v>130</v>
      </c>
      <c r="C621" t="s">
        <v>1072</v>
      </c>
      <c r="D621" t="b">
        <v>0</v>
      </c>
      <c r="E621" t="s">
        <v>130</v>
      </c>
      <c r="F621" t="s">
        <v>1072</v>
      </c>
      <c r="G621">
        <v>50</v>
      </c>
      <c r="H621" t="str">
        <f t="shared" si="36"/>
        <v>FALSE</v>
      </c>
      <c r="I621" t="str">
        <f t="shared" si="37"/>
        <v>FALSE</v>
      </c>
      <c r="J621" t="str">
        <f t="shared" si="38"/>
        <v>FALSE</v>
      </c>
      <c r="K621" t="str">
        <f t="shared" si="39"/>
        <v>subfunctionarea;mtassiptimerf;FALSE;subfunctionarea;mtassiptimerf;50</v>
      </c>
    </row>
    <row r="622" spans="1:11" x14ac:dyDescent="0.3">
      <c r="A622">
        <v>8</v>
      </c>
      <c r="B622" t="s">
        <v>130</v>
      </c>
      <c r="C622" t="s">
        <v>1071</v>
      </c>
      <c r="D622" t="b">
        <v>0</v>
      </c>
      <c r="E622" t="s">
        <v>130</v>
      </c>
      <c r="F622" t="s">
        <v>1071</v>
      </c>
      <c r="G622">
        <v>50</v>
      </c>
      <c r="H622" t="str">
        <f t="shared" si="36"/>
        <v>FALSE</v>
      </c>
      <c r="I622" t="str">
        <f t="shared" si="37"/>
        <v>FALSE</v>
      </c>
      <c r="J622" t="str">
        <f t="shared" si="38"/>
        <v>FALSE</v>
      </c>
      <c r="K622" t="str">
        <f t="shared" si="39"/>
        <v>subfunctionarea;mtassiptimert1;FALSE;subfunctionarea;mtassiptimert1;50</v>
      </c>
    </row>
    <row r="623" spans="1:11" x14ac:dyDescent="0.3">
      <c r="A623">
        <v>8</v>
      </c>
      <c r="B623" t="s">
        <v>130</v>
      </c>
      <c r="C623" t="s">
        <v>1070</v>
      </c>
      <c r="D623" t="b">
        <v>0</v>
      </c>
      <c r="E623" t="s">
        <v>130</v>
      </c>
      <c r="F623" t="s">
        <v>1070</v>
      </c>
      <c r="G623">
        <v>50</v>
      </c>
      <c r="H623" t="str">
        <f t="shared" si="36"/>
        <v>FALSE</v>
      </c>
      <c r="I623" t="str">
        <f t="shared" si="37"/>
        <v>FALSE</v>
      </c>
      <c r="J623" t="str">
        <f t="shared" si="38"/>
        <v>FALSE</v>
      </c>
      <c r="K623" t="str">
        <f t="shared" si="39"/>
        <v>subfunctionarea;mtassiptimert2;FALSE;subfunctionarea;mtassiptimert2;50</v>
      </c>
    </row>
    <row r="624" spans="1:11" x14ac:dyDescent="0.3">
      <c r="A624">
        <v>8</v>
      </c>
      <c r="B624" t="s">
        <v>130</v>
      </c>
      <c r="C624" t="s">
        <v>1069</v>
      </c>
      <c r="D624" t="b">
        <v>0</v>
      </c>
      <c r="E624" t="s">
        <v>130</v>
      </c>
      <c r="F624" t="s">
        <v>1069</v>
      </c>
      <c r="G624">
        <v>50</v>
      </c>
      <c r="H624" t="str">
        <f t="shared" si="36"/>
        <v>FALSE</v>
      </c>
      <c r="I624" t="str">
        <f t="shared" si="37"/>
        <v>FALSE</v>
      </c>
      <c r="J624" t="str">
        <f t="shared" si="38"/>
        <v>FALSE</v>
      </c>
      <c r="K624" t="str">
        <f t="shared" si="39"/>
        <v>subfunctionarea;mtassiptrafficorigunregipport;FALSE;subfunctionarea;mtassiptrafficorigunregipport;50</v>
      </c>
    </row>
    <row r="625" spans="1:11" x14ac:dyDescent="0.3">
      <c r="A625">
        <v>8</v>
      </c>
      <c r="B625" t="s">
        <v>130</v>
      </c>
      <c r="C625" t="s">
        <v>932</v>
      </c>
      <c r="D625" t="b">
        <v>0</v>
      </c>
      <c r="E625" t="s">
        <v>130</v>
      </c>
      <c r="F625" t="s">
        <v>932</v>
      </c>
      <c r="G625">
        <v>50</v>
      </c>
      <c r="H625" t="str">
        <f t="shared" si="36"/>
        <v>FALSE</v>
      </c>
      <c r="I625" t="str">
        <f t="shared" si="37"/>
        <v>FALSE</v>
      </c>
      <c r="J625" t="str">
        <f t="shared" si="38"/>
        <v>FALSE</v>
      </c>
      <c r="K625" t="str">
        <f t="shared" si="39"/>
        <v>subfunctionarea;mtassiptraffictermunregipport;FALSE;subfunctionarea;mtassiptraffictermunregipport;50</v>
      </c>
    </row>
    <row r="626" spans="1:11" x14ac:dyDescent="0.3">
      <c r="A626">
        <v>8</v>
      </c>
      <c r="B626" t="s">
        <v>130</v>
      </c>
      <c r="C626" t="s">
        <v>933</v>
      </c>
      <c r="D626" t="b">
        <v>0</v>
      </c>
      <c r="E626" t="s">
        <v>130</v>
      </c>
      <c r="F626" t="s">
        <v>933</v>
      </c>
      <c r="G626">
        <v>50</v>
      </c>
      <c r="H626" t="str">
        <f t="shared" si="36"/>
        <v>FALSE</v>
      </c>
      <c r="I626" t="str">
        <f t="shared" si="37"/>
        <v>FALSE</v>
      </c>
      <c r="J626" t="str">
        <f t="shared" si="38"/>
        <v>FALSE</v>
      </c>
      <c r="K626" t="str">
        <f t="shared" si="39"/>
        <v>subfunctionarea;mtassiptransparentearlybye;FALSE;subfunctionarea;mtassiptransparentearlybye;50</v>
      </c>
    </row>
    <row r="627" spans="1:11" x14ac:dyDescent="0.3">
      <c r="A627">
        <v>8</v>
      </c>
      <c r="B627" t="s">
        <v>130</v>
      </c>
      <c r="C627" t="s">
        <v>934</v>
      </c>
      <c r="D627" t="b">
        <v>0</v>
      </c>
      <c r="E627" t="s">
        <v>130</v>
      </c>
      <c r="F627" t="s">
        <v>934</v>
      </c>
      <c r="G627">
        <v>50</v>
      </c>
      <c r="H627" t="str">
        <f t="shared" si="36"/>
        <v>FALSE</v>
      </c>
      <c r="I627" t="str">
        <f t="shared" si="37"/>
        <v>FALSE</v>
      </c>
      <c r="J627" t="str">
        <f t="shared" si="38"/>
        <v>FALSE</v>
      </c>
      <c r="K627" t="str">
        <f t="shared" si="39"/>
        <v>subfunctionarea;mtassiptransparenttelcontact;FALSE;subfunctionarea;mtassiptransparenttelcontact;50</v>
      </c>
    </row>
    <row r="628" spans="1:11" x14ac:dyDescent="0.3">
      <c r="A628">
        <v>8</v>
      </c>
      <c r="B628" t="s">
        <v>130</v>
      </c>
      <c r="C628" t="s">
        <v>448</v>
      </c>
      <c r="D628" t="b">
        <v>0</v>
      </c>
      <c r="E628" t="s">
        <v>130</v>
      </c>
      <c r="F628" t="s">
        <v>448</v>
      </c>
      <c r="G628">
        <v>50</v>
      </c>
      <c r="H628" t="str">
        <f t="shared" si="36"/>
        <v>FALSE</v>
      </c>
      <c r="I628" t="str">
        <f t="shared" si="37"/>
        <v>FALSE</v>
      </c>
      <c r="J628" t="str">
        <f t="shared" si="38"/>
        <v>FALSE</v>
      </c>
      <c r="K628" t="str">
        <f t="shared" si="39"/>
        <v>subfunctionarea;mtassiptransportincontact;FALSE;subfunctionarea;mtassiptransportincontact;50</v>
      </c>
    </row>
    <row r="629" spans="1:11" x14ac:dyDescent="0.3">
      <c r="A629">
        <v>8</v>
      </c>
      <c r="B629" t="s">
        <v>130</v>
      </c>
      <c r="C629" t="s">
        <v>441</v>
      </c>
      <c r="D629" t="b">
        <v>0</v>
      </c>
      <c r="E629" t="s">
        <v>130</v>
      </c>
      <c r="F629" t="s">
        <v>441</v>
      </c>
      <c r="G629">
        <v>50</v>
      </c>
      <c r="H629" t="str">
        <f t="shared" si="36"/>
        <v>FALSE</v>
      </c>
      <c r="I629" t="str">
        <f t="shared" si="37"/>
        <v>FALSE</v>
      </c>
      <c r="J629" t="str">
        <f t="shared" si="38"/>
        <v>FALSE</v>
      </c>
      <c r="K629" t="str">
        <f t="shared" si="39"/>
        <v>subfunctionarea;mtassipuesessiontimersupport;FALSE;subfunctionarea;mtassipuesessiontimersupport;50</v>
      </c>
    </row>
    <row r="630" spans="1:11" x14ac:dyDescent="0.3">
      <c r="A630">
        <v>8</v>
      </c>
      <c r="B630" t="s">
        <v>130</v>
      </c>
      <c r="C630" t="s">
        <v>1068</v>
      </c>
      <c r="D630" t="b">
        <v>0</v>
      </c>
      <c r="E630" t="s">
        <v>130</v>
      </c>
      <c r="F630" t="s">
        <v>1068</v>
      </c>
      <c r="G630">
        <v>50</v>
      </c>
      <c r="H630" t="str">
        <f t="shared" si="36"/>
        <v>FALSE</v>
      </c>
      <c r="I630" t="str">
        <f t="shared" si="37"/>
        <v>FALSE</v>
      </c>
      <c r="J630" t="str">
        <f t="shared" si="38"/>
        <v>FALSE</v>
      </c>
      <c r="K630" t="str">
        <f t="shared" si="39"/>
        <v>subfunctionarea;mtassubsdata;FALSE;subfunctionarea;mtassubsdata;50</v>
      </c>
    </row>
    <row r="631" spans="1:11" x14ac:dyDescent="0.3">
      <c r="A631">
        <v>8</v>
      </c>
      <c r="B631" t="s">
        <v>130</v>
      </c>
      <c r="C631" t="s">
        <v>1067</v>
      </c>
      <c r="D631" t="b">
        <v>0</v>
      </c>
      <c r="E631" t="s">
        <v>130</v>
      </c>
      <c r="F631" t="s">
        <v>1067</v>
      </c>
      <c r="G631">
        <v>50</v>
      </c>
      <c r="H631" t="str">
        <f t="shared" si="36"/>
        <v>FALSE</v>
      </c>
      <c r="I631" t="str">
        <f t="shared" si="37"/>
        <v>FALSE</v>
      </c>
      <c r="J631" t="str">
        <f t="shared" si="38"/>
        <v>FALSE</v>
      </c>
      <c r="K631" t="str">
        <f t="shared" si="39"/>
        <v>subfunctionarea;mtassubsdatacachecontactdata;FALSE;subfunctionarea;mtassubsdatacachecontactdata;50</v>
      </c>
    </row>
    <row r="632" spans="1:11" x14ac:dyDescent="0.3">
      <c r="A632">
        <v>8</v>
      </c>
      <c r="B632" t="s">
        <v>130</v>
      </c>
      <c r="C632" t="s">
        <v>1066</v>
      </c>
      <c r="D632" t="b">
        <v>0</v>
      </c>
      <c r="E632" t="s">
        <v>130</v>
      </c>
      <c r="F632" t="s">
        <v>1066</v>
      </c>
      <c r="G632">
        <v>50</v>
      </c>
      <c r="H632" t="str">
        <f t="shared" si="36"/>
        <v>FALSE</v>
      </c>
      <c r="I632" t="str">
        <f t="shared" si="37"/>
        <v>FALSE</v>
      </c>
      <c r="J632" t="str">
        <f t="shared" si="38"/>
        <v>FALSE</v>
      </c>
      <c r="K632" t="str">
        <f t="shared" si="39"/>
        <v>subfunctionarea;mtassubsdatacachepani;FALSE;subfunctionarea;mtassubsdatacachepani;50</v>
      </c>
    </row>
    <row r="633" spans="1:11" x14ac:dyDescent="0.3">
      <c r="A633">
        <v>8</v>
      </c>
      <c r="B633" t="s">
        <v>130</v>
      </c>
      <c r="C633" t="s">
        <v>1065</v>
      </c>
      <c r="D633" t="b">
        <v>0</v>
      </c>
      <c r="E633" t="s">
        <v>130</v>
      </c>
      <c r="F633" t="s">
        <v>1065</v>
      </c>
      <c r="G633">
        <v>50</v>
      </c>
      <c r="H633" t="str">
        <f t="shared" si="36"/>
        <v>FALSE</v>
      </c>
      <c r="I633" t="str">
        <f t="shared" si="37"/>
        <v>FALSE</v>
      </c>
      <c r="J633" t="str">
        <f t="shared" si="38"/>
        <v>FALSE</v>
      </c>
      <c r="K633" t="str">
        <f t="shared" si="39"/>
        <v>subfunctionarea;mtassubsdatadefaultregtimer;FALSE;subfunctionarea;mtassubsdatadefaultregtimer;50</v>
      </c>
    </row>
    <row r="634" spans="1:11" x14ac:dyDescent="0.3">
      <c r="A634">
        <v>8</v>
      </c>
      <c r="B634" t="s">
        <v>130</v>
      </c>
      <c r="C634" t="s">
        <v>1064</v>
      </c>
      <c r="D634" t="b">
        <v>0</v>
      </c>
      <c r="E634" t="s">
        <v>130</v>
      </c>
      <c r="F634" t="s">
        <v>1064</v>
      </c>
      <c r="G634">
        <v>50</v>
      </c>
      <c r="H634" t="str">
        <f t="shared" si="36"/>
        <v>FALSE</v>
      </c>
      <c r="I634" t="str">
        <f t="shared" si="37"/>
        <v>FALSE</v>
      </c>
      <c r="J634" t="str">
        <f t="shared" si="38"/>
        <v>FALSE</v>
      </c>
      <c r="K634" t="str">
        <f t="shared" si="39"/>
        <v>subfunctionarea;mtassubsdataderegtimer;FALSE;subfunctionarea;mtassubsdataderegtimer;50</v>
      </c>
    </row>
    <row r="635" spans="1:11" x14ac:dyDescent="0.3">
      <c r="A635">
        <v>8</v>
      </c>
      <c r="B635" t="s">
        <v>130</v>
      </c>
      <c r="C635" t="s">
        <v>1063</v>
      </c>
      <c r="D635" t="b">
        <v>0</v>
      </c>
      <c r="E635" t="s">
        <v>130</v>
      </c>
      <c r="F635" t="s">
        <v>1063</v>
      </c>
      <c r="G635">
        <v>50</v>
      </c>
      <c r="H635" t="str">
        <f t="shared" si="36"/>
        <v>FALSE</v>
      </c>
      <c r="I635" t="str">
        <f t="shared" si="37"/>
        <v>FALSE</v>
      </c>
      <c r="J635" t="str">
        <f t="shared" si="38"/>
        <v>FALSE</v>
      </c>
      <c r="K635" t="str">
        <f t="shared" si="39"/>
        <v>subfunctionarea;mtassubsdatahssoverloadtimer;FALSE;subfunctionarea;mtassubsdatahssoverloadtimer;50</v>
      </c>
    </row>
    <row r="636" spans="1:11" x14ac:dyDescent="0.3">
      <c r="A636">
        <v>8</v>
      </c>
      <c r="B636" t="s">
        <v>130</v>
      </c>
      <c r="C636" t="s">
        <v>1062</v>
      </c>
      <c r="D636" t="b">
        <v>0</v>
      </c>
      <c r="E636" t="s">
        <v>130</v>
      </c>
      <c r="F636" t="s">
        <v>1062</v>
      </c>
      <c r="G636">
        <v>50</v>
      </c>
      <c r="H636" t="str">
        <f t="shared" si="36"/>
        <v>FALSE</v>
      </c>
      <c r="I636" t="str">
        <f t="shared" si="37"/>
        <v>FALSE</v>
      </c>
      <c r="J636" t="str">
        <f t="shared" si="38"/>
        <v>FALSE</v>
      </c>
      <c r="K636" t="str">
        <f t="shared" si="39"/>
        <v>subfunctionarea;mtassubsdatapinformat;FALSE;subfunctionarea;mtassubsdatapinformat;50</v>
      </c>
    </row>
    <row r="637" spans="1:11" x14ac:dyDescent="0.3">
      <c r="A637">
        <v>8</v>
      </c>
      <c r="B637" t="s">
        <v>130</v>
      </c>
      <c r="C637" t="s">
        <v>935</v>
      </c>
      <c r="D637" t="b">
        <v>0</v>
      </c>
      <c r="E637" t="s">
        <v>130</v>
      </c>
      <c r="F637" t="s">
        <v>935</v>
      </c>
      <c r="G637">
        <v>50</v>
      </c>
      <c r="H637" t="str">
        <f t="shared" si="36"/>
        <v>FALSE</v>
      </c>
      <c r="I637" t="str">
        <f t="shared" si="37"/>
        <v>FALSE</v>
      </c>
      <c r="J637" t="str">
        <f t="shared" si="38"/>
        <v>FALSE</v>
      </c>
      <c r="K637" t="str">
        <f t="shared" si="39"/>
        <v>subfunctionarea;mtassubsdataregeventnotifier;FALSE;subfunctionarea;mtassubsdataregeventnotifier;50</v>
      </c>
    </row>
    <row r="638" spans="1:11" x14ac:dyDescent="0.3">
      <c r="A638">
        <v>8</v>
      </c>
      <c r="B638" t="s">
        <v>130</v>
      </c>
      <c r="C638" t="s">
        <v>1061</v>
      </c>
      <c r="D638" t="b">
        <v>0</v>
      </c>
      <c r="E638" t="s">
        <v>130</v>
      </c>
      <c r="F638" t="s">
        <v>1061</v>
      </c>
      <c r="G638">
        <v>50</v>
      </c>
      <c r="H638" t="str">
        <f t="shared" si="36"/>
        <v>FALSE</v>
      </c>
      <c r="I638" t="str">
        <f t="shared" si="37"/>
        <v>FALSE</v>
      </c>
      <c r="J638" t="str">
        <f t="shared" si="38"/>
        <v>FALSE</v>
      </c>
      <c r="K638" t="str">
        <f t="shared" si="39"/>
        <v>subfunctionarea;mtassubsdataregistrationmode;FALSE;subfunctionarea;mtassubsdataregistrationmode;50</v>
      </c>
    </row>
    <row r="639" spans="1:11" x14ac:dyDescent="0.3">
      <c r="A639">
        <v>8</v>
      </c>
      <c r="B639" t="s">
        <v>130</v>
      </c>
      <c r="C639" t="s">
        <v>936</v>
      </c>
      <c r="D639" t="b">
        <v>0</v>
      </c>
      <c r="E639" t="s">
        <v>130</v>
      </c>
      <c r="F639" t="s">
        <v>936</v>
      </c>
      <c r="G639">
        <v>50</v>
      </c>
      <c r="H639" t="str">
        <f t="shared" si="36"/>
        <v>FALSE</v>
      </c>
      <c r="I639" t="str">
        <f t="shared" si="37"/>
        <v>FALSE</v>
      </c>
      <c r="J639" t="str">
        <f t="shared" si="38"/>
        <v>FALSE</v>
      </c>
      <c r="K639" t="str">
        <f t="shared" si="39"/>
        <v>subfunctionarea;mtassubsdatasccatcfinfoinhss;FALSE;subfunctionarea;mtassubsdatasccatcfinfoinhss;50</v>
      </c>
    </row>
    <row r="640" spans="1:11" x14ac:dyDescent="0.3">
      <c r="A640">
        <v>8</v>
      </c>
      <c r="B640" t="s">
        <v>130</v>
      </c>
      <c r="C640" t="s">
        <v>296</v>
      </c>
      <c r="D640" t="b">
        <v>0</v>
      </c>
      <c r="E640" t="s">
        <v>130</v>
      </c>
      <c r="F640" t="s">
        <v>296</v>
      </c>
      <c r="G640">
        <v>50</v>
      </c>
      <c r="H640" t="str">
        <f t="shared" si="36"/>
        <v>FALSE</v>
      </c>
      <c r="I640" t="str">
        <f t="shared" si="37"/>
        <v>FALSE</v>
      </c>
      <c r="J640" t="str">
        <f t="shared" si="38"/>
        <v>FALSE</v>
      </c>
      <c r="K640" t="str">
        <f t="shared" si="39"/>
        <v>subfunctionarea;mtassubsdatastlastsessiontimer;FALSE;subfunctionarea;mtassubsdatastlastsessiontimer;50</v>
      </c>
    </row>
    <row r="641" spans="1:11" x14ac:dyDescent="0.3">
      <c r="A641">
        <v>8</v>
      </c>
      <c r="B641" t="s">
        <v>130</v>
      </c>
      <c r="C641" t="s">
        <v>1060</v>
      </c>
      <c r="D641" t="b">
        <v>0</v>
      </c>
      <c r="E641" t="s">
        <v>130</v>
      </c>
      <c r="F641" t="s">
        <v>1060</v>
      </c>
      <c r="G641">
        <v>50</v>
      </c>
      <c r="H641" t="str">
        <f t="shared" si="36"/>
        <v>FALSE</v>
      </c>
      <c r="I641" t="str">
        <f t="shared" si="37"/>
        <v>FALSE</v>
      </c>
      <c r="J641" t="str">
        <f t="shared" si="38"/>
        <v>FALSE</v>
      </c>
      <c r="K641" t="str">
        <f t="shared" si="39"/>
        <v>subfunctionarea;mtassubsdatavoltecasename;FALSE;subfunctionarea;mtassubsdatavoltecasename;50</v>
      </c>
    </row>
    <row r="642" spans="1:11" x14ac:dyDescent="0.3">
      <c r="A642">
        <v>8</v>
      </c>
      <c r="B642" t="s">
        <v>130</v>
      </c>
      <c r="C642" t="s">
        <v>464</v>
      </c>
      <c r="D642" t="b">
        <v>0</v>
      </c>
      <c r="E642" t="s">
        <v>130</v>
      </c>
      <c r="F642" t="s">
        <v>464</v>
      </c>
      <c r="G642">
        <v>50</v>
      </c>
      <c r="H642" t="str">
        <f t="shared" ref="H642:H705" si="40">IF(LEN(C642)&gt;30,"TRUE","FALSE")</f>
        <v>FALSE</v>
      </c>
      <c r="I642" t="str">
        <f t="shared" ref="I642:I705" si="41">IF(LEN(F642)&gt;30,"TRUE","FALSE")</f>
        <v>FALSE</v>
      </c>
      <c r="J642" t="str">
        <f t="shared" ref="J642:J705" si="42">IF(G642&gt;50,"TRUE","FALSE")</f>
        <v>FALSE</v>
      </c>
      <c r="K642" t="str">
        <f t="shared" ref="K642:K705" si="43">CONCATENATE(B642,";",C642,";",D642,";",E642,";",F642,";",G642)</f>
        <v>subfunctionarea;mtassupportfunctionsid;FALSE;subfunctionarea;mtassupportfunctionsid;50</v>
      </c>
    </row>
    <row r="643" spans="1:11" x14ac:dyDescent="0.3">
      <c r="A643">
        <v>8</v>
      </c>
      <c r="B643" t="s">
        <v>130</v>
      </c>
      <c r="C643" t="s">
        <v>1059</v>
      </c>
      <c r="D643" t="b">
        <v>0</v>
      </c>
      <c r="E643" t="s">
        <v>130</v>
      </c>
      <c r="F643" t="s">
        <v>1059</v>
      </c>
      <c r="G643">
        <v>50</v>
      </c>
      <c r="H643" t="str">
        <f t="shared" si="40"/>
        <v>FALSE</v>
      </c>
      <c r="I643" t="str">
        <f t="shared" si="41"/>
        <v>FALSE</v>
      </c>
      <c r="J643" t="str">
        <f t="shared" si="42"/>
        <v>FALSE</v>
      </c>
      <c r="K643" t="str">
        <f t="shared" si="43"/>
        <v>subfunctionarea;mtassystemconstant;FALSE;subfunctionarea;mtassystemconstant;50</v>
      </c>
    </row>
    <row r="644" spans="1:11" x14ac:dyDescent="0.3">
      <c r="A644">
        <v>8</v>
      </c>
      <c r="B644" t="s">
        <v>130</v>
      </c>
      <c r="C644" t="s">
        <v>1058</v>
      </c>
      <c r="D644" t="b">
        <v>0</v>
      </c>
      <c r="E644" t="s">
        <v>130</v>
      </c>
      <c r="F644" t="s">
        <v>1058</v>
      </c>
      <c r="G644">
        <v>50</v>
      </c>
      <c r="H644" t="str">
        <f t="shared" si="40"/>
        <v>FALSE</v>
      </c>
      <c r="I644" t="str">
        <f t="shared" si="41"/>
        <v>FALSE</v>
      </c>
      <c r="J644" t="str">
        <f t="shared" si="42"/>
        <v>FALSE</v>
      </c>
      <c r="K644" t="str">
        <f t="shared" si="43"/>
        <v>subfunctionarea;mtassystemconstantsc;FALSE;subfunctionarea;mtassystemconstantsc;50</v>
      </c>
    </row>
    <row r="645" spans="1:11" x14ac:dyDescent="0.3">
      <c r="A645">
        <v>8</v>
      </c>
      <c r="B645" t="s">
        <v>130</v>
      </c>
      <c r="C645" t="s">
        <v>1057</v>
      </c>
      <c r="D645" t="b">
        <v>0</v>
      </c>
      <c r="E645" t="s">
        <v>130</v>
      </c>
      <c r="F645" t="s">
        <v>1057</v>
      </c>
      <c r="G645">
        <v>50</v>
      </c>
      <c r="H645" t="str">
        <f t="shared" si="40"/>
        <v>FALSE</v>
      </c>
      <c r="I645" t="str">
        <f t="shared" si="41"/>
        <v>FALSE</v>
      </c>
      <c r="J645" t="str">
        <f t="shared" si="42"/>
        <v>FALSE</v>
      </c>
      <c r="K645" t="str">
        <f t="shared" si="43"/>
        <v>subfunctionarea;mtassystemconstantsc1;FALSE;subfunctionarea;mtassystemconstantsc1;50</v>
      </c>
    </row>
    <row r="646" spans="1:11" x14ac:dyDescent="0.3">
      <c r="A646">
        <v>8</v>
      </c>
      <c r="B646" t="s">
        <v>130</v>
      </c>
      <c r="C646" t="s">
        <v>937</v>
      </c>
      <c r="D646" t="b">
        <v>0</v>
      </c>
      <c r="E646" t="s">
        <v>130</v>
      </c>
      <c r="F646" t="s">
        <v>937</v>
      </c>
      <c r="G646">
        <v>50</v>
      </c>
      <c r="H646" t="str">
        <f t="shared" si="40"/>
        <v>FALSE</v>
      </c>
      <c r="I646" t="str">
        <f t="shared" si="41"/>
        <v>FALSE</v>
      </c>
      <c r="J646" t="str">
        <f t="shared" si="42"/>
        <v>FALSE</v>
      </c>
      <c r="K646" t="str">
        <f t="shared" si="43"/>
        <v>subfunctionarea;mtassystemconstantsc10;FALSE;subfunctionarea;mtassystemconstantsc10;50</v>
      </c>
    </row>
    <row r="647" spans="1:11" x14ac:dyDescent="0.3">
      <c r="A647">
        <v>8</v>
      </c>
      <c r="B647" t="s">
        <v>130</v>
      </c>
      <c r="C647" t="s">
        <v>1056</v>
      </c>
      <c r="D647" t="b">
        <v>0</v>
      </c>
      <c r="E647" t="s">
        <v>130</v>
      </c>
      <c r="F647" t="s">
        <v>1056</v>
      </c>
      <c r="G647">
        <v>50</v>
      </c>
      <c r="H647" t="str">
        <f t="shared" si="40"/>
        <v>FALSE</v>
      </c>
      <c r="I647" t="str">
        <f t="shared" si="41"/>
        <v>FALSE</v>
      </c>
      <c r="J647" t="str">
        <f t="shared" si="42"/>
        <v>FALSE</v>
      </c>
      <c r="K647" t="str">
        <f t="shared" si="43"/>
        <v>subfunctionarea;mtassystemconstantsc2;FALSE;subfunctionarea;mtassystemconstantsc2;50</v>
      </c>
    </row>
    <row r="648" spans="1:11" x14ac:dyDescent="0.3">
      <c r="A648">
        <v>8</v>
      </c>
      <c r="B648" t="s">
        <v>130</v>
      </c>
      <c r="C648" t="s">
        <v>1055</v>
      </c>
      <c r="D648" t="b">
        <v>0</v>
      </c>
      <c r="E648" t="s">
        <v>130</v>
      </c>
      <c r="F648" t="s">
        <v>1055</v>
      </c>
      <c r="G648">
        <v>50</v>
      </c>
      <c r="H648" t="str">
        <f t="shared" si="40"/>
        <v>FALSE</v>
      </c>
      <c r="I648" t="str">
        <f t="shared" si="41"/>
        <v>FALSE</v>
      </c>
      <c r="J648" t="str">
        <f t="shared" si="42"/>
        <v>FALSE</v>
      </c>
      <c r="K648" t="str">
        <f t="shared" si="43"/>
        <v>subfunctionarea;mtassystemconstantsc3;FALSE;subfunctionarea;mtassystemconstantsc3;50</v>
      </c>
    </row>
    <row r="649" spans="1:11" x14ac:dyDescent="0.3">
      <c r="A649">
        <v>8</v>
      </c>
      <c r="B649" t="s">
        <v>130</v>
      </c>
      <c r="C649" t="s">
        <v>1054</v>
      </c>
      <c r="D649" t="b">
        <v>0</v>
      </c>
      <c r="E649" t="s">
        <v>130</v>
      </c>
      <c r="F649" t="s">
        <v>1054</v>
      </c>
      <c r="G649">
        <v>50</v>
      </c>
      <c r="H649" t="str">
        <f t="shared" si="40"/>
        <v>FALSE</v>
      </c>
      <c r="I649" t="str">
        <f t="shared" si="41"/>
        <v>FALSE</v>
      </c>
      <c r="J649" t="str">
        <f t="shared" si="42"/>
        <v>FALSE</v>
      </c>
      <c r="K649" t="str">
        <f t="shared" si="43"/>
        <v>subfunctionarea;mtassystemconstantsc4;FALSE;subfunctionarea;mtassystemconstantsc4;50</v>
      </c>
    </row>
    <row r="650" spans="1:11" x14ac:dyDescent="0.3">
      <c r="A650">
        <v>8</v>
      </c>
      <c r="B650" t="s">
        <v>130</v>
      </c>
      <c r="C650" t="s">
        <v>1053</v>
      </c>
      <c r="D650" t="b">
        <v>0</v>
      </c>
      <c r="E650" t="s">
        <v>130</v>
      </c>
      <c r="F650" t="s">
        <v>1053</v>
      </c>
      <c r="G650">
        <v>50</v>
      </c>
      <c r="H650" t="str">
        <f t="shared" si="40"/>
        <v>FALSE</v>
      </c>
      <c r="I650" t="str">
        <f t="shared" si="41"/>
        <v>FALSE</v>
      </c>
      <c r="J650" t="str">
        <f t="shared" si="42"/>
        <v>FALSE</v>
      </c>
      <c r="K650" t="str">
        <f t="shared" si="43"/>
        <v>subfunctionarea;mtasSystemConstantSC5;FALSE;subfunctionarea;mtasSystemConstantSC5;50</v>
      </c>
    </row>
    <row r="651" spans="1:11" x14ac:dyDescent="0.3">
      <c r="A651">
        <v>8</v>
      </c>
      <c r="B651" t="s">
        <v>130</v>
      </c>
      <c r="C651" t="s">
        <v>1052</v>
      </c>
      <c r="D651" t="b">
        <v>0</v>
      </c>
      <c r="E651" t="s">
        <v>130</v>
      </c>
      <c r="F651" t="s">
        <v>1052</v>
      </c>
      <c r="G651">
        <v>50</v>
      </c>
      <c r="H651" t="str">
        <f t="shared" si="40"/>
        <v>FALSE</v>
      </c>
      <c r="I651" t="str">
        <f t="shared" si="41"/>
        <v>FALSE</v>
      </c>
      <c r="J651" t="str">
        <f t="shared" si="42"/>
        <v>FALSE</v>
      </c>
      <c r="K651" t="str">
        <f t="shared" si="43"/>
        <v>subfunctionarea;mtassystemconstantsc6;FALSE;subfunctionarea;mtassystemconstantsc6;50</v>
      </c>
    </row>
    <row r="652" spans="1:11" x14ac:dyDescent="0.3">
      <c r="A652">
        <v>8</v>
      </c>
      <c r="B652" t="s">
        <v>130</v>
      </c>
      <c r="C652" t="s">
        <v>1051</v>
      </c>
      <c r="D652" t="b">
        <v>0</v>
      </c>
      <c r="E652" t="s">
        <v>130</v>
      </c>
      <c r="F652" t="s">
        <v>1051</v>
      </c>
      <c r="G652">
        <v>50</v>
      </c>
      <c r="H652" t="str">
        <f t="shared" si="40"/>
        <v>FALSE</v>
      </c>
      <c r="I652" t="str">
        <f t="shared" si="41"/>
        <v>FALSE</v>
      </c>
      <c r="J652" t="str">
        <f t="shared" si="42"/>
        <v>FALSE</v>
      </c>
      <c r="K652" t="str">
        <f t="shared" si="43"/>
        <v>subfunctionarea;mtassystemconstantsc7;FALSE;subfunctionarea;mtassystemconstantsc7;50</v>
      </c>
    </row>
    <row r="653" spans="1:11" x14ac:dyDescent="0.3">
      <c r="A653">
        <v>8</v>
      </c>
      <c r="B653" t="s">
        <v>130</v>
      </c>
      <c r="C653" t="s">
        <v>1050</v>
      </c>
      <c r="D653" t="b">
        <v>0</v>
      </c>
      <c r="E653" t="s">
        <v>130</v>
      </c>
      <c r="F653" t="s">
        <v>1050</v>
      </c>
      <c r="G653">
        <v>50</v>
      </c>
      <c r="H653" t="str">
        <f t="shared" si="40"/>
        <v>FALSE</v>
      </c>
      <c r="I653" t="str">
        <f t="shared" si="41"/>
        <v>FALSE</v>
      </c>
      <c r="J653" t="str">
        <f t="shared" si="42"/>
        <v>FALSE</v>
      </c>
      <c r="K653" t="str">
        <f t="shared" si="43"/>
        <v>subfunctionarea;mtassystemconstantsc8;FALSE;subfunctionarea;mtassystemconstantsc8;50</v>
      </c>
    </row>
    <row r="654" spans="1:11" x14ac:dyDescent="0.3">
      <c r="A654">
        <v>8</v>
      </c>
      <c r="B654" t="s">
        <v>130</v>
      </c>
      <c r="C654" t="s">
        <v>1049</v>
      </c>
      <c r="D654" t="b">
        <v>0</v>
      </c>
      <c r="E654" t="s">
        <v>130</v>
      </c>
      <c r="F654" t="s">
        <v>1049</v>
      </c>
      <c r="G654">
        <v>50</v>
      </c>
      <c r="H654" t="str">
        <f t="shared" si="40"/>
        <v>FALSE</v>
      </c>
      <c r="I654" t="str">
        <f t="shared" si="41"/>
        <v>FALSE</v>
      </c>
      <c r="J654" t="str">
        <f t="shared" si="42"/>
        <v>FALSE</v>
      </c>
      <c r="K654" t="str">
        <f t="shared" si="43"/>
        <v>subfunctionarea;mtassystemconstantsc9;FALSE;subfunctionarea;mtassystemconstantsc9;50</v>
      </c>
    </row>
    <row r="655" spans="1:11" x14ac:dyDescent="0.3">
      <c r="A655">
        <v>8</v>
      </c>
      <c r="B655" t="s">
        <v>130</v>
      </c>
      <c r="C655" t="s">
        <v>1048</v>
      </c>
      <c r="D655" t="b">
        <v>0</v>
      </c>
      <c r="E655" t="s">
        <v>130</v>
      </c>
      <c r="F655" t="s">
        <v>1048</v>
      </c>
      <c r="G655">
        <v>50</v>
      </c>
      <c r="H655" t="str">
        <f t="shared" si="40"/>
        <v>FALSE</v>
      </c>
      <c r="I655" t="str">
        <f t="shared" si="41"/>
        <v>FALSE</v>
      </c>
      <c r="J655" t="str">
        <f t="shared" si="42"/>
        <v>FALSE</v>
      </c>
      <c r="K655" t="str">
        <f t="shared" si="43"/>
        <v>subfunctionarea;mtastrace;FALSE;subfunctionarea;mtastrace;50</v>
      </c>
    </row>
    <row r="656" spans="1:11" x14ac:dyDescent="0.3">
      <c r="A656">
        <v>8</v>
      </c>
      <c r="B656" t="s">
        <v>130</v>
      </c>
      <c r="C656" t="s">
        <v>1047</v>
      </c>
      <c r="D656" t="b">
        <v>0</v>
      </c>
      <c r="E656" t="s">
        <v>130</v>
      </c>
      <c r="F656" t="s">
        <v>1047</v>
      </c>
      <c r="G656">
        <v>50</v>
      </c>
      <c r="H656" t="str">
        <f t="shared" si="40"/>
        <v>FALSE</v>
      </c>
      <c r="I656" t="str">
        <f t="shared" si="41"/>
        <v>FALSE</v>
      </c>
      <c r="J656" t="str">
        <f t="shared" si="42"/>
        <v>FALSE</v>
      </c>
      <c r="K656" t="str">
        <f t="shared" si="43"/>
        <v>subfunctionarea;mtastracedisableehser;FALSE;subfunctionarea;mtastracedisableehser;50</v>
      </c>
    </row>
    <row r="657" spans="1:11" x14ac:dyDescent="0.3">
      <c r="A657">
        <v>8</v>
      </c>
      <c r="B657" t="s">
        <v>130</v>
      </c>
      <c r="C657" t="s">
        <v>462</v>
      </c>
      <c r="D657" t="b">
        <v>0</v>
      </c>
      <c r="E657" t="s">
        <v>130</v>
      </c>
      <c r="F657" t="s">
        <v>462</v>
      </c>
      <c r="G657">
        <v>50</v>
      </c>
      <c r="H657" t="str">
        <f t="shared" si="40"/>
        <v>FALSE</v>
      </c>
      <c r="I657" t="str">
        <f t="shared" si="41"/>
        <v>FALSE</v>
      </c>
      <c r="J657" t="str">
        <f t="shared" si="42"/>
        <v>FALSE</v>
      </c>
      <c r="K657" t="str">
        <f t="shared" si="43"/>
        <v>subfunctionarea;mtaswebservices;FALSE;subfunctionarea;mtaswebservices;50</v>
      </c>
    </row>
    <row r="658" spans="1:11" x14ac:dyDescent="0.3">
      <c r="A658">
        <v>8</v>
      </c>
      <c r="B658" t="s">
        <v>130</v>
      </c>
      <c r="C658" t="s">
        <v>461</v>
      </c>
      <c r="D658" t="b">
        <v>0</v>
      </c>
      <c r="E658" t="s">
        <v>130</v>
      </c>
      <c r="F658" t="s">
        <v>461</v>
      </c>
      <c r="G658">
        <v>50</v>
      </c>
      <c r="H658" t="str">
        <f t="shared" si="40"/>
        <v>FALSE</v>
      </c>
      <c r="I658" t="str">
        <f t="shared" si="41"/>
        <v>FALSE</v>
      </c>
      <c r="J658" t="str">
        <f t="shared" si="42"/>
        <v>FALSE</v>
      </c>
      <c r="K658" t="str">
        <f t="shared" si="43"/>
        <v>subfunctionarea;mtaswebserviceslocalport;FALSE;subfunctionarea;mtaswebserviceslocalport;50</v>
      </c>
    </row>
    <row r="659" spans="1:11" x14ac:dyDescent="0.3">
      <c r="A659">
        <v>8</v>
      </c>
      <c r="B659" t="s">
        <v>130</v>
      </c>
      <c r="C659" t="s">
        <v>1046</v>
      </c>
      <c r="D659" t="b">
        <v>0</v>
      </c>
      <c r="E659" t="s">
        <v>130</v>
      </c>
      <c r="F659" t="s">
        <v>1046</v>
      </c>
      <c r="G659">
        <v>50</v>
      </c>
      <c r="H659" t="str">
        <f t="shared" si="40"/>
        <v>FALSE</v>
      </c>
      <c r="I659" t="str">
        <f t="shared" si="41"/>
        <v>FALSE</v>
      </c>
      <c r="J659" t="str">
        <f t="shared" si="42"/>
        <v>FALSE</v>
      </c>
      <c r="K659" t="str">
        <f t="shared" si="43"/>
        <v>subfunctionarea;mtaswsnamedb;FALSE;subfunctionarea;mtaswsnamedb;50</v>
      </c>
    </row>
    <row r="660" spans="1:11" x14ac:dyDescent="0.3">
      <c r="A660">
        <v>8</v>
      </c>
      <c r="B660" t="s">
        <v>130</v>
      </c>
      <c r="C660" t="s">
        <v>472</v>
      </c>
      <c r="D660" t="b">
        <v>0</v>
      </c>
      <c r="E660" t="s">
        <v>130</v>
      </c>
      <c r="F660" t="s">
        <v>472</v>
      </c>
      <c r="G660">
        <v>50</v>
      </c>
      <c r="H660" t="str">
        <f t="shared" si="40"/>
        <v>FALSE</v>
      </c>
      <c r="I660" t="str">
        <f t="shared" si="41"/>
        <v>FALSE</v>
      </c>
      <c r="J660" t="str">
        <f t="shared" si="42"/>
        <v>FALSE</v>
      </c>
      <c r="K660" t="str">
        <f t="shared" si="43"/>
        <v>subfunctionarea;mtasxdms;FALSE;subfunctionarea;mtasxdms;50</v>
      </c>
    </row>
    <row r="661" spans="1:11" x14ac:dyDescent="0.3">
      <c r="A661">
        <v>8</v>
      </c>
      <c r="B661" t="s">
        <v>130</v>
      </c>
      <c r="C661" t="s">
        <v>1045</v>
      </c>
      <c r="D661" t="b">
        <v>0</v>
      </c>
      <c r="E661" t="s">
        <v>130</v>
      </c>
      <c r="F661" t="s">
        <v>1045</v>
      </c>
      <c r="G661">
        <v>50</v>
      </c>
      <c r="H661" t="str">
        <f t="shared" si="40"/>
        <v>FALSE</v>
      </c>
      <c r="I661" t="str">
        <f t="shared" si="41"/>
        <v>FALSE</v>
      </c>
      <c r="J661" t="str">
        <f t="shared" si="42"/>
        <v>FALSE</v>
      </c>
      <c r="K661" t="str">
        <f t="shared" si="43"/>
        <v>subfunctionarea;mtasxdmscai3gInactivitytimeout;FALSE;subfunctionarea;mtasxdmscai3gInactivitytimeout;50</v>
      </c>
    </row>
    <row r="662" spans="1:11" x14ac:dyDescent="0.3">
      <c r="A662">
        <v>8</v>
      </c>
      <c r="B662" t="s">
        <v>130</v>
      </c>
      <c r="C662" t="s">
        <v>317</v>
      </c>
      <c r="D662" t="b">
        <v>0</v>
      </c>
      <c r="E662" t="s">
        <v>130</v>
      </c>
      <c r="F662" t="s">
        <v>317</v>
      </c>
      <c r="G662">
        <v>50</v>
      </c>
      <c r="H662" t="str">
        <f t="shared" si="40"/>
        <v>FALSE</v>
      </c>
      <c r="I662" t="str">
        <f t="shared" si="41"/>
        <v>FALSE</v>
      </c>
      <c r="J662" t="str">
        <f t="shared" si="42"/>
        <v>FALSE</v>
      </c>
      <c r="K662" t="str">
        <f t="shared" si="43"/>
        <v>subfunctionarea;mtasxdmscai3ginterfacepriority;FALSE;subfunctionarea;mtasxdmscai3ginterfacepriority;50</v>
      </c>
    </row>
    <row r="663" spans="1:11" x14ac:dyDescent="0.3">
      <c r="A663">
        <v>8</v>
      </c>
      <c r="B663" t="s">
        <v>130</v>
      </c>
      <c r="C663" t="s">
        <v>939</v>
      </c>
      <c r="D663" t="b">
        <v>0</v>
      </c>
      <c r="E663" t="s">
        <v>130</v>
      </c>
      <c r="F663" t="s">
        <v>939</v>
      </c>
      <c r="G663">
        <v>50</v>
      </c>
      <c r="H663" t="str">
        <f t="shared" si="40"/>
        <v>FALSE</v>
      </c>
      <c r="I663" t="str">
        <f t="shared" si="41"/>
        <v>FALSE</v>
      </c>
      <c r="J663" t="str">
        <f t="shared" si="42"/>
        <v>FALSE</v>
      </c>
      <c r="K663" t="str">
        <f t="shared" si="43"/>
        <v>subfunctionarea;mtasxdmscai3gipaddresslist;FALSE;subfunctionarea;mtasxdmscai3gipaddresslist;50</v>
      </c>
    </row>
    <row r="664" spans="1:11" x14ac:dyDescent="0.3">
      <c r="A664">
        <v>8</v>
      </c>
      <c r="B664" t="s">
        <v>130</v>
      </c>
      <c r="C664" t="s">
        <v>473</v>
      </c>
      <c r="D664" t="b">
        <v>0</v>
      </c>
      <c r="E664" t="s">
        <v>130</v>
      </c>
      <c r="F664" t="s">
        <v>473</v>
      </c>
      <c r="G664">
        <v>50</v>
      </c>
      <c r="H664" t="str">
        <f t="shared" si="40"/>
        <v>FALSE</v>
      </c>
      <c r="I664" t="str">
        <f t="shared" si="41"/>
        <v>FALSE</v>
      </c>
      <c r="J664" t="str">
        <f t="shared" si="42"/>
        <v>FALSE</v>
      </c>
      <c r="K664" t="str">
        <f t="shared" si="43"/>
        <v>subfunctionarea;mtasxdmscai3glogging;FALSE;subfunctionarea;mtasxdmscai3glogging;50</v>
      </c>
    </row>
    <row r="665" spans="1:11" x14ac:dyDescent="0.3">
      <c r="A665">
        <v>8</v>
      </c>
      <c r="B665" t="s">
        <v>130</v>
      </c>
      <c r="C665" t="s">
        <v>468</v>
      </c>
      <c r="D665" t="b">
        <v>0</v>
      </c>
      <c r="E665" t="s">
        <v>130</v>
      </c>
      <c r="F665" t="s">
        <v>468</v>
      </c>
      <c r="G665">
        <v>50</v>
      </c>
      <c r="H665" t="str">
        <f t="shared" si="40"/>
        <v>FALSE</v>
      </c>
      <c r="I665" t="str">
        <f t="shared" si="41"/>
        <v>FALSE</v>
      </c>
      <c r="J665" t="str">
        <f t="shared" si="42"/>
        <v>FALSE</v>
      </c>
      <c r="K665" t="str">
        <f t="shared" si="43"/>
        <v>subfunctionarea;mtasxdmscai3gmaximumsessions;FALSE;subfunctionarea;mtasxdmscai3gmaximumsessions;50</v>
      </c>
    </row>
    <row r="666" spans="1:11" x14ac:dyDescent="0.3">
      <c r="A666">
        <v>8</v>
      </c>
      <c r="B666" t="s">
        <v>130</v>
      </c>
      <c r="C666" t="s">
        <v>471</v>
      </c>
      <c r="D666" t="b">
        <v>0</v>
      </c>
      <c r="E666" t="s">
        <v>130</v>
      </c>
      <c r="F666" t="s">
        <v>471</v>
      </c>
      <c r="G666">
        <v>50</v>
      </c>
      <c r="H666" t="str">
        <f t="shared" si="40"/>
        <v>FALSE</v>
      </c>
      <c r="I666" t="str">
        <f t="shared" si="41"/>
        <v>FALSE</v>
      </c>
      <c r="J666" t="str">
        <f t="shared" si="42"/>
        <v>FALSE</v>
      </c>
      <c r="K666" t="str">
        <f t="shared" si="43"/>
        <v>subfunctionarea;mtasxdmsccmpinterfacepriority;FALSE;subfunctionarea;mtasxdmsccmpinterfacepriority;50</v>
      </c>
    </row>
    <row r="667" spans="1:11" x14ac:dyDescent="0.3">
      <c r="A667">
        <v>8</v>
      </c>
      <c r="B667" t="s">
        <v>130</v>
      </c>
      <c r="C667" t="s">
        <v>940</v>
      </c>
      <c r="D667" t="b">
        <v>0</v>
      </c>
      <c r="E667" t="s">
        <v>130</v>
      </c>
      <c r="F667" t="s">
        <v>940</v>
      </c>
      <c r="G667">
        <v>50</v>
      </c>
      <c r="H667" t="str">
        <f t="shared" si="40"/>
        <v>FALSE</v>
      </c>
      <c r="I667" t="str">
        <f t="shared" si="41"/>
        <v>FALSE</v>
      </c>
      <c r="J667" t="str">
        <f t="shared" si="42"/>
        <v>FALSE</v>
      </c>
      <c r="K667" t="str">
        <f t="shared" si="43"/>
        <v>subfunctionarea;mtasxdmsretryaftermaximum;FALSE;subfunctionarea;mtasxdmsretryaftermaximum;50</v>
      </c>
    </row>
    <row r="668" spans="1:11" x14ac:dyDescent="0.3">
      <c r="A668">
        <v>8</v>
      </c>
      <c r="B668" t="s">
        <v>130</v>
      </c>
      <c r="C668" t="s">
        <v>466</v>
      </c>
      <c r="D668" t="b">
        <v>0</v>
      </c>
      <c r="E668" t="s">
        <v>130</v>
      </c>
      <c r="F668" t="s">
        <v>466</v>
      </c>
      <c r="G668">
        <v>50</v>
      </c>
      <c r="H668" t="str">
        <f t="shared" si="40"/>
        <v>FALSE</v>
      </c>
      <c r="I668" t="str">
        <f t="shared" si="41"/>
        <v>FALSE</v>
      </c>
      <c r="J668" t="str">
        <f t="shared" si="42"/>
        <v>FALSE</v>
      </c>
      <c r="K668" t="str">
        <f t="shared" si="43"/>
        <v>subfunctionarea;mtasxdmsretryafterminimum;FALSE;subfunctionarea;mtasxdmsretryafterminimum;50</v>
      </c>
    </row>
    <row r="669" spans="1:11" x14ac:dyDescent="0.3">
      <c r="A669">
        <v>8</v>
      </c>
      <c r="B669" t="s">
        <v>130</v>
      </c>
      <c r="C669" t="s">
        <v>470</v>
      </c>
      <c r="D669" t="b">
        <v>0</v>
      </c>
      <c r="E669" t="s">
        <v>130</v>
      </c>
      <c r="F669" t="s">
        <v>470</v>
      </c>
      <c r="G669">
        <v>50</v>
      </c>
      <c r="H669" t="str">
        <f t="shared" si="40"/>
        <v>FALSE</v>
      </c>
      <c r="I669" t="str">
        <f t="shared" si="41"/>
        <v>FALSE</v>
      </c>
      <c r="J669" t="str">
        <f t="shared" si="42"/>
        <v>FALSE</v>
      </c>
      <c r="K669" t="str">
        <f t="shared" si="43"/>
        <v>subfunctionarea;mtasxdmsutadministrativestate;FALSE;subfunctionarea;mtasxdmsutadministrativestate;50</v>
      </c>
    </row>
    <row r="670" spans="1:11" x14ac:dyDescent="0.3">
      <c r="A670">
        <v>8</v>
      </c>
      <c r="B670" t="s">
        <v>130</v>
      </c>
      <c r="C670" t="s">
        <v>941</v>
      </c>
      <c r="D670" t="b">
        <v>0</v>
      </c>
      <c r="E670" t="s">
        <v>130</v>
      </c>
      <c r="F670" t="s">
        <v>941</v>
      </c>
      <c r="G670">
        <v>50</v>
      </c>
      <c r="H670" t="str">
        <f t="shared" si="40"/>
        <v>FALSE</v>
      </c>
      <c r="I670" t="str">
        <f t="shared" si="41"/>
        <v>FALSE</v>
      </c>
      <c r="J670" t="str">
        <f t="shared" si="42"/>
        <v>FALSE</v>
      </c>
      <c r="K670" t="str">
        <f t="shared" si="43"/>
        <v>subfunctionarea;mtasxdmsutheader;FALSE;subfunctionarea;mtasxdmsutheader;50</v>
      </c>
    </row>
    <row r="671" spans="1:11" x14ac:dyDescent="0.3">
      <c r="A671">
        <v>8</v>
      </c>
      <c r="B671" t="s">
        <v>130</v>
      </c>
      <c r="C671" t="s">
        <v>469</v>
      </c>
      <c r="D671" t="b">
        <v>0</v>
      </c>
      <c r="E671" t="s">
        <v>130</v>
      </c>
      <c r="F671" t="s">
        <v>469</v>
      </c>
      <c r="G671">
        <v>50</v>
      </c>
      <c r="H671" t="str">
        <f t="shared" si="40"/>
        <v>FALSE</v>
      </c>
      <c r="I671" t="str">
        <f t="shared" si="41"/>
        <v>FALSE</v>
      </c>
      <c r="J671" t="str">
        <f t="shared" si="42"/>
        <v>FALSE</v>
      </c>
      <c r="K671" t="str">
        <f t="shared" si="43"/>
        <v>subfunctionarea;mtasxdmsutinterfacepriority;FALSE;subfunctionarea;mtasxdmsutinterfacepriority;50</v>
      </c>
    </row>
    <row r="672" spans="1:11" x14ac:dyDescent="0.3">
      <c r="A672">
        <v>8</v>
      </c>
      <c r="B672" t="s">
        <v>130</v>
      </c>
      <c r="C672" t="s">
        <v>942</v>
      </c>
      <c r="D672" t="b">
        <v>0</v>
      </c>
      <c r="E672" t="s">
        <v>130</v>
      </c>
      <c r="F672" t="s">
        <v>942</v>
      </c>
      <c r="G672">
        <v>50</v>
      </c>
      <c r="H672" t="str">
        <f t="shared" si="40"/>
        <v>FALSE</v>
      </c>
      <c r="I672" t="str">
        <f t="shared" si="41"/>
        <v>FALSE</v>
      </c>
      <c r="J672" t="str">
        <f t="shared" si="42"/>
        <v>FALSE</v>
      </c>
      <c r="K672" t="str">
        <f t="shared" si="43"/>
        <v>subfunctionarea;mtasxdmsutipaddresslist;FALSE;subfunctionarea;mtasxdmsutipaddresslist;50</v>
      </c>
    </row>
    <row r="673" spans="1:11" x14ac:dyDescent="0.3">
      <c r="A673">
        <v>8</v>
      </c>
      <c r="B673" t="s">
        <v>130</v>
      </c>
      <c r="C673" t="s">
        <v>943</v>
      </c>
      <c r="D673" t="b">
        <v>0</v>
      </c>
      <c r="E673" t="s">
        <v>130</v>
      </c>
      <c r="F673" t="s">
        <v>943</v>
      </c>
      <c r="G673">
        <v>50</v>
      </c>
      <c r="H673" t="str">
        <f t="shared" si="40"/>
        <v>FALSE</v>
      </c>
      <c r="I673" t="str">
        <f t="shared" si="41"/>
        <v>FALSE</v>
      </c>
      <c r="J673" t="str">
        <f t="shared" si="42"/>
        <v>FALSE</v>
      </c>
      <c r="K673" t="str">
        <f t="shared" si="43"/>
        <v>subfunctionarea;mtasxdmsutvalidation;FALSE;subfunctionarea;mtasxdmsutvalidation;50</v>
      </c>
    </row>
    <row r="674" spans="1:11" x14ac:dyDescent="0.3">
      <c r="A674">
        <v>8</v>
      </c>
      <c r="B674" t="s">
        <v>130</v>
      </c>
      <c r="C674" t="s">
        <v>944</v>
      </c>
      <c r="D674" t="b">
        <v>0</v>
      </c>
      <c r="E674" t="s">
        <v>130</v>
      </c>
      <c r="F674" t="s">
        <v>944</v>
      </c>
      <c r="G674">
        <v>50</v>
      </c>
      <c r="H674" t="str">
        <f t="shared" si="40"/>
        <v>FALSE</v>
      </c>
      <c r="I674" t="str">
        <f t="shared" si="41"/>
        <v>FALSE</v>
      </c>
      <c r="J674" t="str">
        <f t="shared" si="42"/>
        <v>FALSE</v>
      </c>
      <c r="K674" t="str">
        <f t="shared" si="43"/>
        <v>subfunctionarea;mtp2tpituid;FALSE;subfunctionarea;mtp2tpituid;50</v>
      </c>
    </row>
    <row r="675" spans="1:11" x14ac:dyDescent="0.3">
      <c r="A675">
        <v>8</v>
      </c>
      <c r="B675" t="s">
        <v>130</v>
      </c>
      <c r="C675" t="s">
        <v>945</v>
      </c>
      <c r="D675" t="b">
        <v>0</v>
      </c>
      <c r="E675" t="s">
        <v>130</v>
      </c>
      <c r="F675" t="s">
        <v>945</v>
      </c>
      <c r="G675">
        <v>50</v>
      </c>
      <c r="H675" t="str">
        <f t="shared" si="40"/>
        <v>FALSE</v>
      </c>
      <c r="I675" t="str">
        <f t="shared" si="41"/>
        <v>FALSE</v>
      </c>
      <c r="J675" t="str">
        <f t="shared" si="42"/>
        <v>FALSE</v>
      </c>
      <c r="K675" t="str">
        <f t="shared" si="43"/>
        <v>subfunctionarea;mtp3bspituid;FALSE;subfunctionarea;mtp3bspituid;50</v>
      </c>
    </row>
    <row r="676" spans="1:11" x14ac:dyDescent="0.3">
      <c r="A676">
        <v>8</v>
      </c>
      <c r="B676" t="s">
        <v>130</v>
      </c>
      <c r="C676" t="s">
        <v>946</v>
      </c>
      <c r="D676" t="b">
        <v>0</v>
      </c>
      <c r="E676" t="s">
        <v>130</v>
      </c>
      <c r="F676" t="s">
        <v>946</v>
      </c>
      <c r="G676">
        <v>50</v>
      </c>
      <c r="H676" t="str">
        <f t="shared" si="40"/>
        <v>FALSE</v>
      </c>
      <c r="I676" t="str">
        <f t="shared" si="41"/>
        <v>FALSE</v>
      </c>
      <c r="J676" t="str">
        <f t="shared" si="42"/>
        <v>FALSE</v>
      </c>
      <c r="K676" t="str">
        <f t="shared" si="43"/>
        <v>subfunctionarea;networkappearance;FALSE;subfunctionarea;networkappearance;50</v>
      </c>
    </row>
    <row r="677" spans="1:11" x14ac:dyDescent="0.3">
      <c r="A677">
        <v>8</v>
      </c>
      <c r="B677" t="s">
        <v>130</v>
      </c>
      <c r="C677" t="s">
        <v>947</v>
      </c>
      <c r="D677" t="b">
        <v>0</v>
      </c>
      <c r="E677" t="s">
        <v>130</v>
      </c>
      <c r="F677" t="s">
        <v>947</v>
      </c>
      <c r="G677">
        <v>50</v>
      </c>
      <c r="H677" t="str">
        <f t="shared" si="40"/>
        <v>FALSE</v>
      </c>
      <c r="I677" t="str">
        <f t="shared" si="41"/>
        <v>FALSE</v>
      </c>
      <c r="J677" t="str">
        <f t="shared" si="42"/>
        <v>FALSE</v>
      </c>
      <c r="K677" t="str">
        <f t="shared" si="43"/>
        <v>subfunctionarea;networkidentity;FALSE;subfunctionarea;networkidentity;50</v>
      </c>
    </row>
    <row r="678" spans="1:11" x14ac:dyDescent="0.3">
      <c r="A678">
        <v>8</v>
      </c>
      <c r="B678" t="s">
        <v>130</v>
      </c>
      <c r="C678" t="s">
        <v>948</v>
      </c>
      <c r="D678" t="b">
        <v>0</v>
      </c>
      <c r="E678" t="s">
        <v>130</v>
      </c>
      <c r="F678" t="s">
        <v>948</v>
      </c>
      <c r="G678">
        <v>50</v>
      </c>
      <c r="H678" t="str">
        <f t="shared" si="40"/>
        <v>FALSE</v>
      </c>
      <c r="I678" t="str">
        <f t="shared" si="41"/>
        <v>FALSE</v>
      </c>
      <c r="J678" t="str">
        <f t="shared" si="42"/>
        <v>FALSE</v>
      </c>
      <c r="K678" t="str">
        <f t="shared" si="43"/>
        <v>subfunctionarea;networkind;FALSE;subfunctionarea;networkind;50</v>
      </c>
    </row>
    <row r="679" spans="1:11" x14ac:dyDescent="0.3">
      <c r="A679">
        <v>8</v>
      </c>
      <c r="B679" t="s">
        <v>130</v>
      </c>
      <c r="C679" t="s">
        <v>949</v>
      </c>
      <c r="D679" t="b">
        <v>0</v>
      </c>
      <c r="E679" t="s">
        <v>130</v>
      </c>
      <c r="F679" t="s">
        <v>949</v>
      </c>
      <c r="G679">
        <v>50</v>
      </c>
      <c r="H679" t="str">
        <f t="shared" si="40"/>
        <v>FALSE</v>
      </c>
      <c r="I679" t="str">
        <f t="shared" si="41"/>
        <v>FALSE</v>
      </c>
      <c r="J679" t="str">
        <f t="shared" si="42"/>
        <v>FALSE</v>
      </c>
      <c r="K679" t="str">
        <f t="shared" si="43"/>
        <v>subfunctionarea;networkprefix;FALSE;subfunctionarea;networkprefix;50</v>
      </c>
    </row>
    <row r="680" spans="1:11" x14ac:dyDescent="0.3">
      <c r="A680">
        <v>8</v>
      </c>
      <c r="B680" t="s">
        <v>130</v>
      </c>
      <c r="C680" t="s">
        <v>950</v>
      </c>
      <c r="D680" t="b">
        <v>0</v>
      </c>
      <c r="E680" t="s">
        <v>130</v>
      </c>
      <c r="F680" t="s">
        <v>950</v>
      </c>
      <c r="G680">
        <v>50</v>
      </c>
      <c r="H680" t="str">
        <f t="shared" si="40"/>
        <v>FALSE</v>
      </c>
      <c r="I680" t="str">
        <f t="shared" si="41"/>
        <v>FALSE</v>
      </c>
      <c r="J680" t="str">
        <f t="shared" si="42"/>
        <v>FALSE</v>
      </c>
      <c r="K680" t="str">
        <f t="shared" si="43"/>
        <v>subfunctionarea;networkprefixlength;FALSE;subfunctionarea;networkprefixlength;50</v>
      </c>
    </row>
    <row r="681" spans="1:11" x14ac:dyDescent="0.3">
      <c r="A681">
        <v>8</v>
      </c>
      <c r="B681" t="s">
        <v>130</v>
      </c>
      <c r="C681" t="s">
        <v>951</v>
      </c>
      <c r="D681" t="b">
        <v>0</v>
      </c>
      <c r="E681" t="s">
        <v>130</v>
      </c>
      <c r="F681" t="s">
        <v>951</v>
      </c>
      <c r="G681">
        <v>50</v>
      </c>
      <c r="H681" t="str">
        <f t="shared" si="40"/>
        <v>FALSE</v>
      </c>
      <c r="I681" t="str">
        <f t="shared" si="41"/>
        <v>FALSE</v>
      </c>
      <c r="J681" t="str">
        <f t="shared" si="42"/>
        <v>FALSE</v>
      </c>
      <c r="K681" t="str">
        <f t="shared" si="43"/>
        <v>subfunctionarea;networkprefixlength1;FALSE;subfunctionarea;networkprefixlength1;50</v>
      </c>
    </row>
    <row r="682" spans="1:11" x14ac:dyDescent="0.3">
      <c r="A682">
        <v>8</v>
      </c>
      <c r="B682" t="s">
        <v>130</v>
      </c>
      <c r="C682" t="s">
        <v>952</v>
      </c>
      <c r="D682" t="b">
        <v>0</v>
      </c>
      <c r="E682" t="s">
        <v>130</v>
      </c>
      <c r="F682" t="s">
        <v>952</v>
      </c>
      <c r="G682">
        <v>50</v>
      </c>
      <c r="H682" t="str">
        <f t="shared" si="40"/>
        <v>FALSE</v>
      </c>
      <c r="I682" t="str">
        <f t="shared" si="41"/>
        <v>FALSE</v>
      </c>
      <c r="J682" t="str">
        <f t="shared" si="42"/>
        <v>FALSE</v>
      </c>
      <c r="K682" t="str">
        <f t="shared" si="43"/>
        <v>subfunctionarea;networkprefixlength2;FALSE;subfunctionarea;networkprefixlength2;50</v>
      </c>
    </row>
    <row r="683" spans="1:11" x14ac:dyDescent="0.3">
      <c r="A683">
        <v>8</v>
      </c>
      <c r="B683" t="s">
        <v>130</v>
      </c>
      <c r="C683" t="s">
        <v>953</v>
      </c>
      <c r="D683" t="b">
        <v>0</v>
      </c>
      <c r="E683" t="s">
        <v>130</v>
      </c>
      <c r="F683" t="s">
        <v>953</v>
      </c>
      <c r="G683">
        <v>50</v>
      </c>
      <c r="H683" t="str">
        <f t="shared" si="40"/>
        <v>FALSE</v>
      </c>
      <c r="I683" t="str">
        <f t="shared" si="41"/>
        <v>FALSE</v>
      </c>
      <c r="J683" t="str">
        <f t="shared" si="42"/>
        <v>FALSE</v>
      </c>
      <c r="K683" t="str">
        <f t="shared" si="43"/>
        <v>subfunctionarea;nodebehaviour;FALSE;subfunctionarea;nodebehaviour;50</v>
      </c>
    </row>
    <row r="684" spans="1:11" x14ac:dyDescent="0.3">
      <c r="A684">
        <v>8</v>
      </c>
      <c r="B684" t="s">
        <v>130</v>
      </c>
      <c r="C684" t="s">
        <v>954</v>
      </c>
      <c r="D684" t="b">
        <v>0</v>
      </c>
      <c r="E684" t="s">
        <v>130</v>
      </c>
      <c r="F684" t="s">
        <v>954</v>
      </c>
      <c r="G684">
        <v>50</v>
      </c>
      <c r="H684" t="str">
        <f t="shared" si="40"/>
        <v>FALSE</v>
      </c>
      <c r="I684" t="str">
        <f t="shared" si="41"/>
        <v>FALSE</v>
      </c>
      <c r="J684" t="str">
        <f t="shared" si="42"/>
        <v>FALSE</v>
      </c>
      <c r="K684" t="str">
        <f t="shared" si="43"/>
        <v>subfunctionarea;noisereductionconfiguration;FALSE;subfunctionarea;noisereductionconfiguration;50</v>
      </c>
    </row>
    <row r="685" spans="1:11" x14ac:dyDescent="0.3">
      <c r="A685">
        <v>8</v>
      </c>
      <c r="B685" t="s">
        <v>130</v>
      </c>
      <c r="C685" t="s">
        <v>955</v>
      </c>
      <c r="D685" t="b">
        <v>0</v>
      </c>
      <c r="E685" t="s">
        <v>130</v>
      </c>
      <c r="F685" t="s">
        <v>955</v>
      </c>
      <c r="G685">
        <v>50</v>
      </c>
      <c r="H685" t="str">
        <f t="shared" si="40"/>
        <v>FALSE</v>
      </c>
      <c r="I685" t="str">
        <f t="shared" si="41"/>
        <v>FALSE</v>
      </c>
      <c r="J685" t="str">
        <f t="shared" si="42"/>
        <v>FALSE</v>
      </c>
      <c r="K685" t="str">
        <f t="shared" si="43"/>
        <v>subfunctionarea;noisereductionmode;FALSE;subfunctionarea;noisereductionmode;50</v>
      </c>
    </row>
    <row r="686" spans="1:11" x14ac:dyDescent="0.3">
      <c r="A686">
        <v>8</v>
      </c>
      <c r="B686" t="s">
        <v>130</v>
      </c>
      <c r="C686" t="s">
        <v>956</v>
      </c>
      <c r="D686" t="b">
        <v>0</v>
      </c>
      <c r="E686" t="s">
        <v>130</v>
      </c>
      <c r="F686" t="s">
        <v>956</v>
      </c>
      <c r="G686">
        <v>50</v>
      </c>
      <c r="H686" t="str">
        <f t="shared" si="40"/>
        <v>FALSE</v>
      </c>
      <c r="I686" t="str">
        <f t="shared" si="41"/>
        <v>FALSE</v>
      </c>
      <c r="J686" t="str">
        <f t="shared" si="42"/>
        <v>FALSE</v>
      </c>
      <c r="K686" t="str">
        <f t="shared" si="43"/>
        <v>subfunctionarea;nonlinearprocessormode;FALSE;subfunctionarea;nonlinearprocessormode;50</v>
      </c>
    </row>
    <row r="687" spans="1:11" x14ac:dyDescent="0.3">
      <c r="A687">
        <v>8</v>
      </c>
      <c r="B687" t="s">
        <v>130</v>
      </c>
      <c r="C687" t="s">
        <v>347</v>
      </c>
      <c r="D687" t="b">
        <v>0</v>
      </c>
      <c r="E687" t="s">
        <v>130</v>
      </c>
      <c r="F687" t="s">
        <v>347</v>
      </c>
      <c r="G687">
        <v>50</v>
      </c>
      <c r="H687" t="str">
        <f t="shared" si="40"/>
        <v>FALSE</v>
      </c>
      <c r="I687" t="str">
        <f t="shared" si="41"/>
        <v>FALSE</v>
      </c>
      <c r="J687" t="str">
        <f t="shared" si="42"/>
        <v>FALSE</v>
      </c>
      <c r="K687" t="str">
        <f t="shared" si="43"/>
        <v>subfunctionarea;nonregisteredusersallowedforec;FALSE;subfunctionarea;nonregisteredusersallowedforec;50</v>
      </c>
    </row>
    <row r="688" spans="1:11" x14ac:dyDescent="0.3">
      <c r="A688">
        <v>8</v>
      </c>
      <c r="B688" t="s">
        <v>130</v>
      </c>
      <c r="C688" t="s">
        <v>957</v>
      </c>
      <c r="D688" t="b">
        <v>0</v>
      </c>
      <c r="E688" t="s">
        <v>130</v>
      </c>
      <c r="F688" t="s">
        <v>957</v>
      </c>
      <c r="G688">
        <v>50</v>
      </c>
      <c r="H688" t="str">
        <f t="shared" si="40"/>
        <v>FALSE</v>
      </c>
      <c r="I688" t="str">
        <f t="shared" si="41"/>
        <v>FALSE</v>
      </c>
      <c r="J688" t="str">
        <f t="shared" si="42"/>
        <v>FALSE</v>
      </c>
      <c r="K688" t="str">
        <f t="shared" si="43"/>
        <v>subfunctionarea;noofcongestlevelforni;FALSE;subfunctionarea;noofcongestlevelforni;50</v>
      </c>
    </row>
    <row r="689" spans="1:11" x14ac:dyDescent="0.3">
      <c r="A689">
        <v>8</v>
      </c>
      <c r="B689" t="s">
        <v>130</v>
      </c>
      <c r="C689" t="s">
        <v>958</v>
      </c>
      <c r="D689" t="b">
        <v>0</v>
      </c>
      <c r="E689" t="s">
        <v>130</v>
      </c>
      <c r="F689" t="s">
        <v>958</v>
      </c>
      <c r="G689">
        <v>50</v>
      </c>
      <c r="H689" t="str">
        <f t="shared" si="40"/>
        <v>FALSE</v>
      </c>
      <c r="I689" t="str">
        <f t="shared" si="41"/>
        <v>FALSE</v>
      </c>
      <c r="J689" t="str">
        <f t="shared" si="42"/>
        <v>FALSE</v>
      </c>
      <c r="K689" t="str">
        <f t="shared" si="43"/>
        <v>subfunctionarea;notificationconfigid;FALSE;subfunctionarea;notificationconfigid;50</v>
      </c>
    </row>
    <row r="690" spans="1:11" x14ac:dyDescent="0.3">
      <c r="A690">
        <v>8</v>
      </c>
      <c r="B690" t="s">
        <v>130</v>
      </c>
      <c r="C690" t="s">
        <v>959</v>
      </c>
      <c r="D690" t="b">
        <v>0</v>
      </c>
      <c r="E690" t="s">
        <v>130</v>
      </c>
      <c r="F690" t="s">
        <v>959</v>
      </c>
      <c r="G690">
        <v>50</v>
      </c>
      <c r="H690" t="str">
        <f t="shared" si="40"/>
        <v>FALSE</v>
      </c>
      <c r="I690" t="str">
        <f t="shared" si="41"/>
        <v>FALSE</v>
      </c>
      <c r="J690" t="str">
        <f t="shared" si="42"/>
        <v>FALSE</v>
      </c>
      <c r="K690" t="str">
        <f t="shared" si="43"/>
        <v>subfunctionarea;nraoipmode;FALSE;subfunctionarea;nraoipmode;50</v>
      </c>
    </row>
    <row r="691" spans="1:11" x14ac:dyDescent="0.3">
      <c r="A691">
        <v>8</v>
      </c>
      <c r="B691" t="s">
        <v>130</v>
      </c>
      <c r="C691" t="s">
        <v>960</v>
      </c>
      <c r="D691" t="b">
        <v>0</v>
      </c>
      <c r="E691" t="s">
        <v>130</v>
      </c>
      <c r="F691" t="s">
        <v>960</v>
      </c>
      <c r="G691">
        <v>50</v>
      </c>
      <c r="H691" t="str">
        <f t="shared" si="40"/>
        <v>FALSE</v>
      </c>
      <c r="I691" t="str">
        <f t="shared" si="41"/>
        <v>FALSE</v>
      </c>
      <c r="J691" t="str">
        <f t="shared" si="42"/>
        <v>FALSE</v>
      </c>
      <c r="K691" t="str">
        <f t="shared" si="43"/>
        <v>subfunctionarea;nriumode;FALSE;subfunctionarea;nriumode;50</v>
      </c>
    </row>
    <row r="692" spans="1:11" x14ac:dyDescent="0.3">
      <c r="A692">
        <v>8</v>
      </c>
      <c r="B692" t="s">
        <v>130</v>
      </c>
      <c r="C692" t="s">
        <v>961</v>
      </c>
      <c r="D692" t="b">
        <v>0</v>
      </c>
      <c r="E692" t="s">
        <v>130</v>
      </c>
      <c r="F692" t="s">
        <v>961</v>
      </c>
      <c r="G692">
        <v>50</v>
      </c>
      <c r="H692" t="str">
        <f t="shared" si="40"/>
        <v>FALSE</v>
      </c>
      <c r="I692" t="str">
        <f t="shared" si="41"/>
        <v>FALSE</v>
      </c>
      <c r="J692" t="str">
        <f t="shared" si="42"/>
        <v>FALSE</v>
      </c>
      <c r="K692" t="str">
        <f t="shared" si="43"/>
        <v>subfunctionarea;nrmode;FALSE;subfunctionarea;nrmode;50</v>
      </c>
    </row>
    <row r="693" spans="1:11" x14ac:dyDescent="0.3">
      <c r="A693">
        <v>8</v>
      </c>
      <c r="B693" t="s">
        <v>130</v>
      </c>
      <c r="C693" t="s">
        <v>962</v>
      </c>
      <c r="D693" t="b">
        <v>0</v>
      </c>
      <c r="E693" t="s">
        <v>130</v>
      </c>
      <c r="F693" t="s">
        <v>962</v>
      </c>
      <c r="G693">
        <v>50</v>
      </c>
      <c r="H693" t="str">
        <f t="shared" si="40"/>
        <v>FALSE</v>
      </c>
      <c r="I693" t="str">
        <f t="shared" si="41"/>
        <v>FALSE</v>
      </c>
      <c r="J693" t="str">
        <f t="shared" si="42"/>
        <v>FALSE</v>
      </c>
      <c r="K693" t="str">
        <f t="shared" si="43"/>
        <v>subfunctionarea;nrserviceid;FALSE;subfunctionarea;nrserviceid;50</v>
      </c>
    </row>
    <row r="694" spans="1:11" x14ac:dyDescent="0.3">
      <c r="A694">
        <v>8</v>
      </c>
      <c r="B694" t="s">
        <v>130</v>
      </c>
      <c r="C694" t="s">
        <v>963</v>
      </c>
      <c r="D694" t="b">
        <v>0</v>
      </c>
      <c r="E694" t="s">
        <v>130</v>
      </c>
      <c r="F694" t="s">
        <v>963</v>
      </c>
      <c r="G694">
        <v>50</v>
      </c>
      <c r="H694" t="str">
        <f t="shared" si="40"/>
        <v>FALSE</v>
      </c>
      <c r="I694" t="str">
        <f t="shared" si="41"/>
        <v>FALSE</v>
      </c>
      <c r="J694" t="str">
        <f t="shared" si="42"/>
        <v>FALSE</v>
      </c>
      <c r="K694" t="str">
        <f t="shared" si="43"/>
        <v>subfunctionarea;nrtdmmode;FALSE;subfunctionarea;nrtdmmode;50</v>
      </c>
    </row>
    <row r="695" spans="1:11" x14ac:dyDescent="0.3">
      <c r="A695">
        <v>8</v>
      </c>
      <c r="B695" t="s">
        <v>130</v>
      </c>
      <c r="C695" t="s">
        <v>964</v>
      </c>
      <c r="D695" t="b">
        <v>0</v>
      </c>
      <c r="E695" t="s">
        <v>130</v>
      </c>
      <c r="F695" t="s">
        <v>964</v>
      </c>
      <c r="G695">
        <v>50</v>
      </c>
      <c r="H695" t="str">
        <f t="shared" si="40"/>
        <v>FALSE</v>
      </c>
      <c r="I695" t="str">
        <f t="shared" si="41"/>
        <v>FALSE</v>
      </c>
      <c r="J695" t="str">
        <f t="shared" si="42"/>
        <v>FALSE</v>
      </c>
      <c r="K695" t="str">
        <f t="shared" si="43"/>
        <v>subfunctionarea;ntpdscp;FALSE;subfunctionarea;ntpdscp;50</v>
      </c>
    </row>
    <row r="696" spans="1:11" x14ac:dyDescent="0.3">
      <c r="A696">
        <v>8</v>
      </c>
      <c r="B696" t="s">
        <v>130</v>
      </c>
      <c r="C696" t="s">
        <v>965</v>
      </c>
      <c r="D696" t="b">
        <v>0</v>
      </c>
      <c r="E696" t="s">
        <v>130</v>
      </c>
      <c r="F696" t="s">
        <v>965</v>
      </c>
      <c r="G696">
        <v>50</v>
      </c>
      <c r="H696" t="str">
        <f t="shared" si="40"/>
        <v>FALSE</v>
      </c>
      <c r="I696" t="str">
        <f t="shared" si="41"/>
        <v>FALSE</v>
      </c>
      <c r="J696" t="str">
        <f t="shared" si="42"/>
        <v>FALSE</v>
      </c>
      <c r="K696" t="str">
        <f t="shared" si="43"/>
        <v>subfunctionarea;ntpservermode;FALSE;subfunctionarea;ntpservermode;50</v>
      </c>
    </row>
    <row r="697" spans="1:11" x14ac:dyDescent="0.3">
      <c r="A697">
        <v>8</v>
      </c>
      <c r="B697" t="s">
        <v>130</v>
      </c>
      <c r="C697" t="s">
        <v>966</v>
      </c>
      <c r="D697" t="b">
        <v>0</v>
      </c>
      <c r="E697" t="s">
        <v>130</v>
      </c>
      <c r="F697" t="s">
        <v>966</v>
      </c>
      <c r="G697">
        <v>50</v>
      </c>
      <c r="H697" t="str">
        <f t="shared" si="40"/>
        <v>FALSE</v>
      </c>
      <c r="I697" t="str">
        <f t="shared" si="41"/>
        <v>FALSE</v>
      </c>
      <c r="J697" t="str">
        <f t="shared" si="42"/>
        <v>FALSE</v>
      </c>
      <c r="K697" t="str">
        <f t="shared" si="43"/>
        <v>subfunctionarea;numberofslots;FALSE;subfunctionarea;numberofslots;50</v>
      </c>
    </row>
    <row r="698" spans="1:11" x14ac:dyDescent="0.3">
      <c r="A698">
        <v>8</v>
      </c>
      <c r="B698" t="s">
        <v>130</v>
      </c>
      <c r="C698" t="s">
        <v>967</v>
      </c>
      <c r="D698" t="b">
        <v>0</v>
      </c>
      <c r="E698" t="s">
        <v>130</v>
      </c>
      <c r="F698" t="s">
        <v>967</v>
      </c>
      <c r="G698">
        <v>50</v>
      </c>
      <c r="H698" t="str">
        <f t="shared" si="40"/>
        <v>FALSE</v>
      </c>
      <c r="I698" t="str">
        <f t="shared" si="41"/>
        <v>FALSE</v>
      </c>
      <c r="J698" t="str">
        <f t="shared" si="42"/>
        <v>FALSE</v>
      </c>
      <c r="K698" t="str">
        <f t="shared" si="43"/>
        <v>subfunctionarea;operationalstate;FALSE;subfunctionarea;operationalstate;50</v>
      </c>
    </row>
    <row r="699" spans="1:11" x14ac:dyDescent="0.3">
      <c r="A699">
        <v>8</v>
      </c>
      <c r="B699" t="s">
        <v>130</v>
      </c>
      <c r="C699" t="s">
        <v>968</v>
      </c>
      <c r="D699" t="b">
        <v>0</v>
      </c>
      <c r="E699" t="s">
        <v>130</v>
      </c>
      <c r="F699" t="s">
        <v>968</v>
      </c>
      <c r="G699">
        <v>50</v>
      </c>
      <c r="H699" t="str">
        <f t="shared" si="40"/>
        <v>FALSE</v>
      </c>
      <c r="I699" t="str">
        <f t="shared" si="41"/>
        <v>FALSE</v>
      </c>
      <c r="J699" t="str">
        <f t="shared" si="42"/>
        <v>FALSE</v>
      </c>
      <c r="K699" t="str">
        <f t="shared" si="43"/>
        <v>subfunctionarea;otpdiaproduct;FALSE;subfunctionarea;otpdiaproduct;50</v>
      </c>
    </row>
    <row r="700" spans="1:11" x14ac:dyDescent="0.3">
      <c r="A700">
        <v>8</v>
      </c>
      <c r="B700" t="s">
        <v>130</v>
      </c>
      <c r="C700" t="s">
        <v>969</v>
      </c>
      <c r="D700" t="b">
        <v>0</v>
      </c>
      <c r="E700" t="s">
        <v>130</v>
      </c>
      <c r="F700" t="s">
        <v>969</v>
      </c>
      <c r="G700">
        <v>50</v>
      </c>
      <c r="H700" t="str">
        <f t="shared" si="40"/>
        <v>FALSE</v>
      </c>
      <c r="I700" t="str">
        <f t="shared" si="41"/>
        <v>FALSE</v>
      </c>
      <c r="J700" t="str">
        <f t="shared" si="42"/>
        <v>FALSE</v>
      </c>
      <c r="K700" t="str">
        <f t="shared" si="43"/>
        <v>subfunctionarea;partialfill;FALSE;subfunctionarea;partialfill;50</v>
      </c>
    </row>
    <row r="701" spans="1:11" x14ac:dyDescent="0.3">
      <c r="A701">
        <v>8</v>
      </c>
      <c r="B701" t="s">
        <v>130</v>
      </c>
      <c r="C701" t="s">
        <v>1044</v>
      </c>
      <c r="D701" t="b">
        <v>0</v>
      </c>
      <c r="E701" t="s">
        <v>130</v>
      </c>
      <c r="F701" t="s">
        <v>1044</v>
      </c>
      <c r="G701">
        <v>50</v>
      </c>
      <c r="H701" t="str">
        <f t="shared" si="40"/>
        <v>FALSE</v>
      </c>
      <c r="I701" t="str">
        <f t="shared" si="41"/>
        <v>FALSE</v>
      </c>
      <c r="J701" t="str">
        <f t="shared" si="42"/>
        <v>FALSE</v>
      </c>
      <c r="K701" t="str">
        <f t="shared" si="43"/>
        <v>subfunctionarea;pathmaxrtx;FALSE;subfunctionarea;pathmaxrtx;50</v>
      </c>
    </row>
    <row r="702" spans="1:11" x14ac:dyDescent="0.3">
      <c r="A702">
        <v>8</v>
      </c>
      <c r="B702" t="s">
        <v>130</v>
      </c>
      <c r="C702" t="s">
        <v>970</v>
      </c>
      <c r="D702" t="b">
        <v>0</v>
      </c>
      <c r="E702" t="s">
        <v>130</v>
      </c>
      <c r="F702" t="s">
        <v>970</v>
      </c>
      <c r="G702">
        <v>50</v>
      </c>
      <c r="H702" t="str">
        <f t="shared" si="40"/>
        <v>FALSE</v>
      </c>
      <c r="I702" t="str">
        <f t="shared" si="41"/>
        <v>FALSE</v>
      </c>
      <c r="J702" t="str">
        <f t="shared" si="42"/>
        <v>FALSE</v>
      </c>
      <c r="K702" t="str">
        <f t="shared" si="43"/>
        <v>subfunctionarea;payloadprocessorfailuretimer;FALSE;subfunctionarea;payloadprocessorfailuretimer;50</v>
      </c>
    </row>
    <row r="703" spans="1:11" x14ac:dyDescent="0.3">
      <c r="A703">
        <v>8</v>
      </c>
      <c r="B703" t="s">
        <v>130</v>
      </c>
      <c r="C703" t="s">
        <v>971</v>
      </c>
      <c r="D703" t="b">
        <v>0</v>
      </c>
      <c r="E703" t="s">
        <v>130</v>
      </c>
      <c r="F703" t="s">
        <v>971</v>
      </c>
      <c r="G703">
        <v>50</v>
      </c>
      <c r="H703" t="str">
        <f t="shared" si="40"/>
        <v>FALSE</v>
      </c>
      <c r="I703" t="str">
        <f t="shared" si="41"/>
        <v>FALSE</v>
      </c>
      <c r="J703" t="str">
        <f t="shared" si="42"/>
        <v>FALSE</v>
      </c>
      <c r="K703" t="str">
        <f t="shared" si="43"/>
        <v>subfunctionarea;pcfconfigid;FALSE;subfunctionarea;pcfconfigid;50</v>
      </c>
    </row>
    <row r="704" spans="1:11" x14ac:dyDescent="0.3">
      <c r="A704">
        <v>8</v>
      </c>
      <c r="B704" t="s">
        <v>130</v>
      </c>
      <c r="C704" t="s">
        <v>972</v>
      </c>
      <c r="D704" t="b">
        <v>0</v>
      </c>
      <c r="E704" t="s">
        <v>130</v>
      </c>
      <c r="F704" t="s">
        <v>972</v>
      </c>
      <c r="G704">
        <v>50</v>
      </c>
      <c r="H704" t="str">
        <f t="shared" si="40"/>
        <v>FALSE</v>
      </c>
      <c r="I704" t="str">
        <f t="shared" si="41"/>
        <v>FALSE</v>
      </c>
      <c r="J704" t="str">
        <f t="shared" si="42"/>
        <v>FALSE</v>
      </c>
      <c r="K704" t="str">
        <f t="shared" si="43"/>
        <v>subfunctionarea;pcmserviceid;FALSE;subfunctionarea;pcmserviceid;50</v>
      </c>
    </row>
    <row r="705" spans="1:11" x14ac:dyDescent="0.3">
      <c r="A705">
        <v>8</v>
      </c>
      <c r="B705" t="s">
        <v>130</v>
      </c>
      <c r="C705" t="s">
        <v>973</v>
      </c>
      <c r="D705" t="b">
        <v>0</v>
      </c>
      <c r="E705" t="s">
        <v>130</v>
      </c>
      <c r="F705" t="s">
        <v>973</v>
      </c>
      <c r="G705">
        <v>50</v>
      </c>
      <c r="H705" t="str">
        <f t="shared" si="40"/>
        <v>FALSE</v>
      </c>
      <c r="I705" t="str">
        <f t="shared" si="41"/>
        <v>FALSE</v>
      </c>
      <c r="J705" t="str">
        <f t="shared" si="42"/>
        <v>FALSE</v>
      </c>
      <c r="K705" t="str">
        <f t="shared" si="43"/>
        <v>subfunctionarea;pcmsystemnr;FALSE;subfunctionarea;pcmsystemnr;50</v>
      </c>
    </row>
    <row r="706" spans="1:11" x14ac:dyDescent="0.3">
      <c r="A706">
        <v>8</v>
      </c>
      <c r="B706" t="s">
        <v>130</v>
      </c>
      <c r="C706" t="s">
        <v>974</v>
      </c>
      <c r="D706" t="b">
        <v>0</v>
      </c>
      <c r="E706" t="s">
        <v>130</v>
      </c>
      <c r="F706" t="s">
        <v>974</v>
      </c>
      <c r="G706">
        <v>50</v>
      </c>
      <c r="H706" t="str">
        <f t="shared" ref="H706:H769" si="44">IF(LEN(C706)&gt;30,"TRUE","FALSE")</f>
        <v>FALSE</v>
      </c>
      <c r="I706" t="str">
        <f t="shared" ref="I706:I769" si="45">IF(LEN(F706)&gt;30,"TRUE","FALSE")</f>
        <v>FALSE</v>
      </c>
      <c r="J706" t="str">
        <f t="shared" ref="J706:J769" si="46">IF(G706&gt;50,"TRUE","FALSE")</f>
        <v>FALSE</v>
      </c>
      <c r="K706" t="str">
        <f t="shared" ref="K706:K769" si="47">CONCATENATE(B706,";",C706,";",D706,";",E706,";",F706,";",G706)</f>
        <v>subfunctionarea;pcscfdomainnameentry;FALSE;subfunctionarea;pcscfdomainnameentry;50</v>
      </c>
    </row>
    <row r="707" spans="1:11" x14ac:dyDescent="0.3">
      <c r="A707">
        <v>8</v>
      </c>
      <c r="B707" t="s">
        <v>130</v>
      </c>
      <c r="C707" t="s">
        <v>1043</v>
      </c>
      <c r="D707" t="b">
        <v>0</v>
      </c>
      <c r="E707" t="s">
        <v>130</v>
      </c>
      <c r="F707" t="s">
        <v>1043</v>
      </c>
      <c r="G707">
        <v>50</v>
      </c>
      <c r="H707" t="str">
        <f t="shared" si="44"/>
        <v>FALSE</v>
      </c>
      <c r="I707" t="str">
        <f t="shared" si="45"/>
        <v>FALSE</v>
      </c>
      <c r="J707" t="str">
        <f t="shared" si="46"/>
        <v>FALSE</v>
      </c>
      <c r="K707" t="str">
        <f t="shared" si="47"/>
        <v>subfunctionarea;pmid;FALSE;subfunctionarea;pmid;50</v>
      </c>
    </row>
    <row r="708" spans="1:11" x14ac:dyDescent="0.3">
      <c r="A708">
        <v>8</v>
      </c>
      <c r="B708" t="s">
        <v>130</v>
      </c>
      <c r="C708" t="s">
        <v>975</v>
      </c>
      <c r="D708" t="b">
        <v>0</v>
      </c>
      <c r="E708" t="s">
        <v>130</v>
      </c>
      <c r="F708" t="s">
        <v>975</v>
      </c>
      <c r="G708">
        <v>50</v>
      </c>
      <c r="H708" t="str">
        <f t="shared" si="44"/>
        <v>FALSE</v>
      </c>
      <c r="I708" t="str">
        <f t="shared" si="45"/>
        <v>FALSE</v>
      </c>
      <c r="J708" t="str">
        <f t="shared" si="46"/>
        <v>FALSE</v>
      </c>
      <c r="K708" t="str">
        <f t="shared" si="47"/>
        <v>subfunctionarea;pool;FALSE;subfunctionarea;pool;50</v>
      </c>
    </row>
    <row r="709" spans="1:11" x14ac:dyDescent="0.3">
      <c r="A709">
        <v>8</v>
      </c>
      <c r="B709" t="s">
        <v>130</v>
      </c>
      <c r="C709" t="s">
        <v>976</v>
      </c>
      <c r="D709" t="b">
        <v>0</v>
      </c>
      <c r="E709" t="s">
        <v>130</v>
      </c>
      <c r="F709" t="s">
        <v>976</v>
      </c>
      <c r="G709">
        <v>50</v>
      </c>
      <c r="H709" t="str">
        <f t="shared" si="44"/>
        <v>FALSE</v>
      </c>
      <c r="I709" t="str">
        <f t="shared" si="45"/>
        <v>FALSE</v>
      </c>
      <c r="J709" t="str">
        <f t="shared" si="46"/>
        <v>FALSE</v>
      </c>
      <c r="K709" t="str">
        <f t="shared" si="47"/>
        <v>subfunctionarea;poolid;FALSE;subfunctionarea;poolid;50</v>
      </c>
    </row>
    <row r="710" spans="1:11" x14ac:dyDescent="0.3">
      <c r="A710">
        <v>8</v>
      </c>
      <c r="B710" t="s">
        <v>130</v>
      </c>
      <c r="C710" t="s">
        <v>1042</v>
      </c>
      <c r="D710" t="b">
        <v>0</v>
      </c>
      <c r="E710" t="s">
        <v>130</v>
      </c>
      <c r="F710" t="s">
        <v>1042</v>
      </c>
      <c r="G710">
        <v>50</v>
      </c>
      <c r="H710" t="str">
        <f t="shared" si="44"/>
        <v>FALSE</v>
      </c>
      <c r="I710" t="str">
        <f t="shared" si="45"/>
        <v>FALSE</v>
      </c>
      <c r="J710" t="str">
        <f t="shared" si="46"/>
        <v>FALSE</v>
      </c>
      <c r="K710" t="str">
        <f t="shared" si="47"/>
        <v>subfunctionarea;portnumber;FALSE;subfunctionarea;portnumber;50</v>
      </c>
    </row>
    <row r="711" spans="1:11" x14ac:dyDescent="0.3">
      <c r="A711">
        <v>8</v>
      </c>
      <c r="B711" t="s">
        <v>130</v>
      </c>
      <c r="C711" t="s">
        <v>1041</v>
      </c>
      <c r="D711" t="b">
        <v>0</v>
      </c>
      <c r="E711" t="s">
        <v>130</v>
      </c>
      <c r="F711" t="s">
        <v>1041</v>
      </c>
      <c r="G711">
        <v>50</v>
      </c>
      <c r="H711" t="str">
        <f t="shared" si="44"/>
        <v>FALSE</v>
      </c>
      <c r="I711" t="str">
        <f t="shared" si="45"/>
        <v>FALSE</v>
      </c>
      <c r="J711" t="str">
        <f t="shared" si="46"/>
        <v>FALSE</v>
      </c>
      <c r="K711" t="str">
        <f t="shared" si="47"/>
        <v>subfunctionarea;primarypathmaxrtx;FALSE;subfunctionarea;primarypathmaxrtx;50</v>
      </c>
    </row>
    <row r="712" spans="1:11" x14ac:dyDescent="0.3">
      <c r="A712">
        <v>8</v>
      </c>
      <c r="B712" t="s">
        <v>130</v>
      </c>
      <c r="C712" t="s">
        <v>977</v>
      </c>
      <c r="D712" t="b">
        <v>0</v>
      </c>
      <c r="E712" t="s">
        <v>130</v>
      </c>
      <c r="F712" t="s">
        <v>977</v>
      </c>
      <c r="G712">
        <v>50</v>
      </c>
      <c r="H712" t="str">
        <f t="shared" si="44"/>
        <v>FALSE</v>
      </c>
      <c r="I712" t="str">
        <f t="shared" si="45"/>
        <v>FALSE</v>
      </c>
      <c r="J712" t="str">
        <f t="shared" si="46"/>
        <v>FALSE</v>
      </c>
      <c r="K712" t="str">
        <f t="shared" si="47"/>
        <v>subfunctionarea;priority;FALSE;subfunctionarea;priority;50</v>
      </c>
    </row>
    <row r="713" spans="1:11" x14ac:dyDescent="0.3">
      <c r="A713">
        <v>8</v>
      </c>
      <c r="B713" t="s">
        <v>130</v>
      </c>
      <c r="C713" t="s">
        <v>978</v>
      </c>
      <c r="D713" t="b">
        <v>0</v>
      </c>
      <c r="E713" t="s">
        <v>130</v>
      </c>
      <c r="F713" t="s">
        <v>978</v>
      </c>
      <c r="G713">
        <v>50</v>
      </c>
      <c r="H713" t="str">
        <f t="shared" si="44"/>
        <v>FALSE</v>
      </c>
      <c r="I713" t="str">
        <f t="shared" si="45"/>
        <v>FALSE</v>
      </c>
      <c r="J713" t="str">
        <f t="shared" si="46"/>
        <v>FALSE</v>
      </c>
      <c r="K713" t="str">
        <f t="shared" si="47"/>
        <v>subfunctionarea;prioritycallssupport;FALSE;subfunctionarea;prioritycallssupport;50</v>
      </c>
    </row>
    <row r="714" spans="1:11" x14ac:dyDescent="0.3">
      <c r="A714">
        <v>8</v>
      </c>
      <c r="B714" t="s">
        <v>130</v>
      </c>
      <c r="C714" t="s">
        <v>110</v>
      </c>
      <c r="D714" t="b">
        <v>0</v>
      </c>
      <c r="E714" t="s">
        <v>130</v>
      </c>
      <c r="F714" t="s">
        <v>110</v>
      </c>
      <c r="G714">
        <v>50</v>
      </c>
      <c r="H714" t="str">
        <f t="shared" si="44"/>
        <v>FALSE</v>
      </c>
      <c r="I714" t="str">
        <f t="shared" si="45"/>
        <v>FALSE</v>
      </c>
      <c r="J714" t="str">
        <f t="shared" si="46"/>
        <v>FALSE</v>
      </c>
      <c r="K714" t="str">
        <f t="shared" si="47"/>
        <v>subfunctionarea;productname;FALSE;subfunctionarea;productname;50</v>
      </c>
    </row>
    <row r="715" spans="1:11" x14ac:dyDescent="0.3">
      <c r="A715">
        <v>8</v>
      </c>
      <c r="B715" t="s">
        <v>130</v>
      </c>
      <c r="C715" t="s">
        <v>979</v>
      </c>
      <c r="D715" t="b">
        <v>0</v>
      </c>
      <c r="E715" t="s">
        <v>130</v>
      </c>
      <c r="F715" t="s">
        <v>979</v>
      </c>
      <c r="G715">
        <v>50</v>
      </c>
      <c r="H715" t="str">
        <f t="shared" si="44"/>
        <v>FALSE</v>
      </c>
      <c r="I715" t="str">
        <f t="shared" si="45"/>
        <v>FALSE</v>
      </c>
      <c r="J715" t="str">
        <f t="shared" si="46"/>
        <v>FALSE</v>
      </c>
      <c r="K715" t="str">
        <f t="shared" si="47"/>
        <v>subfunctionarea;rad-logstatus;FALSE;subfunctionarea;rad-logstatus;50</v>
      </c>
    </row>
    <row r="716" spans="1:11" x14ac:dyDescent="0.3">
      <c r="A716">
        <v>8</v>
      </c>
      <c r="B716" t="s">
        <v>130</v>
      </c>
      <c r="C716" t="s">
        <v>980</v>
      </c>
      <c r="D716" t="b">
        <v>0</v>
      </c>
      <c r="E716" t="s">
        <v>130</v>
      </c>
      <c r="F716" t="s">
        <v>980</v>
      </c>
      <c r="G716">
        <v>50</v>
      </c>
      <c r="H716" t="str">
        <f t="shared" si="44"/>
        <v>FALSE</v>
      </c>
      <c r="I716" t="str">
        <f t="shared" si="45"/>
        <v>FALSE</v>
      </c>
      <c r="J716" t="str">
        <f t="shared" si="46"/>
        <v>FALSE</v>
      </c>
      <c r="K716" t="str">
        <f t="shared" si="47"/>
        <v>subfunctionarea;rdisecondarysf;FALSE;subfunctionarea;rdisecondarysf;50</v>
      </c>
    </row>
    <row r="717" spans="1:11" x14ac:dyDescent="0.3">
      <c r="A717">
        <v>8</v>
      </c>
      <c r="B717" t="s">
        <v>130</v>
      </c>
      <c r="C717" t="s">
        <v>981</v>
      </c>
      <c r="D717" t="b">
        <v>0</v>
      </c>
      <c r="E717" t="s">
        <v>130</v>
      </c>
      <c r="F717" t="s">
        <v>981</v>
      </c>
      <c r="G717">
        <v>50</v>
      </c>
      <c r="H717" t="str">
        <f t="shared" si="44"/>
        <v>FALSE</v>
      </c>
      <c r="I717" t="str">
        <f t="shared" si="45"/>
        <v>FALSE</v>
      </c>
      <c r="J717" t="str">
        <f t="shared" si="46"/>
        <v>FALSE</v>
      </c>
      <c r="K717" t="str">
        <f t="shared" si="47"/>
        <v>subfunctionarea;readonlyclassnames;FALSE;subfunctionarea;readonlyclassnames;50</v>
      </c>
    </row>
    <row r="718" spans="1:11" x14ac:dyDescent="0.3">
      <c r="A718">
        <v>8</v>
      </c>
      <c r="B718" t="s">
        <v>130</v>
      </c>
      <c r="C718" t="s">
        <v>982</v>
      </c>
      <c r="D718" t="b">
        <v>0</v>
      </c>
      <c r="E718" t="s">
        <v>130</v>
      </c>
      <c r="F718" t="s">
        <v>982</v>
      </c>
      <c r="G718">
        <v>50</v>
      </c>
      <c r="H718" t="str">
        <f t="shared" si="44"/>
        <v>FALSE</v>
      </c>
      <c r="I718" t="str">
        <f t="shared" si="45"/>
        <v>FALSE</v>
      </c>
      <c r="J718" t="str">
        <f t="shared" si="46"/>
        <v>FALSE</v>
      </c>
      <c r="K718" t="str">
        <f t="shared" si="47"/>
        <v>subfunctionarea;reassemblytimeout;FALSE;subfunctionarea;reassemblytimeout;50</v>
      </c>
    </row>
    <row r="719" spans="1:11" x14ac:dyDescent="0.3">
      <c r="A719">
        <v>8</v>
      </c>
      <c r="B719" t="s">
        <v>130</v>
      </c>
      <c r="C719" t="s">
        <v>474</v>
      </c>
      <c r="D719" t="b">
        <v>0</v>
      </c>
      <c r="E719" t="s">
        <v>130</v>
      </c>
      <c r="F719" t="s">
        <v>474</v>
      </c>
      <c r="G719">
        <v>50</v>
      </c>
      <c r="H719" t="str">
        <f t="shared" si="44"/>
        <v>FALSE</v>
      </c>
      <c r="I719" t="str">
        <f t="shared" si="45"/>
        <v>FALSE</v>
      </c>
      <c r="J719" t="str">
        <f t="shared" si="46"/>
        <v>FALSE</v>
      </c>
      <c r="K719" t="str">
        <f t="shared" si="47"/>
        <v>subfunctionarea;referencetolicenseserver;FALSE;subfunctionarea;referencetolicenseserver;50</v>
      </c>
    </row>
    <row r="720" spans="1:11" x14ac:dyDescent="0.3">
      <c r="A720">
        <v>8</v>
      </c>
      <c r="B720" t="s">
        <v>130</v>
      </c>
      <c r="C720" t="s">
        <v>983</v>
      </c>
      <c r="D720" t="b">
        <v>0</v>
      </c>
      <c r="E720" t="s">
        <v>130</v>
      </c>
      <c r="F720" t="s">
        <v>983</v>
      </c>
      <c r="G720">
        <v>50</v>
      </c>
      <c r="H720" t="str">
        <f t="shared" si="44"/>
        <v>FALSE</v>
      </c>
      <c r="I720" t="str">
        <f t="shared" si="45"/>
        <v>FALSE</v>
      </c>
      <c r="J720" t="str">
        <f t="shared" si="46"/>
        <v>FALSE</v>
      </c>
      <c r="K720" t="str">
        <f t="shared" si="47"/>
        <v>subfunctionarea;remotesiteprefix;FALSE;subfunctionarea;remotesiteprefix;50</v>
      </c>
    </row>
    <row r="721" spans="1:11" x14ac:dyDescent="0.3">
      <c r="A721">
        <v>8</v>
      </c>
      <c r="B721" t="s">
        <v>130</v>
      </c>
      <c r="C721" t="s">
        <v>984</v>
      </c>
      <c r="D721" t="b">
        <v>0</v>
      </c>
      <c r="E721" t="s">
        <v>130</v>
      </c>
      <c r="F721" t="s">
        <v>984</v>
      </c>
      <c r="G721">
        <v>50</v>
      </c>
      <c r="H721" t="str">
        <f t="shared" si="44"/>
        <v>FALSE</v>
      </c>
      <c r="I721" t="str">
        <f t="shared" si="45"/>
        <v>FALSE</v>
      </c>
      <c r="J721" t="str">
        <f t="shared" si="46"/>
        <v>FALSE</v>
      </c>
      <c r="K721" t="str">
        <f t="shared" si="47"/>
        <v>subfunctionarea;replicationgroup;FALSE;subfunctionarea;replicationgroup;50</v>
      </c>
    </row>
    <row r="722" spans="1:11" x14ac:dyDescent="0.3">
      <c r="A722">
        <v>8</v>
      </c>
      <c r="B722" t="s">
        <v>130</v>
      </c>
      <c r="C722" t="s">
        <v>985</v>
      </c>
      <c r="D722" t="b">
        <v>0</v>
      </c>
      <c r="E722" t="s">
        <v>130</v>
      </c>
      <c r="F722" t="s">
        <v>985</v>
      </c>
      <c r="G722">
        <v>50</v>
      </c>
      <c r="H722" t="str">
        <f t="shared" si="44"/>
        <v>FALSE</v>
      </c>
      <c r="I722" t="str">
        <f t="shared" si="45"/>
        <v>FALSE</v>
      </c>
      <c r="J722" t="str">
        <f t="shared" si="46"/>
        <v>FALSE</v>
      </c>
      <c r="K722" t="str">
        <f t="shared" si="47"/>
        <v>subfunctionarea;reportperiod;FALSE;subfunctionarea;reportperiod;50</v>
      </c>
    </row>
    <row r="723" spans="1:11" x14ac:dyDescent="0.3">
      <c r="A723">
        <v>8</v>
      </c>
      <c r="B723" t="s">
        <v>130</v>
      </c>
      <c r="C723" t="s">
        <v>986</v>
      </c>
      <c r="D723" t="b">
        <v>0</v>
      </c>
      <c r="E723" t="s">
        <v>130</v>
      </c>
      <c r="F723" t="s">
        <v>986</v>
      </c>
      <c r="G723">
        <v>50</v>
      </c>
      <c r="H723" t="str">
        <f t="shared" si="44"/>
        <v>FALSE</v>
      </c>
      <c r="I723" t="str">
        <f t="shared" si="45"/>
        <v>FALSE</v>
      </c>
      <c r="J723" t="str">
        <f t="shared" si="46"/>
        <v>FALSE</v>
      </c>
      <c r="K723" t="str">
        <f t="shared" si="47"/>
        <v>subfunctionarea;reportprogress;FALSE;subfunctionarea;reportprogress;50</v>
      </c>
    </row>
    <row r="724" spans="1:11" x14ac:dyDescent="0.3">
      <c r="A724">
        <v>8</v>
      </c>
      <c r="B724" t="s">
        <v>130</v>
      </c>
      <c r="C724" t="s">
        <v>987</v>
      </c>
      <c r="D724" t="b">
        <v>0</v>
      </c>
      <c r="E724" t="s">
        <v>130</v>
      </c>
      <c r="F724" t="s">
        <v>987</v>
      </c>
      <c r="G724">
        <v>50</v>
      </c>
      <c r="H724" t="str">
        <f t="shared" si="44"/>
        <v>FALSE</v>
      </c>
      <c r="I724" t="str">
        <f t="shared" si="45"/>
        <v>FALSE</v>
      </c>
      <c r="J724" t="str">
        <f t="shared" si="46"/>
        <v>FALSE</v>
      </c>
      <c r="K724" t="str">
        <f t="shared" si="47"/>
        <v>subfunctionarea;resendtfcinterval;FALSE;subfunctionarea;resendtfcinterval;50</v>
      </c>
    </row>
    <row r="725" spans="1:11" x14ac:dyDescent="0.3">
      <c r="A725">
        <v>8</v>
      </c>
      <c r="B725" t="s">
        <v>130</v>
      </c>
      <c r="C725" t="s">
        <v>988</v>
      </c>
      <c r="D725" t="b">
        <v>0</v>
      </c>
      <c r="E725" t="s">
        <v>130</v>
      </c>
      <c r="F725" t="s">
        <v>988</v>
      </c>
      <c r="G725">
        <v>50</v>
      </c>
      <c r="H725" t="str">
        <f t="shared" si="44"/>
        <v>FALSE</v>
      </c>
      <c r="I725" t="str">
        <f t="shared" si="45"/>
        <v>FALSE</v>
      </c>
      <c r="J725" t="str">
        <f t="shared" si="46"/>
        <v>FALSE</v>
      </c>
      <c r="K725" t="str">
        <f t="shared" si="47"/>
        <v>subfunctionarea;resourceaccesscontainerid;FALSE;subfunctionarea;resourceaccesscontainerid;50</v>
      </c>
    </row>
    <row r="726" spans="1:11" x14ac:dyDescent="0.3">
      <c r="A726">
        <v>8</v>
      </c>
      <c r="B726" t="s">
        <v>130</v>
      </c>
      <c r="C726" t="s">
        <v>989</v>
      </c>
      <c r="D726" t="b">
        <v>0</v>
      </c>
      <c r="E726" t="s">
        <v>130</v>
      </c>
      <c r="F726" t="s">
        <v>989</v>
      </c>
      <c r="G726">
        <v>50</v>
      </c>
      <c r="H726" t="str">
        <f t="shared" si="44"/>
        <v>FALSE</v>
      </c>
      <c r="I726" t="str">
        <f t="shared" si="45"/>
        <v>FALSE</v>
      </c>
      <c r="J726" t="str">
        <f t="shared" si="46"/>
        <v>FALSE</v>
      </c>
      <c r="K726" t="str">
        <f t="shared" si="47"/>
        <v>subfunctionarea;rlpmaxretransmission;FALSE;subfunctionarea;rlpmaxretransmission;50</v>
      </c>
    </row>
    <row r="727" spans="1:11" x14ac:dyDescent="0.3">
      <c r="A727">
        <v>8</v>
      </c>
      <c r="B727" t="s">
        <v>130</v>
      </c>
      <c r="C727" t="s">
        <v>990</v>
      </c>
      <c r="D727" t="b">
        <v>0</v>
      </c>
      <c r="E727" t="s">
        <v>130</v>
      </c>
      <c r="F727" t="s">
        <v>990</v>
      </c>
      <c r="G727">
        <v>50</v>
      </c>
      <c r="H727" t="str">
        <f t="shared" si="44"/>
        <v>FALSE</v>
      </c>
      <c r="I727" t="str">
        <f t="shared" si="45"/>
        <v>FALSE</v>
      </c>
      <c r="J727" t="str">
        <f t="shared" si="46"/>
        <v>FALSE</v>
      </c>
      <c r="K727" t="str">
        <f t="shared" si="47"/>
        <v>subfunctionarea;rlpmultilinkwindowsizeiwfms;FALSE;subfunctionarea;rlpmultilinkwindowsizeiwfms;50</v>
      </c>
    </row>
    <row r="728" spans="1:11" x14ac:dyDescent="0.3">
      <c r="A728">
        <v>8</v>
      </c>
      <c r="B728" t="s">
        <v>130</v>
      </c>
      <c r="C728" t="s">
        <v>991</v>
      </c>
      <c r="D728" t="b">
        <v>0</v>
      </c>
      <c r="E728" t="s">
        <v>130</v>
      </c>
      <c r="F728" t="s">
        <v>991</v>
      </c>
      <c r="G728">
        <v>50</v>
      </c>
      <c r="H728" t="str">
        <f t="shared" si="44"/>
        <v>FALSE</v>
      </c>
      <c r="I728" t="str">
        <f t="shared" si="45"/>
        <v>FALSE</v>
      </c>
      <c r="J728" t="str">
        <f t="shared" si="46"/>
        <v>FALSE</v>
      </c>
      <c r="K728" t="str">
        <f t="shared" si="47"/>
        <v>subfunctionarea;rlpmultilinkwindowsizemsiwf;FALSE;subfunctionarea;rlpmultilinkwindowsizemsiwf;50</v>
      </c>
    </row>
    <row r="729" spans="1:11" x14ac:dyDescent="0.3">
      <c r="A729">
        <v>8</v>
      </c>
      <c r="B729" t="s">
        <v>130</v>
      </c>
      <c r="C729" t="s">
        <v>992</v>
      </c>
      <c r="D729" t="b">
        <v>0</v>
      </c>
      <c r="E729" t="s">
        <v>130</v>
      </c>
      <c r="F729" t="s">
        <v>992</v>
      </c>
      <c r="G729">
        <v>50</v>
      </c>
      <c r="H729" t="str">
        <f t="shared" si="44"/>
        <v>FALSE</v>
      </c>
      <c r="I729" t="str">
        <f t="shared" si="45"/>
        <v>FALSE</v>
      </c>
      <c r="J729" t="str">
        <f t="shared" si="46"/>
        <v>FALSE</v>
      </c>
      <c r="K729" t="str">
        <f t="shared" si="47"/>
        <v>subfunctionarea;rlpreseqtimert4a;FALSE;subfunctionarea;rlpreseqtimert4a;50</v>
      </c>
    </row>
    <row r="730" spans="1:11" x14ac:dyDescent="0.3">
      <c r="A730">
        <v>8</v>
      </c>
      <c r="B730" t="s">
        <v>130</v>
      </c>
      <c r="C730" t="s">
        <v>993</v>
      </c>
      <c r="D730" t="b">
        <v>0</v>
      </c>
      <c r="E730" t="s">
        <v>130</v>
      </c>
      <c r="F730" t="s">
        <v>993</v>
      </c>
      <c r="G730">
        <v>50</v>
      </c>
      <c r="H730" t="str">
        <f t="shared" si="44"/>
        <v>FALSE</v>
      </c>
      <c r="I730" t="str">
        <f t="shared" si="45"/>
        <v>FALSE</v>
      </c>
      <c r="J730" t="str">
        <f t="shared" si="46"/>
        <v>FALSE</v>
      </c>
      <c r="K730" t="str">
        <f t="shared" si="47"/>
        <v>subfunctionarea;rlpreseqtimert4b;FALSE;subfunctionarea;rlpreseqtimert4b;50</v>
      </c>
    </row>
    <row r="731" spans="1:11" x14ac:dyDescent="0.3">
      <c r="A731">
        <v>8</v>
      </c>
      <c r="B731" t="s">
        <v>130</v>
      </c>
      <c r="C731" t="s">
        <v>994</v>
      </c>
      <c r="D731" t="b">
        <v>0</v>
      </c>
      <c r="E731" t="s">
        <v>130</v>
      </c>
      <c r="F731" t="s">
        <v>994</v>
      </c>
      <c r="G731">
        <v>50</v>
      </c>
      <c r="H731" t="str">
        <f t="shared" si="44"/>
        <v>FALSE</v>
      </c>
      <c r="I731" t="str">
        <f t="shared" si="45"/>
        <v>FALSE</v>
      </c>
      <c r="J731" t="str">
        <f t="shared" si="46"/>
        <v>FALSE</v>
      </c>
      <c r="K731" t="str">
        <f t="shared" si="47"/>
        <v>subfunctionarea;rlpretranstimert1;FALSE;subfunctionarea;rlpretranstimert1;50</v>
      </c>
    </row>
    <row r="732" spans="1:11" x14ac:dyDescent="0.3">
      <c r="A732">
        <v>8</v>
      </c>
      <c r="B732" t="s">
        <v>130</v>
      </c>
      <c r="C732" t="s">
        <v>995</v>
      </c>
      <c r="D732" t="b">
        <v>0</v>
      </c>
      <c r="E732" t="s">
        <v>130</v>
      </c>
      <c r="F732" t="s">
        <v>995</v>
      </c>
      <c r="G732">
        <v>50</v>
      </c>
      <c r="H732" t="str">
        <f t="shared" si="44"/>
        <v>FALSE</v>
      </c>
      <c r="I732" t="str">
        <f t="shared" si="45"/>
        <v>FALSE</v>
      </c>
      <c r="J732" t="str">
        <f t="shared" si="46"/>
        <v>FALSE</v>
      </c>
      <c r="K732" t="str">
        <f t="shared" si="47"/>
        <v>subfunctionarea;rlptimert1a;FALSE;subfunctionarea;rlptimert1a;50</v>
      </c>
    </row>
    <row r="733" spans="1:11" x14ac:dyDescent="0.3">
      <c r="A733">
        <v>8</v>
      </c>
      <c r="B733" t="s">
        <v>130</v>
      </c>
      <c r="C733" t="s">
        <v>996</v>
      </c>
      <c r="D733" t="b">
        <v>0</v>
      </c>
      <c r="E733" t="s">
        <v>130</v>
      </c>
      <c r="F733" t="s">
        <v>996</v>
      </c>
      <c r="G733">
        <v>50</v>
      </c>
      <c r="H733" t="str">
        <f t="shared" si="44"/>
        <v>FALSE</v>
      </c>
      <c r="I733" t="str">
        <f t="shared" si="45"/>
        <v>FALSE</v>
      </c>
      <c r="J733" t="str">
        <f t="shared" si="46"/>
        <v>FALSE</v>
      </c>
      <c r="K733" t="str">
        <f t="shared" si="47"/>
        <v>subfunctionarea;rlptimert1b;FALSE;subfunctionarea;rlptimert1b;50</v>
      </c>
    </row>
    <row r="734" spans="1:11" x14ac:dyDescent="0.3">
      <c r="A734">
        <v>8</v>
      </c>
      <c r="B734" t="s">
        <v>130</v>
      </c>
      <c r="C734" t="s">
        <v>997</v>
      </c>
      <c r="D734" t="b">
        <v>0</v>
      </c>
      <c r="E734" t="s">
        <v>130</v>
      </c>
      <c r="F734" t="s">
        <v>997</v>
      </c>
      <c r="G734">
        <v>50</v>
      </c>
      <c r="H734" t="str">
        <f t="shared" si="44"/>
        <v>FALSE</v>
      </c>
      <c r="I734" t="str">
        <f t="shared" si="45"/>
        <v>FALSE</v>
      </c>
      <c r="J734" t="str">
        <f t="shared" si="46"/>
        <v>FALSE</v>
      </c>
      <c r="K734" t="str">
        <f t="shared" si="47"/>
        <v>subfunctionarea;rlpwindowsizeiwfms;FALSE;subfunctionarea;rlpwindowsizeiwfms;50</v>
      </c>
    </row>
    <row r="735" spans="1:11" x14ac:dyDescent="0.3">
      <c r="A735">
        <v>8</v>
      </c>
      <c r="B735" t="s">
        <v>130</v>
      </c>
      <c r="C735" t="s">
        <v>998</v>
      </c>
      <c r="D735" t="b">
        <v>0</v>
      </c>
      <c r="E735" t="s">
        <v>130</v>
      </c>
      <c r="F735" t="s">
        <v>998</v>
      </c>
      <c r="G735">
        <v>50</v>
      </c>
      <c r="H735" t="str">
        <f t="shared" si="44"/>
        <v>FALSE</v>
      </c>
      <c r="I735" t="str">
        <f t="shared" si="45"/>
        <v>FALSE</v>
      </c>
      <c r="J735" t="str">
        <f t="shared" si="46"/>
        <v>FALSE</v>
      </c>
      <c r="K735" t="str">
        <f t="shared" si="47"/>
        <v>subfunctionarea;rlpwindowsizemsiwf;FALSE;subfunctionarea;rlpwindowsizemsiwf;50</v>
      </c>
    </row>
    <row r="736" spans="1:11" x14ac:dyDescent="0.3">
      <c r="A736">
        <v>8</v>
      </c>
      <c r="B736" t="s">
        <v>130</v>
      </c>
      <c r="C736" t="s">
        <v>999</v>
      </c>
      <c r="D736" t="b">
        <v>0</v>
      </c>
      <c r="E736" t="s">
        <v>130</v>
      </c>
      <c r="F736" t="s">
        <v>999</v>
      </c>
      <c r="G736">
        <v>50</v>
      </c>
      <c r="H736" t="str">
        <f t="shared" si="44"/>
        <v>FALSE</v>
      </c>
      <c r="I736" t="str">
        <f t="shared" si="45"/>
        <v>FALSE</v>
      </c>
      <c r="J736" t="str">
        <f t="shared" si="46"/>
        <v>FALSE</v>
      </c>
      <c r="K736" t="str">
        <f t="shared" si="47"/>
        <v>subfunctionarea;routeparamgrpmoref;FALSE;subfunctionarea;routeparamgrpmoref;50</v>
      </c>
    </row>
    <row r="737" spans="1:11" x14ac:dyDescent="0.3">
      <c r="A737">
        <v>8</v>
      </c>
      <c r="B737" t="s">
        <v>130</v>
      </c>
      <c r="C737" t="s">
        <v>1000</v>
      </c>
      <c r="D737" t="b">
        <v>0</v>
      </c>
      <c r="E737" t="s">
        <v>130</v>
      </c>
      <c r="F737" t="s">
        <v>1000</v>
      </c>
      <c r="G737">
        <v>50</v>
      </c>
      <c r="H737" t="str">
        <f t="shared" si="44"/>
        <v>FALSE</v>
      </c>
      <c r="I737" t="str">
        <f t="shared" si="45"/>
        <v>FALSE</v>
      </c>
      <c r="J737" t="str">
        <f t="shared" si="46"/>
        <v>FALSE</v>
      </c>
      <c r="K737" t="str">
        <f t="shared" si="47"/>
        <v>subfunctionarea;routesetcongesttestflag;FALSE;subfunctionarea;routesetcongesttestflag;50</v>
      </c>
    </row>
    <row r="738" spans="1:11" x14ac:dyDescent="0.3">
      <c r="A738">
        <v>8</v>
      </c>
      <c r="B738" t="s">
        <v>130</v>
      </c>
      <c r="C738" t="s">
        <v>1001</v>
      </c>
      <c r="D738" t="b">
        <v>0</v>
      </c>
      <c r="E738" t="s">
        <v>130</v>
      </c>
      <c r="F738" t="s">
        <v>1001</v>
      </c>
      <c r="G738">
        <v>50</v>
      </c>
      <c r="H738" t="str">
        <f t="shared" si="44"/>
        <v>FALSE</v>
      </c>
      <c r="I738" t="str">
        <f t="shared" si="45"/>
        <v>FALSE</v>
      </c>
      <c r="J738" t="str">
        <f t="shared" si="46"/>
        <v>FALSE</v>
      </c>
      <c r="K738" t="str">
        <f t="shared" si="47"/>
        <v>subfunctionarea;rtprtcpserviceid;FALSE;subfunctionarea;rtprtcpserviceid;50</v>
      </c>
    </row>
    <row r="739" spans="1:11" x14ac:dyDescent="0.3">
      <c r="A739">
        <v>8</v>
      </c>
      <c r="B739" t="s">
        <v>130</v>
      </c>
      <c r="C739" t="s">
        <v>1040</v>
      </c>
      <c r="D739" t="b">
        <v>0</v>
      </c>
      <c r="E739" t="s">
        <v>130</v>
      </c>
      <c r="F739" t="s">
        <v>1040</v>
      </c>
      <c r="G739">
        <v>50</v>
      </c>
      <c r="H739" t="str">
        <f t="shared" si="44"/>
        <v>FALSE</v>
      </c>
      <c r="I739" t="str">
        <f t="shared" si="45"/>
        <v>FALSE</v>
      </c>
      <c r="J739" t="str">
        <f t="shared" si="46"/>
        <v>FALSE</v>
      </c>
      <c r="K739" t="str">
        <f t="shared" si="47"/>
        <v>subfunctionarea;sacktimer;FALSE;subfunctionarea;sacktimer;50</v>
      </c>
    </row>
    <row r="740" spans="1:11" x14ac:dyDescent="0.3">
      <c r="A740">
        <v>8</v>
      </c>
      <c r="B740" t="s">
        <v>130</v>
      </c>
      <c r="C740" t="s">
        <v>1039</v>
      </c>
      <c r="D740" t="b">
        <v>0</v>
      </c>
      <c r="E740" t="s">
        <v>130</v>
      </c>
      <c r="F740" t="s">
        <v>1039</v>
      </c>
      <c r="G740">
        <v>50</v>
      </c>
      <c r="H740" t="str">
        <f t="shared" si="44"/>
        <v>FALSE</v>
      </c>
      <c r="I740" t="str">
        <f t="shared" si="45"/>
        <v>FALSE</v>
      </c>
      <c r="J740" t="str">
        <f t="shared" si="46"/>
        <v>FALSE</v>
      </c>
      <c r="K740" t="str">
        <f t="shared" si="47"/>
        <v>subfunctionarea;sbglistid;FALSE;subfunctionarea;sbglistid;50</v>
      </c>
    </row>
    <row r="741" spans="1:11" x14ac:dyDescent="0.3">
      <c r="A741">
        <v>8</v>
      </c>
      <c r="B741" t="s">
        <v>130</v>
      </c>
      <c r="C741" t="s">
        <v>99</v>
      </c>
      <c r="D741" t="b">
        <v>0</v>
      </c>
      <c r="E741" t="s">
        <v>130</v>
      </c>
      <c r="F741" t="s">
        <v>99</v>
      </c>
      <c r="G741">
        <v>50</v>
      </c>
      <c r="H741" t="str">
        <f t="shared" si="44"/>
        <v>FALSE</v>
      </c>
      <c r="I741" t="str">
        <f t="shared" si="45"/>
        <v>FALSE</v>
      </c>
      <c r="J741" t="str">
        <f t="shared" si="46"/>
        <v>FALSE</v>
      </c>
      <c r="K741" t="str">
        <f t="shared" si="47"/>
        <v>subfunctionarea;scscfcontacturimatchingenabled;FALSE;subfunctionarea;scscfcontacturimatchingenabled;50</v>
      </c>
    </row>
    <row r="742" spans="1:11" x14ac:dyDescent="0.3">
      <c r="A742">
        <v>8</v>
      </c>
      <c r="B742" t="s">
        <v>130</v>
      </c>
      <c r="C742" t="s">
        <v>1038</v>
      </c>
      <c r="D742" t="b">
        <v>0</v>
      </c>
      <c r="E742" t="s">
        <v>130</v>
      </c>
      <c r="F742" t="s">
        <v>1038</v>
      </c>
      <c r="G742">
        <v>50</v>
      </c>
      <c r="H742" t="str">
        <f t="shared" si="44"/>
        <v>FALSE</v>
      </c>
      <c r="I742" t="str">
        <f t="shared" si="45"/>
        <v>FALSE</v>
      </c>
      <c r="J742" t="str">
        <f t="shared" si="46"/>
        <v>FALSE</v>
      </c>
      <c r="K742" t="str">
        <f t="shared" si="47"/>
        <v>subfunctionarea;scscfdomainnameentry;FALSE;subfunctionarea;scscfdomainnameentry;50</v>
      </c>
    </row>
    <row r="743" spans="1:11" x14ac:dyDescent="0.3">
      <c r="A743">
        <v>8</v>
      </c>
      <c r="B743" t="s">
        <v>130</v>
      </c>
      <c r="C743" t="s">
        <v>1037</v>
      </c>
      <c r="D743" t="b">
        <v>0</v>
      </c>
      <c r="E743" t="s">
        <v>130</v>
      </c>
      <c r="F743" t="s">
        <v>1037</v>
      </c>
      <c r="G743">
        <v>50</v>
      </c>
      <c r="H743" t="str">
        <f t="shared" si="44"/>
        <v>FALSE</v>
      </c>
      <c r="I743" t="str">
        <f t="shared" si="45"/>
        <v>FALSE</v>
      </c>
      <c r="J743" t="str">
        <f t="shared" si="46"/>
        <v>FALSE</v>
      </c>
      <c r="K743" t="str">
        <f t="shared" si="47"/>
        <v>subfunctionarea;sctpendpointid;FALSE;subfunctionarea;sctpendpointid;50</v>
      </c>
    </row>
    <row r="744" spans="1:11" x14ac:dyDescent="0.3">
      <c r="A744">
        <v>8</v>
      </c>
      <c r="B744" t="s">
        <v>130</v>
      </c>
      <c r="C744" t="s">
        <v>1036</v>
      </c>
      <c r="D744" t="b">
        <v>0</v>
      </c>
      <c r="E744" t="s">
        <v>130</v>
      </c>
      <c r="F744" t="s">
        <v>1036</v>
      </c>
      <c r="G744">
        <v>50</v>
      </c>
      <c r="H744" t="str">
        <f t="shared" si="44"/>
        <v>FALSE</v>
      </c>
      <c r="I744" t="str">
        <f t="shared" si="45"/>
        <v>FALSE</v>
      </c>
      <c r="J744" t="str">
        <f t="shared" si="46"/>
        <v>FALSE</v>
      </c>
      <c r="K744" t="str">
        <f t="shared" si="47"/>
        <v>subfunctionarea;sctpprofileid;FALSE;subfunctionarea;sctpprofileid;50</v>
      </c>
    </row>
    <row r="745" spans="1:11" x14ac:dyDescent="0.3">
      <c r="A745">
        <v>8</v>
      </c>
      <c r="B745" t="s">
        <v>130</v>
      </c>
      <c r="C745" t="s">
        <v>1035</v>
      </c>
      <c r="D745" t="b">
        <v>0</v>
      </c>
      <c r="E745" t="s">
        <v>130</v>
      </c>
      <c r="F745" t="s">
        <v>1035</v>
      </c>
      <c r="G745">
        <v>50</v>
      </c>
      <c r="H745" t="str">
        <f t="shared" si="44"/>
        <v>FALSE</v>
      </c>
      <c r="I745" t="str">
        <f t="shared" si="45"/>
        <v>FALSE</v>
      </c>
      <c r="J745" t="str">
        <f t="shared" si="46"/>
        <v>FALSE</v>
      </c>
      <c r="K745" t="str">
        <f t="shared" si="47"/>
        <v>subfunctionarea;secmid;FALSE;subfunctionarea;secmid;50</v>
      </c>
    </row>
    <row r="746" spans="1:11" x14ac:dyDescent="0.3">
      <c r="A746">
        <v>8</v>
      </c>
      <c r="B746" t="s">
        <v>130</v>
      </c>
      <c r="C746" t="s">
        <v>106</v>
      </c>
      <c r="D746" t="b">
        <v>0</v>
      </c>
      <c r="E746" t="s">
        <v>130</v>
      </c>
      <c r="F746" t="s">
        <v>106</v>
      </c>
      <c r="G746">
        <v>50</v>
      </c>
      <c r="H746" t="str">
        <f t="shared" si="44"/>
        <v>FALSE</v>
      </c>
      <c r="I746" t="str">
        <f t="shared" si="45"/>
        <v>FALSE</v>
      </c>
      <c r="J746" t="str">
        <f t="shared" si="46"/>
        <v>FALSE</v>
      </c>
      <c r="K746" t="str">
        <f t="shared" si="47"/>
        <v>subfunctionarea;serverreconnectattemptinterval;FALSE;subfunctionarea;serverreconnectattemptinterval;50</v>
      </c>
    </row>
    <row r="747" spans="1:11" x14ac:dyDescent="0.3">
      <c r="A747">
        <v>8</v>
      </c>
      <c r="B747" t="s">
        <v>130</v>
      </c>
      <c r="C747" t="s">
        <v>1034</v>
      </c>
      <c r="D747" t="b">
        <v>0</v>
      </c>
      <c r="E747" t="s">
        <v>130</v>
      </c>
      <c r="F747" t="s">
        <v>1034</v>
      </c>
      <c r="G747">
        <v>50</v>
      </c>
      <c r="H747" t="str">
        <f t="shared" si="44"/>
        <v>FALSE</v>
      </c>
      <c r="I747" t="str">
        <f t="shared" si="45"/>
        <v>FALSE</v>
      </c>
      <c r="J747" t="str">
        <f t="shared" si="46"/>
        <v>FALSE</v>
      </c>
      <c r="K747" t="str">
        <f t="shared" si="47"/>
        <v>subfunctionarea;serversynchronizationinterval;FALSE;subfunctionarea;serversynchronizationinterval;50</v>
      </c>
    </row>
    <row r="748" spans="1:11" x14ac:dyDescent="0.3">
      <c r="A748">
        <v>8</v>
      </c>
      <c r="B748" t="s">
        <v>130</v>
      </c>
      <c r="C748" t="s">
        <v>89</v>
      </c>
      <c r="D748" t="b">
        <v>0</v>
      </c>
      <c r="E748" t="s">
        <v>130</v>
      </c>
      <c r="F748" t="s">
        <v>89</v>
      </c>
      <c r="G748">
        <v>50</v>
      </c>
      <c r="H748" t="str">
        <f t="shared" si="44"/>
        <v>FALSE</v>
      </c>
      <c r="I748" t="str">
        <f t="shared" si="45"/>
        <v>FALSE</v>
      </c>
      <c r="J748" t="str">
        <f t="shared" si="46"/>
        <v>FALSE</v>
      </c>
      <c r="K748" t="str">
        <f t="shared" si="47"/>
        <v>subfunctionarea;sigcompcompressionalgorithm;FALSE;subfunctionarea;sigcompcompressionalgorithm;50</v>
      </c>
    </row>
    <row r="749" spans="1:11" x14ac:dyDescent="0.3">
      <c r="A749">
        <v>8</v>
      </c>
      <c r="B749" t="s">
        <v>130</v>
      </c>
      <c r="C749" t="s">
        <v>88</v>
      </c>
      <c r="D749" t="b">
        <v>0</v>
      </c>
      <c r="E749" t="s">
        <v>130</v>
      </c>
      <c r="F749" t="s">
        <v>88</v>
      </c>
      <c r="G749">
        <v>50</v>
      </c>
      <c r="H749" t="str">
        <f t="shared" si="44"/>
        <v>FALSE</v>
      </c>
      <c r="I749" t="str">
        <f t="shared" si="45"/>
        <v>FALSE</v>
      </c>
      <c r="J749" t="str">
        <f t="shared" si="46"/>
        <v>FALSE</v>
      </c>
      <c r="K749" t="str">
        <f t="shared" si="47"/>
        <v>subfunctionarea;sigcompcompressiontype;FALSE;subfunctionarea;sigcompcompressiontype;50</v>
      </c>
    </row>
    <row r="750" spans="1:11" x14ac:dyDescent="0.3">
      <c r="A750">
        <v>8</v>
      </c>
      <c r="B750" t="s">
        <v>130</v>
      </c>
      <c r="C750" t="s">
        <v>1033</v>
      </c>
      <c r="D750" t="b">
        <v>0</v>
      </c>
      <c r="E750" t="s">
        <v>130</v>
      </c>
      <c r="F750" t="s">
        <v>1033</v>
      </c>
      <c r="G750">
        <v>50</v>
      </c>
      <c r="H750" t="str">
        <f t="shared" si="44"/>
        <v>FALSE</v>
      </c>
      <c r="I750" t="str">
        <f t="shared" si="45"/>
        <v>FALSE</v>
      </c>
      <c r="J750" t="str">
        <f t="shared" si="46"/>
        <v>FALSE</v>
      </c>
      <c r="K750" t="str">
        <f t="shared" si="47"/>
        <v>subfunctionarea;signalingippoolid;FALSE;subfunctionarea;signalingippoolid;50</v>
      </c>
    </row>
    <row r="751" spans="1:11" x14ac:dyDescent="0.3">
      <c r="A751">
        <v>8</v>
      </c>
      <c r="B751" t="s">
        <v>130</v>
      </c>
      <c r="C751" t="s">
        <v>77</v>
      </c>
      <c r="D751" t="b">
        <v>0</v>
      </c>
      <c r="E751" t="s">
        <v>130</v>
      </c>
      <c r="F751" t="s">
        <v>77</v>
      </c>
      <c r="G751">
        <v>50</v>
      </c>
      <c r="H751" t="str">
        <f t="shared" si="44"/>
        <v>FALSE</v>
      </c>
      <c r="I751" t="str">
        <f t="shared" si="45"/>
        <v>FALSE</v>
      </c>
      <c r="J751" t="str">
        <f t="shared" si="46"/>
        <v>FALSE</v>
      </c>
      <c r="K751" t="str">
        <f t="shared" si="47"/>
        <v>subfunctionarea;signalingvlanid;FALSE;subfunctionarea;signalingvlanid;50</v>
      </c>
    </row>
    <row r="752" spans="1:11" x14ac:dyDescent="0.3">
      <c r="A752">
        <v>8</v>
      </c>
      <c r="B752" t="s">
        <v>130</v>
      </c>
      <c r="C752" t="s">
        <v>1002</v>
      </c>
      <c r="D752" t="b">
        <v>0</v>
      </c>
      <c r="E752" t="s">
        <v>130</v>
      </c>
      <c r="F752" t="s">
        <v>1002</v>
      </c>
      <c r="G752">
        <v>50</v>
      </c>
      <c r="H752" t="str">
        <f t="shared" si="44"/>
        <v>FALSE</v>
      </c>
      <c r="I752" t="str">
        <f t="shared" si="45"/>
        <v>FALSE</v>
      </c>
      <c r="J752" t="str">
        <f t="shared" si="46"/>
        <v>FALSE</v>
      </c>
      <c r="K752" t="str">
        <f t="shared" si="47"/>
        <v>subfunctionarea;signallingpointcode;FALSE;subfunctionarea;signallingpointcode;50</v>
      </c>
    </row>
    <row r="753" spans="1:11" x14ac:dyDescent="0.3">
      <c r="A753">
        <v>8</v>
      </c>
      <c r="B753" t="s">
        <v>130</v>
      </c>
      <c r="C753" t="s">
        <v>1003</v>
      </c>
      <c r="D753" t="b">
        <v>0</v>
      </c>
      <c r="E753" t="s">
        <v>130</v>
      </c>
      <c r="F753" t="s">
        <v>1003</v>
      </c>
      <c r="G753">
        <v>50</v>
      </c>
      <c r="H753" t="str">
        <f t="shared" si="44"/>
        <v>FALSE</v>
      </c>
      <c r="I753" t="str">
        <f t="shared" si="45"/>
        <v>FALSE</v>
      </c>
      <c r="J753" t="str">
        <f t="shared" si="46"/>
        <v>FALSE</v>
      </c>
      <c r="K753" t="str">
        <f t="shared" si="47"/>
        <v>subfunctionarea;siospare;FALSE;subfunctionarea;siospare;50</v>
      </c>
    </row>
    <row r="754" spans="1:11" x14ac:dyDescent="0.3">
      <c r="A754">
        <v>8</v>
      </c>
      <c r="B754" t="s">
        <v>130</v>
      </c>
      <c r="C754" t="s">
        <v>478</v>
      </c>
      <c r="D754" t="b">
        <v>0</v>
      </c>
      <c r="E754" t="s">
        <v>130</v>
      </c>
      <c r="F754" t="s">
        <v>478</v>
      </c>
      <c r="G754">
        <v>50</v>
      </c>
      <c r="H754" t="str">
        <f t="shared" si="44"/>
        <v>FALSE</v>
      </c>
      <c r="I754" t="str">
        <f t="shared" si="45"/>
        <v>FALSE</v>
      </c>
      <c r="J754" t="str">
        <f t="shared" si="46"/>
        <v>FALSE</v>
      </c>
      <c r="K754" t="str">
        <f t="shared" si="47"/>
        <v>subfunctionarea;smmstate;FALSE;subfunctionarea;smmstate;50</v>
      </c>
    </row>
    <row r="755" spans="1:11" x14ac:dyDescent="0.3">
      <c r="A755">
        <v>8</v>
      </c>
      <c r="B755" t="s">
        <v>130</v>
      </c>
      <c r="C755" t="s">
        <v>1004</v>
      </c>
      <c r="D755" t="b">
        <v>0</v>
      </c>
      <c r="E755" t="s">
        <v>130</v>
      </c>
      <c r="F755" t="s">
        <v>1004</v>
      </c>
      <c r="G755">
        <v>50</v>
      </c>
      <c r="H755" t="str">
        <f t="shared" si="44"/>
        <v>FALSE</v>
      </c>
      <c r="I755" t="str">
        <f t="shared" si="45"/>
        <v>FALSE</v>
      </c>
      <c r="J755" t="str">
        <f t="shared" si="46"/>
        <v>FALSE</v>
      </c>
      <c r="K755" t="str">
        <f t="shared" si="47"/>
        <v>subfunctionarea;smsnotificationfrom;FALSE;subfunctionarea;smsnotificationfrom;50</v>
      </c>
    </row>
    <row r="756" spans="1:11" x14ac:dyDescent="0.3">
      <c r="A756">
        <v>8</v>
      </c>
      <c r="B756" t="s">
        <v>130</v>
      </c>
      <c r="C756" t="s">
        <v>1005</v>
      </c>
      <c r="D756" t="b">
        <v>0</v>
      </c>
      <c r="E756" t="s">
        <v>130</v>
      </c>
      <c r="F756" t="s">
        <v>1005</v>
      </c>
      <c r="G756">
        <v>50</v>
      </c>
      <c r="H756" t="str">
        <f t="shared" si="44"/>
        <v>FALSE</v>
      </c>
      <c r="I756" t="str">
        <f t="shared" si="45"/>
        <v>FALSE</v>
      </c>
      <c r="J756" t="str">
        <f t="shared" si="46"/>
        <v>FALSE</v>
      </c>
      <c r="K756" t="str">
        <f t="shared" si="47"/>
        <v>subfunctionarea;sppriority;FALSE;subfunctionarea;sppriority;50</v>
      </c>
    </row>
    <row r="757" spans="1:11" x14ac:dyDescent="0.3">
      <c r="A757">
        <v>8</v>
      </c>
      <c r="B757" t="s">
        <v>130</v>
      </c>
      <c r="C757" t="s">
        <v>1006</v>
      </c>
      <c r="D757" t="b">
        <v>0</v>
      </c>
      <c r="E757" t="s">
        <v>130</v>
      </c>
      <c r="F757" t="s">
        <v>1006</v>
      </c>
      <c r="G757">
        <v>50</v>
      </c>
      <c r="H757" t="str">
        <f t="shared" si="44"/>
        <v>FALSE</v>
      </c>
      <c r="I757" t="str">
        <f t="shared" si="45"/>
        <v>FALSE</v>
      </c>
      <c r="J757" t="str">
        <f t="shared" si="46"/>
        <v>FALSE</v>
      </c>
      <c r="K757" t="str">
        <f t="shared" si="47"/>
        <v>subfunctionarea;sptimer;FALSE;subfunctionarea;sptimer;50</v>
      </c>
    </row>
    <row r="758" spans="1:11" x14ac:dyDescent="0.3">
      <c r="A758">
        <v>8</v>
      </c>
      <c r="B758" t="s">
        <v>130</v>
      </c>
      <c r="C758" t="s">
        <v>1007</v>
      </c>
      <c r="D758" t="b">
        <v>0</v>
      </c>
      <c r="E758" t="s">
        <v>130</v>
      </c>
      <c r="F758" t="s">
        <v>1007</v>
      </c>
      <c r="G758">
        <v>50</v>
      </c>
      <c r="H758" t="str">
        <f t="shared" si="44"/>
        <v>FALSE</v>
      </c>
      <c r="I758" t="str">
        <f t="shared" si="45"/>
        <v>FALSE</v>
      </c>
      <c r="J758" t="str">
        <f t="shared" si="46"/>
        <v>FALSE</v>
      </c>
      <c r="K758" t="str">
        <f t="shared" si="47"/>
        <v>subfunctionarea;startupcontactpoints;FALSE;subfunctionarea;startupcontactpoints;50</v>
      </c>
    </row>
    <row r="759" spans="1:11" x14ac:dyDescent="0.3">
      <c r="A759">
        <v>8</v>
      </c>
      <c r="B759" t="s">
        <v>130</v>
      </c>
      <c r="C759" t="s">
        <v>1008</v>
      </c>
      <c r="D759" t="b">
        <v>0</v>
      </c>
      <c r="E759" t="s">
        <v>130</v>
      </c>
      <c r="F759" t="s">
        <v>1008</v>
      </c>
      <c r="G759">
        <v>50</v>
      </c>
      <c r="H759" t="str">
        <f t="shared" si="44"/>
        <v>FALSE</v>
      </c>
      <c r="I759" t="str">
        <f t="shared" si="45"/>
        <v>FALSE</v>
      </c>
      <c r="J759" t="str">
        <f t="shared" si="46"/>
        <v>FALSE</v>
      </c>
      <c r="K759" t="str">
        <f t="shared" si="47"/>
        <v>subfunctionarea;statusindinterval;FALSE;subfunctionarea;statusindinterval;50</v>
      </c>
    </row>
    <row r="760" spans="1:11" x14ac:dyDescent="0.3">
      <c r="A760">
        <v>8</v>
      </c>
      <c r="B760" t="s">
        <v>130</v>
      </c>
      <c r="C760" t="s">
        <v>779</v>
      </c>
      <c r="D760" t="b">
        <v>0</v>
      </c>
      <c r="E760" t="s">
        <v>130</v>
      </c>
      <c r="F760" t="s">
        <v>779</v>
      </c>
      <c r="G760">
        <v>100</v>
      </c>
      <c r="H760" t="str">
        <f t="shared" si="44"/>
        <v>FALSE</v>
      </c>
      <c r="I760" t="str">
        <f t="shared" si="45"/>
        <v>FALSE</v>
      </c>
      <c r="J760" t="str">
        <f t="shared" si="46"/>
        <v>TRUE</v>
      </c>
      <c r="K760" t="str">
        <f t="shared" si="47"/>
        <v>subfunctionarea;sub_func_area_name;FALSE;subfunctionarea;sub_func_area_name;100</v>
      </c>
    </row>
    <row r="761" spans="1:11" x14ac:dyDescent="0.3">
      <c r="A761">
        <v>8</v>
      </c>
      <c r="B761" t="s">
        <v>130</v>
      </c>
      <c r="C761" t="s">
        <v>1032</v>
      </c>
      <c r="D761" t="b">
        <v>0</v>
      </c>
      <c r="E761" t="s">
        <v>130</v>
      </c>
      <c r="F761" t="s">
        <v>1032</v>
      </c>
      <c r="G761">
        <v>50</v>
      </c>
      <c r="H761" t="str">
        <f t="shared" si="44"/>
        <v>FALSE</v>
      </c>
      <c r="I761" t="str">
        <f t="shared" si="45"/>
        <v>FALSE</v>
      </c>
      <c r="J761" t="str">
        <f t="shared" si="46"/>
        <v>FALSE</v>
      </c>
      <c r="K761" t="str">
        <f t="shared" si="47"/>
        <v>subfunctionarea;subnetmasklength;FALSE;subfunctionarea;subnetmasklength;50</v>
      </c>
    </row>
    <row r="762" spans="1:11" x14ac:dyDescent="0.3">
      <c r="A762">
        <v>8</v>
      </c>
      <c r="B762" t="s">
        <v>130</v>
      </c>
      <c r="C762" t="s">
        <v>1009</v>
      </c>
      <c r="D762" t="b">
        <v>0</v>
      </c>
      <c r="E762" t="s">
        <v>130</v>
      </c>
      <c r="F762" t="s">
        <v>1009</v>
      </c>
      <c r="G762">
        <v>50</v>
      </c>
      <c r="H762" t="str">
        <f t="shared" si="44"/>
        <v>FALSE</v>
      </c>
      <c r="I762" t="str">
        <f t="shared" si="45"/>
        <v>FALSE</v>
      </c>
      <c r="J762" t="str">
        <f t="shared" si="46"/>
        <v>FALSE</v>
      </c>
      <c r="K762" t="str">
        <f t="shared" si="47"/>
        <v>subfunctionarea;subrackid;FALSE;subfunctionarea;subrackid;50</v>
      </c>
    </row>
    <row r="763" spans="1:11" x14ac:dyDescent="0.3">
      <c r="A763">
        <v>8</v>
      </c>
      <c r="B763" t="s">
        <v>130</v>
      </c>
      <c r="C763" t="s">
        <v>1010</v>
      </c>
      <c r="D763" t="b">
        <v>0</v>
      </c>
      <c r="E763" t="s">
        <v>130</v>
      </c>
      <c r="F763" t="s">
        <v>1010</v>
      </c>
      <c r="G763">
        <v>50</v>
      </c>
      <c r="H763" t="str">
        <f t="shared" si="44"/>
        <v>FALSE</v>
      </c>
      <c r="I763" t="str">
        <f t="shared" si="45"/>
        <v>FALSE</v>
      </c>
      <c r="J763" t="str">
        <f t="shared" si="46"/>
        <v>FALSE</v>
      </c>
      <c r="K763" t="str">
        <f t="shared" si="47"/>
        <v>subfunctionarea;subracknumber;FALSE;subfunctionarea;subracknumber;50</v>
      </c>
    </row>
    <row r="764" spans="1:11" x14ac:dyDescent="0.3">
      <c r="A764">
        <v>8</v>
      </c>
      <c r="B764" t="s">
        <v>130</v>
      </c>
      <c r="C764" t="s">
        <v>1011</v>
      </c>
      <c r="D764" t="b">
        <v>0</v>
      </c>
      <c r="E764" t="s">
        <v>130</v>
      </c>
      <c r="F764" t="s">
        <v>1011</v>
      </c>
      <c r="G764">
        <v>50</v>
      </c>
      <c r="H764" t="str">
        <f t="shared" si="44"/>
        <v>FALSE</v>
      </c>
      <c r="I764" t="str">
        <f t="shared" si="45"/>
        <v>FALSE</v>
      </c>
      <c r="J764" t="str">
        <f t="shared" si="46"/>
        <v>FALSE</v>
      </c>
      <c r="K764" t="str">
        <f t="shared" si="47"/>
        <v>subfunctionarea;subrackposition;FALSE;subfunctionarea;subrackposition;50</v>
      </c>
    </row>
    <row r="765" spans="1:11" x14ac:dyDescent="0.3">
      <c r="A765">
        <v>8</v>
      </c>
      <c r="B765" t="s">
        <v>130</v>
      </c>
      <c r="C765" t="s">
        <v>1012</v>
      </c>
      <c r="D765" t="b">
        <v>0</v>
      </c>
      <c r="E765" t="s">
        <v>130</v>
      </c>
      <c r="F765" t="s">
        <v>1012</v>
      </c>
      <c r="G765">
        <v>50</v>
      </c>
      <c r="H765" t="str">
        <f t="shared" si="44"/>
        <v>FALSE</v>
      </c>
      <c r="I765" t="str">
        <f t="shared" si="45"/>
        <v>FALSE</v>
      </c>
      <c r="J765" t="str">
        <f t="shared" si="46"/>
        <v>FALSE</v>
      </c>
      <c r="K765" t="str">
        <f t="shared" si="47"/>
        <v>subfunctionarea;subracktype;FALSE;subfunctionarea;subracktype;50</v>
      </c>
    </row>
    <row r="766" spans="1:11" x14ac:dyDescent="0.3">
      <c r="A766">
        <v>8</v>
      </c>
      <c r="B766" t="s">
        <v>130</v>
      </c>
      <c r="C766" t="s">
        <v>1031</v>
      </c>
      <c r="D766" t="b">
        <v>0</v>
      </c>
      <c r="E766" t="s">
        <v>130</v>
      </c>
      <c r="F766" t="s">
        <v>1031</v>
      </c>
      <c r="G766">
        <v>50</v>
      </c>
      <c r="H766" t="str">
        <f t="shared" si="44"/>
        <v>FALSE</v>
      </c>
      <c r="I766" t="str">
        <f t="shared" si="45"/>
        <v>FALSE</v>
      </c>
      <c r="J766" t="str">
        <f t="shared" si="46"/>
        <v>FALSE</v>
      </c>
      <c r="K766" t="str">
        <f t="shared" si="47"/>
        <v>subfunctionarea;swinventoryid;FALSE;subfunctionarea;swinventoryid;50</v>
      </c>
    </row>
    <row r="767" spans="1:11" x14ac:dyDescent="0.3">
      <c r="A767">
        <v>8</v>
      </c>
      <c r="B767" t="s">
        <v>130</v>
      </c>
      <c r="C767" t="s">
        <v>1030</v>
      </c>
      <c r="D767" t="b">
        <v>0</v>
      </c>
      <c r="E767" t="s">
        <v>130</v>
      </c>
      <c r="F767" t="s">
        <v>1030</v>
      </c>
      <c r="G767">
        <v>50</v>
      </c>
      <c r="H767" t="str">
        <f t="shared" si="44"/>
        <v>FALSE</v>
      </c>
      <c r="I767" t="str">
        <f t="shared" si="45"/>
        <v>FALSE</v>
      </c>
      <c r="J767" t="str">
        <f t="shared" si="46"/>
        <v>FALSE</v>
      </c>
      <c r="K767" t="str">
        <f t="shared" si="47"/>
        <v>subfunctionarea;swmid;FALSE;subfunctionarea;swmid;50</v>
      </c>
    </row>
    <row r="768" spans="1:11" x14ac:dyDescent="0.3">
      <c r="A768">
        <v>8</v>
      </c>
      <c r="B768" t="s">
        <v>130</v>
      </c>
      <c r="C768" t="s">
        <v>1029</v>
      </c>
      <c r="D768" t="b">
        <v>0</v>
      </c>
      <c r="E768" t="s">
        <v>130</v>
      </c>
      <c r="F768" t="s">
        <v>1029</v>
      </c>
      <c r="G768">
        <v>50</v>
      </c>
      <c r="H768" t="str">
        <f t="shared" si="44"/>
        <v>FALSE</v>
      </c>
      <c r="I768" t="str">
        <f t="shared" si="45"/>
        <v>FALSE</v>
      </c>
      <c r="J768" t="str">
        <f t="shared" si="46"/>
        <v>FALSE</v>
      </c>
      <c r="K768" t="str">
        <f t="shared" si="47"/>
        <v>subfunctionarea;sysmid;FALSE;subfunctionarea;sysmid;50</v>
      </c>
    </row>
    <row r="769" spans="1:11" x14ac:dyDescent="0.3">
      <c r="A769">
        <v>8</v>
      </c>
      <c r="B769" t="s">
        <v>130</v>
      </c>
      <c r="C769" t="s">
        <v>1013</v>
      </c>
      <c r="D769" t="b">
        <v>0</v>
      </c>
      <c r="E769" t="s">
        <v>130</v>
      </c>
      <c r="F769" t="s">
        <v>1013</v>
      </c>
      <c r="G769">
        <v>50</v>
      </c>
      <c r="H769" t="str">
        <f t="shared" si="44"/>
        <v>FALSE</v>
      </c>
      <c r="I769" t="str">
        <f t="shared" si="45"/>
        <v>FALSE</v>
      </c>
      <c r="J769" t="str">
        <f t="shared" si="46"/>
        <v>FALSE</v>
      </c>
      <c r="K769" t="str">
        <f t="shared" si="47"/>
        <v>subfunctionarea;tdmtermgrpid;FALSE;subfunctionarea;tdmtermgrpid;50</v>
      </c>
    </row>
    <row r="770" spans="1:11" x14ac:dyDescent="0.3">
      <c r="A770">
        <v>8</v>
      </c>
      <c r="B770" t="s">
        <v>130</v>
      </c>
      <c r="C770" t="s">
        <v>1014</v>
      </c>
      <c r="D770" t="b">
        <v>0</v>
      </c>
      <c r="E770" t="s">
        <v>130</v>
      </c>
      <c r="F770" t="s">
        <v>1014</v>
      </c>
      <c r="G770">
        <v>50</v>
      </c>
      <c r="H770" t="str">
        <f t="shared" ref="H770:H833" si="48">IF(LEN(C770)&gt;30,"TRUE","FALSE")</f>
        <v>FALSE</v>
      </c>
      <c r="I770" t="str">
        <f t="shared" ref="I770:I833" si="49">IF(LEN(F770)&gt;30,"TRUE","FALSE")</f>
        <v>FALSE</v>
      </c>
      <c r="J770" t="str">
        <f t="shared" ref="J770:J833" si="50">IF(G770&gt;50,"TRUE","FALSE")</f>
        <v>FALSE</v>
      </c>
      <c r="K770" t="str">
        <f t="shared" ref="K770:K833" si="51">CONCATENATE(B770,";",C770,";",D770,";",E770,";",F770,";",G770)</f>
        <v>subfunctionarea;testpatternsltm;FALSE;subfunctionarea;testpatternsltm;50</v>
      </c>
    </row>
    <row r="771" spans="1:11" x14ac:dyDescent="0.3">
      <c r="A771">
        <v>8</v>
      </c>
      <c r="B771" t="s">
        <v>130</v>
      </c>
      <c r="C771" t="s">
        <v>1015</v>
      </c>
      <c r="D771" t="b">
        <v>0</v>
      </c>
      <c r="E771" t="s">
        <v>130</v>
      </c>
      <c r="F771" t="s">
        <v>1015</v>
      </c>
      <c r="G771">
        <v>50</v>
      </c>
      <c r="H771" t="str">
        <f t="shared" si="48"/>
        <v>FALSE</v>
      </c>
      <c r="I771" t="str">
        <f t="shared" si="49"/>
        <v>FALSE</v>
      </c>
      <c r="J771" t="str">
        <f t="shared" si="50"/>
        <v>FALSE</v>
      </c>
      <c r="K771" t="str">
        <f t="shared" si="51"/>
        <v>subfunctionarea;tfoserviceid;FALSE;subfunctionarea;tfoserviceid;50</v>
      </c>
    </row>
    <row r="772" spans="1:11" x14ac:dyDescent="0.3">
      <c r="A772">
        <v>8</v>
      </c>
      <c r="B772" t="s">
        <v>130</v>
      </c>
      <c r="C772" t="s">
        <v>1016</v>
      </c>
      <c r="D772" t="b">
        <v>0</v>
      </c>
      <c r="E772" t="s">
        <v>130</v>
      </c>
      <c r="F772" t="s">
        <v>1016</v>
      </c>
      <c r="G772">
        <v>50</v>
      </c>
      <c r="H772" t="str">
        <f t="shared" si="48"/>
        <v>FALSE</v>
      </c>
      <c r="I772" t="str">
        <f t="shared" si="49"/>
        <v>FALSE</v>
      </c>
      <c r="J772" t="str">
        <f t="shared" si="50"/>
        <v>FALSE</v>
      </c>
      <c r="K772" t="str">
        <f t="shared" si="51"/>
        <v>subfunctionarea;tonedisablerhangovermode;FALSE;subfunctionarea;tonedisablerhangovermode;50</v>
      </c>
    </row>
    <row r="773" spans="1:11" x14ac:dyDescent="0.3">
      <c r="A773">
        <v>8</v>
      </c>
      <c r="B773" t="s">
        <v>130</v>
      </c>
      <c r="C773" t="s">
        <v>1017</v>
      </c>
      <c r="D773" t="b">
        <v>0</v>
      </c>
      <c r="E773" t="s">
        <v>130</v>
      </c>
      <c r="F773" t="s">
        <v>1017</v>
      </c>
      <c r="G773">
        <v>50</v>
      </c>
      <c r="H773" t="str">
        <f t="shared" si="48"/>
        <v>FALSE</v>
      </c>
      <c r="I773" t="str">
        <f t="shared" si="49"/>
        <v>FALSE</v>
      </c>
      <c r="J773" t="str">
        <f t="shared" si="50"/>
        <v>FALSE</v>
      </c>
      <c r="K773" t="str">
        <f t="shared" si="51"/>
        <v>subfunctionarea;tonedisablermode;FALSE;subfunctionarea;tonedisablermode;50</v>
      </c>
    </row>
    <row r="774" spans="1:11" x14ac:dyDescent="0.3">
      <c r="A774">
        <v>8</v>
      </c>
      <c r="B774" t="s">
        <v>130</v>
      </c>
      <c r="C774" t="s">
        <v>479</v>
      </c>
      <c r="D774" t="b">
        <v>0</v>
      </c>
      <c r="E774" t="s">
        <v>130</v>
      </c>
      <c r="F774" t="s">
        <v>479</v>
      </c>
      <c r="G774">
        <v>50</v>
      </c>
      <c r="H774" t="str">
        <f t="shared" si="48"/>
        <v>FALSE</v>
      </c>
      <c r="I774" t="str">
        <f t="shared" si="49"/>
        <v>FALSE</v>
      </c>
      <c r="J774" t="str">
        <f t="shared" si="50"/>
        <v>FALSE</v>
      </c>
      <c r="K774" t="str">
        <f t="shared" si="51"/>
        <v>subfunctionarea;transferlogstatus;FALSE;subfunctionarea;transferlogstatus;50</v>
      </c>
    </row>
    <row r="775" spans="1:11" x14ac:dyDescent="0.3">
      <c r="A775">
        <v>8</v>
      </c>
      <c r="B775" t="s">
        <v>130</v>
      </c>
      <c r="C775" t="s">
        <v>1018</v>
      </c>
      <c r="D775" t="b">
        <v>0</v>
      </c>
      <c r="E775" t="s">
        <v>130</v>
      </c>
      <c r="F775" t="s">
        <v>1018</v>
      </c>
      <c r="G775">
        <v>50</v>
      </c>
      <c r="H775" t="str">
        <f t="shared" si="48"/>
        <v>FALSE</v>
      </c>
      <c r="I775" t="str">
        <f t="shared" si="49"/>
        <v>FALSE</v>
      </c>
      <c r="J775" t="str">
        <f t="shared" si="50"/>
        <v>FALSE</v>
      </c>
      <c r="K775" t="str">
        <f t="shared" si="51"/>
        <v>subfunctionarea;transfrhandler;FALSE;subfunctionarea;transfrhandler;50</v>
      </c>
    </row>
    <row r="776" spans="1:11" x14ac:dyDescent="0.3">
      <c r="A776">
        <v>8</v>
      </c>
      <c r="B776" t="s">
        <v>130</v>
      </c>
      <c r="C776" t="s">
        <v>1019</v>
      </c>
      <c r="D776" t="b">
        <v>0</v>
      </c>
      <c r="E776" t="s">
        <v>130</v>
      </c>
      <c r="F776" t="s">
        <v>1019</v>
      </c>
      <c r="G776">
        <v>50</v>
      </c>
      <c r="H776" t="str">
        <f t="shared" si="48"/>
        <v>FALSE</v>
      </c>
      <c r="I776" t="str">
        <f t="shared" si="49"/>
        <v>FALSE</v>
      </c>
      <c r="J776" t="str">
        <f t="shared" si="50"/>
        <v>FALSE</v>
      </c>
      <c r="K776" t="str">
        <f t="shared" si="51"/>
        <v>subfunctionarea;udiasynctransgsmsupport;FALSE;subfunctionarea;udiasynctransgsmsupport;50</v>
      </c>
    </row>
    <row r="777" spans="1:11" x14ac:dyDescent="0.3">
      <c r="A777">
        <v>8</v>
      </c>
      <c r="B777" t="s">
        <v>130</v>
      </c>
      <c r="C777" t="s">
        <v>1020</v>
      </c>
      <c r="D777" t="b">
        <v>0</v>
      </c>
      <c r="E777" t="s">
        <v>130</v>
      </c>
      <c r="F777" t="s">
        <v>1020</v>
      </c>
      <c r="G777">
        <v>50</v>
      </c>
      <c r="H777" t="str">
        <f t="shared" si="48"/>
        <v>FALSE</v>
      </c>
      <c r="I777" t="str">
        <f t="shared" si="49"/>
        <v>FALSE</v>
      </c>
      <c r="J777" t="str">
        <f t="shared" si="50"/>
        <v>FALSE</v>
      </c>
      <c r="K777" t="str">
        <f t="shared" si="51"/>
        <v>subfunctionarea;uetraceid;FALSE;subfunctionarea;uetraceid;50</v>
      </c>
    </row>
    <row r="778" spans="1:11" x14ac:dyDescent="0.3">
      <c r="A778">
        <v>8</v>
      </c>
      <c r="B778" t="s">
        <v>130</v>
      </c>
      <c r="C778" t="s">
        <v>1021</v>
      </c>
      <c r="D778" t="b">
        <v>0</v>
      </c>
      <c r="E778" t="s">
        <v>130</v>
      </c>
      <c r="F778" t="s">
        <v>1021</v>
      </c>
      <c r="G778">
        <v>50</v>
      </c>
      <c r="H778" t="str">
        <f t="shared" si="48"/>
        <v>FALSE</v>
      </c>
      <c r="I778" t="str">
        <f t="shared" si="49"/>
        <v>FALSE</v>
      </c>
      <c r="J778" t="str">
        <f t="shared" si="50"/>
        <v>FALSE</v>
      </c>
      <c r="K778" t="str">
        <f t="shared" si="51"/>
        <v>subfunctionarea;user;FALSE;subfunctionarea;user;50</v>
      </c>
    </row>
    <row r="779" spans="1:11" x14ac:dyDescent="0.3">
      <c r="A779">
        <v>8</v>
      </c>
      <c r="B779" t="s">
        <v>130</v>
      </c>
      <c r="C779" t="s">
        <v>86</v>
      </c>
      <c r="D779" t="b">
        <v>0</v>
      </c>
      <c r="E779" t="s">
        <v>130</v>
      </c>
      <c r="F779" t="s">
        <v>86</v>
      </c>
      <c r="G779">
        <v>100</v>
      </c>
      <c r="H779" t="str">
        <f t="shared" si="48"/>
        <v>FALSE</v>
      </c>
      <c r="I779" t="str">
        <f t="shared" si="49"/>
        <v>FALSE</v>
      </c>
      <c r="J779" t="str">
        <f t="shared" si="50"/>
        <v>TRUE</v>
      </c>
      <c r="K779" t="str">
        <f t="shared" si="51"/>
        <v>subfunctionarea;userlabel;FALSE;subfunctionarea;userlabel;100</v>
      </c>
    </row>
    <row r="780" spans="1:11" x14ac:dyDescent="0.3">
      <c r="A780">
        <v>8</v>
      </c>
      <c r="B780" t="s">
        <v>130</v>
      </c>
      <c r="C780" t="s">
        <v>1022</v>
      </c>
      <c r="D780" t="b">
        <v>0</v>
      </c>
      <c r="E780" t="s">
        <v>130</v>
      </c>
      <c r="F780" t="s">
        <v>1022</v>
      </c>
      <c r="G780">
        <v>50</v>
      </c>
      <c r="H780" t="str">
        <f t="shared" si="48"/>
        <v>FALSE</v>
      </c>
      <c r="I780" t="str">
        <f t="shared" si="49"/>
        <v>FALSE</v>
      </c>
      <c r="J780" t="str">
        <f t="shared" si="50"/>
        <v>FALSE</v>
      </c>
      <c r="K780" t="str">
        <f t="shared" si="51"/>
        <v>subfunctionarea;usesgwmgmtmapping;FALSE;subfunctionarea;usesgwmgmtmapping;50</v>
      </c>
    </row>
    <row r="781" spans="1:11" x14ac:dyDescent="0.3">
      <c r="A781">
        <v>8</v>
      </c>
      <c r="B781" t="s">
        <v>130</v>
      </c>
      <c r="C781" t="s">
        <v>1023</v>
      </c>
      <c r="D781" t="b">
        <v>0</v>
      </c>
      <c r="E781" t="s">
        <v>130</v>
      </c>
      <c r="F781" t="s">
        <v>1023</v>
      </c>
      <c r="G781">
        <v>50</v>
      </c>
      <c r="H781" t="str">
        <f t="shared" si="48"/>
        <v>FALSE</v>
      </c>
      <c r="I781" t="str">
        <f t="shared" si="49"/>
        <v>FALSE</v>
      </c>
      <c r="J781" t="str">
        <f t="shared" si="50"/>
        <v>FALSE</v>
      </c>
      <c r="K781" t="str">
        <f t="shared" si="51"/>
        <v>subfunctionarea;vendorid;FALSE;subfunctionarea;vendorid;50</v>
      </c>
    </row>
    <row r="782" spans="1:11" x14ac:dyDescent="0.3">
      <c r="A782">
        <v>8</v>
      </c>
      <c r="B782" t="s">
        <v>130</v>
      </c>
      <c r="C782" t="s">
        <v>1024</v>
      </c>
      <c r="D782" t="b">
        <v>0</v>
      </c>
      <c r="E782" t="s">
        <v>130</v>
      </c>
      <c r="F782" t="s">
        <v>1024</v>
      </c>
      <c r="G782">
        <v>50</v>
      </c>
      <c r="H782" t="str">
        <f t="shared" si="48"/>
        <v>FALSE</v>
      </c>
      <c r="I782" t="str">
        <f t="shared" si="49"/>
        <v>FALSE</v>
      </c>
      <c r="J782" t="str">
        <f t="shared" si="50"/>
        <v>FALSE</v>
      </c>
      <c r="K782" t="str">
        <f t="shared" si="51"/>
        <v>subfunctionarea;version;FALSE;subfunctionarea;version;50</v>
      </c>
    </row>
    <row r="783" spans="1:11" x14ac:dyDescent="0.3">
      <c r="A783">
        <v>8</v>
      </c>
      <c r="B783" t="s">
        <v>130</v>
      </c>
      <c r="C783" t="s">
        <v>1025</v>
      </c>
      <c r="D783" t="b">
        <v>0</v>
      </c>
      <c r="E783" t="s">
        <v>130</v>
      </c>
      <c r="F783" t="s">
        <v>1025</v>
      </c>
      <c r="G783">
        <v>50</v>
      </c>
      <c r="H783" t="str">
        <f t="shared" si="48"/>
        <v>FALSE</v>
      </c>
      <c r="I783" t="str">
        <f t="shared" si="49"/>
        <v>FALSE</v>
      </c>
      <c r="J783" t="str">
        <f t="shared" si="50"/>
        <v>FALSE</v>
      </c>
      <c r="K783" t="str">
        <f t="shared" si="51"/>
        <v>subfunctionarea;vmgwid;FALSE;subfunctionarea;vmgwid;50</v>
      </c>
    </row>
    <row r="784" spans="1:11" x14ac:dyDescent="0.3">
      <c r="A784">
        <v>8</v>
      </c>
      <c r="B784" t="s">
        <v>130</v>
      </c>
      <c r="C784" t="s">
        <v>1026</v>
      </c>
      <c r="D784" t="b">
        <v>0</v>
      </c>
      <c r="E784" t="s">
        <v>130</v>
      </c>
      <c r="F784" t="s">
        <v>1026</v>
      </c>
      <c r="G784">
        <v>50</v>
      </c>
      <c r="H784" t="str">
        <f t="shared" si="48"/>
        <v>FALSE</v>
      </c>
      <c r="I784" t="str">
        <f t="shared" si="49"/>
        <v>FALSE</v>
      </c>
      <c r="J784" t="str">
        <f t="shared" si="50"/>
        <v>FALSE</v>
      </c>
      <c r="K784" t="str">
        <f t="shared" si="51"/>
        <v>subfunctionarea;vmidinalarmadditionaltext;FALSE;subfunctionarea;vmidinalarmadditionaltext;50</v>
      </c>
    </row>
    <row r="785" spans="1:11" x14ac:dyDescent="0.3">
      <c r="A785">
        <v>8</v>
      </c>
      <c r="B785" t="s">
        <v>130</v>
      </c>
      <c r="C785" t="s">
        <v>1027</v>
      </c>
      <c r="D785" t="b">
        <v>0</v>
      </c>
      <c r="E785" t="s">
        <v>130</v>
      </c>
      <c r="F785" t="s">
        <v>1027</v>
      </c>
      <c r="G785">
        <v>50</v>
      </c>
      <c r="H785" t="str">
        <f t="shared" si="48"/>
        <v>FALSE</v>
      </c>
      <c r="I785" t="str">
        <f t="shared" si="49"/>
        <v>FALSE</v>
      </c>
      <c r="J785" t="str">
        <f t="shared" si="50"/>
        <v>FALSE</v>
      </c>
      <c r="K785" t="str">
        <f t="shared" si="51"/>
        <v>subfunctionarea;vpp1moref;FALSE;subfunctionarea;vpp1moref;50</v>
      </c>
    </row>
    <row r="786" spans="1:11" x14ac:dyDescent="0.3">
      <c r="A786">
        <v>8</v>
      </c>
      <c r="B786" t="s">
        <v>130</v>
      </c>
      <c r="C786" t="s">
        <v>1028</v>
      </c>
      <c r="D786" t="b">
        <v>0</v>
      </c>
      <c r="E786" t="s">
        <v>130</v>
      </c>
      <c r="F786" t="s">
        <v>1028</v>
      </c>
      <c r="G786">
        <v>50</v>
      </c>
      <c r="H786" t="str">
        <f t="shared" si="48"/>
        <v>FALSE</v>
      </c>
      <c r="I786" t="str">
        <f t="shared" si="49"/>
        <v>FALSE</v>
      </c>
      <c r="J786" t="str">
        <f t="shared" si="50"/>
        <v>FALSE</v>
      </c>
      <c r="K786" t="str">
        <f t="shared" si="51"/>
        <v>subfunctionarea;vpp2moref;FALSE;subfunctionarea;vpp2moref;50</v>
      </c>
    </row>
    <row r="787" spans="1:11" x14ac:dyDescent="0.3">
      <c r="A787">
        <v>8</v>
      </c>
      <c r="B787" t="s">
        <v>130</v>
      </c>
      <c r="C787" t="s">
        <v>103</v>
      </c>
      <c r="D787" t="b">
        <v>0</v>
      </c>
      <c r="E787" t="s">
        <v>130</v>
      </c>
      <c r="F787" t="s">
        <v>103</v>
      </c>
      <c r="G787">
        <v>200</v>
      </c>
      <c r="H787" t="str">
        <f t="shared" si="48"/>
        <v>FALSE</v>
      </c>
      <c r="I787" t="str">
        <f t="shared" si="49"/>
        <v>FALSE</v>
      </c>
      <c r="J787" t="str">
        <f t="shared" si="50"/>
        <v>TRUE</v>
      </c>
      <c r="K787" t="str">
        <f t="shared" si="51"/>
        <v>subfunctionarea;actioncapableinfo;FALSE;subfunctionarea;actioncapableinfo;200</v>
      </c>
    </row>
    <row r="788" spans="1:11" x14ac:dyDescent="0.3">
      <c r="A788">
        <v>8</v>
      </c>
      <c r="B788" t="s">
        <v>130</v>
      </c>
      <c r="C788" t="s">
        <v>104</v>
      </c>
      <c r="D788" t="b">
        <v>0</v>
      </c>
      <c r="E788" t="s">
        <v>130</v>
      </c>
      <c r="F788" t="s">
        <v>104</v>
      </c>
      <c r="G788">
        <v>400</v>
      </c>
      <c r="H788" t="str">
        <f t="shared" si="48"/>
        <v>FALSE</v>
      </c>
      <c r="I788" t="str">
        <f t="shared" si="49"/>
        <v>FALSE</v>
      </c>
      <c r="J788" t="str">
        <f t="shared" si="50"/>
        <v>TRUE</v>
      </c>
      <c r="K788" t="str">
        <f t="shared" si="51"/>
        <v>subfunctionarea;active;FALSE;subfunctionarea;active;400</v>
      </c>
    </row>
    <row r="789" spans="1:11" x14ac:dyDescent="0.3">
      <c r="A789">
        <v>8</v>
      </c>
      <c r="B789" t="s">
        <v>130</v>
      </c>
      <c r="C789" t="s">
        <v>406</v>
      </c>
      <c r="D789" t="b">
        <v>0</v>
      </c>
      <c r="E789" t="s">
        <v>130</v>
      </c>
      <c r="F789" t="s">
        <v>406</v>
      </c>
      <c r="G789">
        <v>400</v>
      </c>
      <c r="H789" t="str">
        <f t="shared" si="48"/>
        <v>FALSE</v>
      </c>
      <c r="I789" t="str">
        <f t="shared" si="49"/>
        <v>FALSE</v>
      </c>
      <c r="J789" t="str">
        <f t="shared" si="50"/>
        <v>TRUE</v>
      </c>
      <c r="K789" t="str">
        <f t="shared" si="51"/>
        <v>subfunctionarea;activeswversion;FALSE;subfunctionarea;activeswversion;400</v>
      </c>
    </row>
    <row r="790" spans="1:11" x14ac:dyDescent="0.3">
      <c r="A790">
        <v>8</v>
      </c>
      <c r="B790" t="s">
        <v>130</v>
      </c>
      <c r="C790" t="s">
        <v>412</v>
      </c>
      <c r="D790" t="b">
        <v>0</v>
      </c>
      <c r="E790" t="s">
        <v>130</v>
      </c>
      <c r="F790" t="s">
        <v>412</v>
      </c>
      <c r="G790">
        <v>400</v>
      </c>
      <c r="H790" t="str">
        <f t="shared" si="48"/>
        <v>FALSE</v>
      </c>
      <c r="I790" t="str">
        <f t="shared" si="49"/>
        <v>FALSE</v>
      </c>
      <c r="J790" t="str">
        <f t="shared" si="50"/>
        <v>TRUE</v>
      </c>
      <c r="K790" t="str">
        <f t="shared" si="51"/>
        <v>subfunctionarea;admclasspath;FALSE;subfunctionarea;admclasspath;400</v>
      </c>
    </row>
    <row r="791" spans="1:11" x14ac:dyDescent="0.3">
      <c r="A791">
        <v>8</v>
      </c>
      <c r="B791" t="s">
        <v>130</v>
      </c>
      <c r="C791" t="s">
        <v>398</v>
      </c>
      <c r="D791" t="b">
        <v>0</v>
      </c>
      <c r="E791" t="s">
        <v>130</v>
      </c>
      <c r="F791" t="s">
        <v>398</v>
      </c>
      <c r="G791">
        <v>400</v>
      </c>
      <c r="H791" t="str">
        <f t="shared" si="48"/>
        <v>FALSE</v>
      </c>
      <c r="I791" t="str">
        <f t="shared" si="49"/>
        <v>FALSE</v>
      </c>
      <c r="J791" t="str">
        <f t="shared" si="50"/>
        <v>TRUE</v>
      </c>
      <c r="K791" t="str">
        <f t="shared" si="51"/>
        <v>subfunctionarea;ds0bundleid;FALSE;subfunctionarea;ds0bundleid;400</v>
      </c>
    </row>
    <row r="792" spans="1:11" x14ac:dyDescent="0.3">
      <c r="A792">
        <v>8</v>
      </c>
      <c r="B792" t="s">
        <v>130</v>
      </c>
      <c r="C792" t="s">
        <v>399</v>
      </c>
      <c r="D792" t="b">
        <v>0</v>
      </c>
      <c r="E792" t="s">
        <v>130</v>
      </c>
      <c r="F792" t="s">
        <v>399</v>
      </c>
      <c r="G792">
        <v>400</v>
      </c>
      <c r="H792" t="str">
        <f t="shared" si="48"/>
        <v>FALSE</v>
      </c>
      <c r="I792" t="str">
        <f t="shared" si="49"/>
        <v>FALSE</v>
      </c>
      <c r="J792" t="str">
        <f t="shared" si="50"/>
        <v>TRUE</v>
      </c>
      <c r="K792" t="str">
        <f t="shared" si="51"/>
        <v>subfunctionarea;ds0bundlemoref;FALSE;subfunctionarea;ds0bundlemoref;400</v>
      </c>
    </row>
    <row r="793" spans="1:11" x14ac:dyDescent="0.3">
      <c r="A793">
        <v>8</v>
      </c>
      <c r="B793" t="s">
        <v>130</v>
      </c>
      <c r="C793" t="s">
        <v>105</v>
      </c>
      <c r="D793" t="b">
        <v>0</v>
      </c>
      <c r="E793" t="s">
        <v>130</v>
      </c>
      <c r="F793" t="s">
        <v>105</v>
      </c>
      <c r="G793">
        <v>200</v>
      </c>
      <c r="H793" t="str">
        <f t="shared" si="48"/>
        <v>FALSE</v>
      </c>
      <c r="I793" t="str">
        <f t="shared" si="49"/>
        <v>FALSE</v>
      </c>
      <c r="J793" t="str">
        <f t="shared" si="50"/>
        <v>TRUE</v>
      </c>
      <c r="K793" t="str">
        <f t="shared" si="51"/>
        <v>subfunctionarea;fingerprint;FALSE;subfunctionarea;fingerprint;200</v>
      </c>
    </row>
    <row r="794" spans="1:11" x14ac:dyDescent="0.3">
      <c r="A794">
        <v>8</v>
      </c>
      <c r="B794" t="s">
        <v>130</v>
      </c>
      <c r="C794" t="s">
        <v>405</v>
      </c>
      <c r="D794" t="b">
        <v>0</v>
      </c>
      <c r="E794" t="s">
        <v>130</v>
      </c>
      <c r="F794" t="s">
        <v>405</v>
      </c>
      <c r="G794">
        <v>400</v>
      </c>
      <c r="H794" t="str">
        <f t="shared" si="48"/>
        <v>FALSE</v>
      </c>
      <c r="I794" t="str">
        <f t="shared" si="49"/>
        <v>FALSE</v>
      </c>
      <c r="J794" t="str">
        <f t="shared" si="50"/>
        <v>TRUE</v>
      </c>
      <c r="K794" t="str">
        <f t="shared" si="51"/>
        <v>subfunctionarea;generalprocessorunitid;FALSE;subfunctionarea;generalprocessorunitid;400</v>
      </c>
    </row>
    <row r="795" spans="1:11" x14ac:dyDescent="0.3">
      <c r="A795">
        <v>8</v>
      </c>
      <c r="B795" t="s">
        <v>130</v>
      </c>
      <c r="C795" t="s">
        <v>422</v>
      </c>
      <c r="D795" t="b">
        <v>0</v>
      </c>
      <c r="E795" t="s">
        <v>130</v>
      </c>
      <c r="F795" t="s">
        <v>422</v>
      </c>
      <c r="G795">
        <v>200</v>
      </c>
      <c r="H795" t="str">
        <f t="shared" si="48"/>
        <v>FALSE</v>
      </c>
      <c r="I795" t="str">
        <f t="shared" si="49"/>
        <v>FALSE</v>
      </c>
      <c r="J795" t="str">
        <f t="shared" si="50"/>
        <v>TRUE</v>
      </c>
      <c r="K795" t="str">
        <f t="shared" si="51"/>
        <v>subfunctionarea;hss-extdbconfigurllist;FALSE;subfunctionarea;hss-extdbconfigurllist;200</v>
      </c>
    </row>
    <row r="796" spans="1:11" x14ac:dyDescent="0.3">
      <c r="A796">
        <v>8</v>
      </c>
      <c r="B796" t="s">
        <v>130</v>
      </c>
      <c r="C796" t="s">
        <v>415</v>
      </c>
      <c r="D796" t="b">
        <v>0</v>
      </c>
      <c r="E796" t="s">
        <v>130</v>
      </c>
      <c r="F796" t="s">
        <v>415</v>
      </c>
      <c r="G796">
        <v>400</v>
      </c>
      <c r="H796" t="str">
        <f t="shared" si="48"/>
        <v>FALSE</v>
      </c>
      <c r="I796" t="str">
        <f t="shared" si="49"/>
        <v>FALSE</v>
      </c>
      <c r="J796" t="str">
        <f t="shared" si="50"/>
        <v>TRUE</v>
      </c>
      <c r="K796" t="str">
        <f t="shared" si="51"/>
        <v>subfunctionarea;imstreamer;FALSE;subfunctionarea;imstreamer;400</v>
      </c>
    </row>
    <row r="797" spans="1:11" x14ac:dyDescent="0.3">
      <c r="A797">
        <v>8</v>
      </c>
      <c r="B797" t="s">
        <v>130</v>
      </c>
      <c r="C797" t="s">
        <v>402</v>
      </c>
      <c r="D797" t="b">
        <v>0</v>
      </c>
      <c r="E797" t="s">
        <v>130</v>
      </c>
      <c r="F797" t="s">
        <v>402</v>
      </c>
      <c r="G797">
        <v>400</v>
      </c>
      <c r="H797" t="str">
        <f t="shared" si="48"/>
        <v>FALSE</v>
      </c>
      <c r="I797" t="str">
        <f t="shared" si="49"/>
        <v>FALSE</v>
      </c>
      <c r="J797" t="str">
        <f t="shared" si="50"/>
        <v>TRUE</v>
      </c>
      <c r="K797" t="str">
        <f t="shared" si="51"/>
        <v>subfunctionarea;interface1;FALSE;subfunctionarea;interface1;400</v>
      </c>
    </row>
    <row r="798" spans="1:11" x14ac:dyDescent="0.3">
      <c r="A798">
        <v>8</v>
      </c>
      <c r="B798" t="s">
        <v>130</v>
      </c>
      <c r="C798" t="s">
        <v>401</v>
      </c>
      <c r="D798" t="b">
        <v>0</v>
      </c>
      <c r="E798" t="s">
        <v>130</v>
      </c>
      <c r="F798" t="s">
        <v>401</v>
      </c>
      <c r="G798">
        <v>400</v>
      </c>
      <c r="H798" t="str">
        <f t="shared" si="48"/>
        <v>FALSE</v>
      </c>
      <c r="I798" t="str">
        <f t="shared" si="49"/>
        <v>FALSE</v>
      </c>
      <c r="J798" t="str">
        <f t="shared" si="50"/>
        <v>TRUE</v>
      </c>
      <c r="K798" t="str">
        <f t="shared" si="51"/>
        <v>subfunctionarea;interface2;FALSE;subfunctionarea;interface2;400</v>
      </c>
    </row>
    <row r="799" spans="1:11" x14ac:dyDescent="0.3">
      <c r="A799">
        <v>8</v>
      </c>
      <c r="B799" t="s">
        <v>130</v>
      </c>
      <c r="C799" t="s">
        <v>400</v>
      </c>
      <c r="D799" t="b">
        <v>0</v>
      </c>
      <c r="E799" t="s">
        <v>130</v>
      </c>
      <c r="F799" t="s">
        <v>400</v>
      </c>
      <c r="G799">
        <v>400</v>
      </c>
      <c r="H799" t="str">
        <f t="shared" si="48"/>
        <v>FALSE</v>
      </c>
      <c r="I799" t="str">
        <f t="shared" si="49"/>
        <v>FALSE</v>
      </c>
      <c r="J799" t="str">
        <f t="shared" si="50"/>
        <v>TRUE</v>
      </c>
      <c r="K799" t="str">
        <f t="shared" si="51"/>
        <v>subfunctionarea;ipinterfacemoref;FALSE;subfunctionarea;ipinterfacemoref;400</v>
      </c>
    </row>
    <row r="800" spans="1:11" x14ac:dyDescent="0.3">
      <c r="A800">
        <v>8</v>
      </c>
      <c r="B800" t="s">
        <v>130</v>
      </c>
      <c r="C800" t="s">
        <v>102</v>
      </c>
      <c r="D800" t="b">
        <v>0</v>
      </c>
      <c r="E800" t="s">
        <v>130</v>
      </c>
      <c r="F800" t="s">
        <v>102</v>
      </c>
      <c r="G800">
        <v>400</v>
      </c>
      <c r="H800" t="str">
        <f t="shared" si="48"/>
        <v>FALSE</v>
      </c>
      <c r="I800" t="str">
        <f t="shared" si="49"/>
        <v>FALSE</v>
      </c>
      <c r="J800" t="str">
        <f t="shared" si="50"/>
        <v>TRUE</v>
      </c>
      <c r="K800" t="str">
        <f t="shared" si="51"/>
        <v>subfunctionarea;l3ref;FALSE;subfunctionarea;l3ref;400</v>
      </c>
    </row>
    <row r="801" spans="1:11" x14ac:dyDescent="0.3">
      <c r="A801">
        <v>8</v>
      </c>
      <c r="B801" t="s">
        <v>130</v>
      </c>
      <c r="C801" t="s">
        <v>409</v>
      </c>
      <c r="D801" t="b">
        <v>0</v>
      </c>
      <c r="E801" t="s">
        <v>130</v>
      </c>
      <c r="F801" t="s">
        <v>409</v>
      </c>
      <c r="G801">
        <v>400</v>
      </c>
      <c r="H801" t="str">
        <f t="shared" si="48"/>
        <v>FALSE</v>
      </c>
      <c r="I801" t="str">
        <f t="shared" si="49"/>
        <v>FALSE</v>
      </c>
      <c r="J801" t="str">
        <f t="shared" si="50"/>
        <v>TRUE</v>
      </c>
      <c r="K801" t="str">
        <f t="shared" si="51"/>
        <v>subfunctionarea;lastexecutedjob;FALSE;subfunctionarea;lastexecutedjob;400</v>
      </c>
    </row>
    <row r="802" spans="1:11" x14ac:dyDescent="0.3">
      <c r="A802">
        <v>8</v>
      </c>
      <c r="B802" t="s">
        <v>130</v>
      </c>
      <c r="C802" t="s">
        <v>423</v>
      </c>
      <c r="D802" t="b">
        <v>0</v>
      </c>
      <c r="E802" t="s">
        <v>130</v>
      </c>
      <c r="F802" t="s">
        <v>423</v>
      </c>
      <c r="G802">
        <v>200</v>
      </c>
      <c r="H802" t="str">
        <f t="shared" si="48"/>
        <v>FALSE</v>
      </c>
      <c r="I802" t="str">
        <f t="shared" si="49"/>
        <v>FALSE</v>
      </c>
      <c r="J802" t="str">
        <f t="shared" si="50"/>
        <v>TRUE</v>
      </c>
      <c r="K802" t="str">
        <f t="shared" si="51"/>
        <v>subfunctionarea;lasttransferresult;FALSE;subfunctionarea;lasttransferresult;200</v>
      </c>
    </row>
    <row r="803" spans="1:11" x14ac:dyDescent="0.3">
      <c r="A803">
        <v>8</v>
      </c>
      <c r="B803" t="s">
        <v>130</v>
      </c>
      <c r="C803" t="s">
        <v>413</v>
      </c>
      <c r="D803" t="b">
        <v>0</v>
      </c>
      <c r="E803" t="s">
        <v>130</v>
      </c>
      <c r="F803" t="s">
        <v>413</v>
      </c>
      <c r="G803">
        <v>400</v>
      </c>
      <c r="H803" t="str">
        <f t="shared" si="48"/>
        <v>FALSE</v>
      </c>
      <c r="I803" t="str">
        <f t="shared" si="49"/>
        <v>FALSE</v>
      </c>
      <c r="J803" t="str">
        <f t="shared" si="50"/>
        <v>TRUE</v>
      </c>
      <c r="K803" t="str">
        <f t="shared" si="51"/>
        <v>subfunctionarea;listofmessages;FALSE;subfunctionarea;listofmessages;400</v>
      </c>
    </row>
    <row r="804" spans="1:11" x14ac:dyDescent="0.3">
      <c r="A804">
        <v>8</v>
      </c>
      <c r="B804" t="s">
        <v>130</v>
      </c>
      <c r="C804" t="s">
        <v>416</v>
      </c>
      <c r="D804" t="b">
        <v>0</v>
      </c>
      <c r="E804" t="s">
        <v>130</v>
      </c>
      <c r="F804" t="s">
        <v>416</v>
      </c>
      <c r="G804">
        <v>200</v>
      </c>
      <c r="H804" t="str">
        <f t="shared" si="48"/>
        <v>FALSE</v>
      </c>
      <c r="I804" t="str">
        <f t="shared" si="49"/>
        <v>FALSE</v>
      </c>
      <c r="J804" t="str">
        <f t="shared" si="50"/>
        <v>TRUE</v>
      </c>
      <c r="K804" t="str">
        <f t="shared" si="51"/>
        <v>subfunctionarea;mtp2profileituid;FALSE;subfunctionarea;mtp2profileituid;200</v>
      </c>
    </row>
    <row r="805" spans="1:11" x14ac:dyDescent="0.3">
      <c r="A805">
        <v>8</v>
      </c>
      <c r="B805" t="s">
        <v>130</v>
      </c>
      <c r="C805" t="s">
        <v>410</v>
      </c>
      <c r="D805" t="b">
        <v>0</v>
      </c>
      <c r="E805" t="s">
        <v>130</v>
      </c>
      <c r="F805" t="s">
        <v>410</v>
      </c>
      <c r="G805">
        <v>400</v>
      </c>
      <c r="H805" t="str">
        <f t="shared" si="48"/>
        <v>FALSE</v>
      </c>
      <c r="I805" t="str">
        <f t="shared" si="49"/>
        <v>FALSE</v>
      </c>
      <c r="J805" t="str">
        <f t="shared" si="50"/>
        <v>TRUE</v>
      </c>
      <c r="K805" t="str">
        <f t="shared" si="51"/>
        <v>subfunctionarea;mtp3bapmoref;FALSE;subfunctionarea;mtp3bapmoref;400</v>
      </c>
    </row>
    <row r="806" spans="1:11" x14ac:dyDescent="0.3">
      <c r="A806">
        <v>8</v>
      </c>
      <c r="B806" t="s">
        <v>130</v>
      </c>
      <c r="C806" t="s">
        <v>403</v>
      </c>
      <c r="D806" t="b">
        <v>0</v>
      </c>
      <c r="E806" t="s">
        <v>130</v>
      </c>
      <c r="F806" t="s">
        <v>403</v>
      </c>
      <c r="G806">
        <v>400</v>
      </c>
      <c r="H806" t="str">
        <f t="shared" si="48"/>
        <v>FALSE</v>
      </c>
      <c r="I806" t="str">
        <f t="shared" si="49"/>
        <v>FALSE</v>
      </c>
      <c r="J806" t="str">
        <f t="shared" si="50"/>
        <v>TRUE</v>
      </c>
      <c r="K806" t="str">
        <f t="shared" si="51"/>
        <v>subfunctionarea;os155spistandbyid;FALSE;subfunctionarea;os155spistandbyid;400</v>
      </c>
    </row>
    <row r="807" spans="1:11" x14ac:dyDescent="0.3">
      <c r="A807">
        <v>8</v>
      </c>
      <c r="B807" t="s">
        <v>130</v>
      </c>
      <c r="C807" t="s">
        <v>404</v>
      </c>
      <c r="D807" t="b">
        <v>0</v>
      </c>
      <c r="E807" t="s">
        <v>130</v>
      </c>
      <c r="F807" t="s">
        <v>404</v>
      </c>
      <c r="G807">
        <v>400</v>
      </c>
      <c r="H807" t="str">
        <f t="shared" si="48"/>
        <v>FALSE</v>
      </c>
      <c r="I807" t="str">
        <f t="shared" si="49"/>
        <v>FALSE</v>
      </c>
      <c r="J807" t="str">
        <f t="shared" si="50"/>
        <v>TRUE</v>
      </c>
      <c r="K807" t="str">
        <f t="shared" si="51"/>
        <v>subfunctionarea;os155spiworkingid;FALSE;subfunctionarea;os155spiworkingid;400</v>
      </c>
    </row>
    <row r="808" spans="1:11" x14ac:dyDescent="0.3">
      <c r="A808">
        <v>8</v>
      </c>
      <c r="B808" t="s">
        <v>130</v>
      </c>
      <c r="C808" t="s">
        <v>411</v>
      </c>
      <c r="D808" t="b">
        <v>0</v>
      </c>
      <c r="E808" t="s">
        <v>130</v>
      </c>
      <c r="F808" t="s">
        <v>411</v>
      </c>
      <c r="G808">
        <v>400</v>
      </c>
      <c r="H808" t="str">
        <f t="shared" si="48"/>
        <v>FALSE</v>
      </c>
      <c r="I808" t="str">
        <f t="shared" si="49"/>
        <v>FALSE</v>
      </c>
      <c r="J808" t="str">
        <f t="shared" si="50"/>
        <v>TRUE</v>
      </c>
      <c r="K808" t="str">
        <f t="shared" si="51"/>
        <v>subfunctionarea;pluginunitid;FALSE;subfunctionarea;pluginunitid;400</v>
      </c>
    </row>
    <row r="809" spans="1:11" x14ac:dyDescent="0.3">
      <c r="A809">
        <v>8</v>
      </c>
      <c r="B809" t="s">
        <v>130</v>
      </c>
      <c r="C809" t="s">
        <v>421</v>
      </c>
      <c r="D809" t="b">
        <v>0</v>
      </c>
      <c r="E809" t="s">
        <v>130</v>
      </c>
      <c r="F809" t="s">
        <v>421</v>
      </c>
      <c r="G809">
        <v>200</v>
      </c>
      <c r="H809" t="str">
        <f t="shared" si="48"/>
        <v>FALSE</v>
      </c>
      <c r="I809" t="str">
        <f t="shared" si="49"/>
        <v>FALSE</v>
      </c>
      <c r="J809" t="str">
        <f t="shared" si="50"/>
        <v>TRUE</v>
      </c>
      <c r="K809" t="str">
        <f t="shared" si="51"/>
        <v>subfunctionarea;reservedby;FALSE;subfunctionarea;reservedby;200</v>
      </c>
    </row>
    <row r="810" spans="1:11" x14ac:dyDescent="0.3">
      <c r="A810">
        <v>8</v>
      </c>
      <c r="B810" t="s">
        <v>130</v>
      </c>
      <c r="C810" t="s">
        <v>407</v>
      </c>
      <c r="D810" t="b">
        <v>0</v>
      </c>
      <c r="E810" t="s">
        <v>130</v>
      </c>
      <c r="F810" t="s">
        <v>407</v>
      </c>
      <c r="G810">
        <v>400</v>
      </c>
      <c r="H810" t="str">
        <f t="shared" si="48"/>
        <v>FALSE</v>
      </c>
      <c r="I810" t="str">
        <f t="shared" si="49"/>
        <v>FALSE</v>
      </c>
      <c r="J810" t="str">
        <f t="shared" si="50"/>
        <v>TRUE</v>
      </c>
      <c r="K810" t="str">
        <f t="shared" si="51"/>
        <v>subfunctionarea;rpuid;FALSE;subfunctionarea;rpuid;400</v>
      </c>
    </row>
    <row r="811" spans="1:11" x14ac:dyDescent="0.3">
      <c r="A811">
        <v>8</v>
      </c>
      <c r="B811" t="s">
        <v>130</v>
      </c>
      <c r="C811" t="s">
        <v>408</v>
      </c>
      <c r="D811" t="b">
        <v>0</v>
      </c>
      <c r="E811" t="s">
        <v>130</v>
      </c>
      <c r="F811" t="s">
        <v>408</v>
      </c>
      <c r="G811">
        <v>400</v>
      </c>
      <c r="H811" t="str">
        <f t="shared" si="48"/>
        <v>FALSE</v>
      </c>
      <c r="I811" t="str">
        <f t="shared" si="49"/>
        <v>FALSE</v>
      </c>
      <c r="J811" t="str">
        <f t="shared" si="50"/>
        <v>TRUE</v>
      </c>
      <c r="K811" t="str">
        <f t="shared" si="51"/>
        <v>subfunctionarea;rpumoref;FALSE;subfunctionarea;rpumoref;400</v>
      </c>
    </row>
    <row r="812" spans="1:11" x14ac:dyDescent="0.3">
      <c r="A812">
        <v>8</v>
      </c>
      <c r="B812" t="s">
        <v>130</v>
      </c>
      <c r="C812" t="s">
        <v>414</v>
      </c>
      <c r="D812" t="b">
        <v>0</v>
      </c>
      <c r="E812" t="s">
        <v>130</v>
      </c>
      <c r="F812" t="s">
        <v>414</v>
      </c>
      <c r="G812">
        <v>400</v>
      </c>
      <c r="H812" t="str">
        <f t="shared" si="48"/>
        <v>FALSE</v>
      </c>
      <c r="I812" t="str">
        <f t="shared" si="49"/>
        <v>FALSE</v>
      </c>
      <c r="J812" t="str">
        <f t="shared" si="50"/>
        <v>TRUE</v>
      </c>
      <c r="K812" t="str">
        <f t="shared" si="51"/>
        <v>subfunctionarea;subrackprodtyperef;FALSE;subfunctionarea;subrackprodtyperef;400</v>
      </c>
    </row>
    <row r="813" spans="1:11" x14ac:dyDescent="0.3">
      <c r="A813">
        <v>8</v>
      </c>
      <c r="B813" t="s">
        <v>130</v>
      </c>
      <c r="C813" t="s">
        <v>418</v>
      </c>
      <c r="D813" t="b">
        <v>0</v>
      </c>
      <c r="E813" t="s">
        <v>130</v>
      </c>
      <c r="F813" t="s">
        <v>418</v>
      </c>
      <c r="G813">
        <v>200</v>
      </c>
      <c r="H813" t="str">
        <f t="shared" si="48"/>
        <v>FALSE</v>
      </c>
      <c r="I813" t="str">
        <f t="shared" si="49"/>
        <v>FALSE</v>
      </c>
      <c r="J813" t="str">
        <f t="shared" si="50"/>
        <v>TRUE</v>
      </c>
      <c r="K813" t="str">
        <f t="shared" si="51"/>
        <v>subfunctionarea;switchmodule;FALSE;subfunctionarea;switchmodule;200</v>
      </c>
    </row>
    <row r="814" spans="1:11" x14ac:dyDescent="0.3">
      <c r="A814">
        <v>8</v>
      </c>
      <c r="B814" t="s">
        <v>130</v>
      </c>
      <c r="C814" t="s">
        <v>419</v>
      </c>
      <c r="D814" t="b">
        <v>0</v>
      </c>
      <c r="E814" t="s">
        <v>130</v>
      </c>
      <c r="F814" t="s">
        <v>419</v>
      </c>
      <c r="G814">
        <v>200</v>
      </c>
      <c r="H814" t="str">
        <f t="shared" si="48"/>
        <v>FALSE</v>
      </c>
      <c r="I814" t="str">
        <f t="shared" si="49"/>
        <v>FALSE</v>
      </c>
      <c r="J814" t="str">
        <f t="shared" si="50"/>
        <v>TRUE</v>
      </c>
      <c r="K814" t="str">
        <f t="shared" si="51"/>
        <v>subfunctionarea;switchmodulenumber1;FALSE;subfunctionarea;switchmodulenumber1;200</v>
      </c>
    </row>
    <row r="815" spans="1:11" x14ac:dyDescent="0.3">
      <c r="A815">
        <v>8</v>
      </c>
      <c r="B815" t="s">
        <v>130</v>
      </c>
      <c r="C815" t="s">
        <v>420</v>
      </c>
      <c r="D815" t="b">
        <v>0</v>
      </c>
      <c r="E815" t="s">
        <v>130</v>
      </c>
      <c r="F815" t="s">
        <v>420</v>
      </c>
      <c r="G815">
        <v>200</v>
      </c>
      <c r="H815" t="str">
        <f t="shared" si="48"/>
        <v>FALSE</v>
      </c>
      <c r="I815" t="str">
        <f t="shared" si="49"/>
        <v>FALSE</v>
      </c>
      <c r="J815" t="str">
        <f t="shared" si="50"/>
        <v>TRUE</v>
      </c>
      <c r="K815" t="str">
        <f t="shared" si="51"/>
        <v>subfunctionarea;switchmodulenumber2;FALSE;subfunctionarea;switchmodulenumber2;200</v>
      </c>
    </row>
    <row r="816" spans="1:11" x14ac:dyDescent="0.3">
      <c r="A816">
        <v>8</v>
      </c>
      <c r="B816" t="s">
        <v>130</v>
      </c>
      <c r="C816" t="s">
        <v>417</v>
      </c>
      <c r="D816" t="b">
        <v>0</v>
      </c>
      <c r="E816" t="s">
        <v>130</v>
      </c>
      <c r="F816" t="s">
        <v>417</v>
      </c>
      <c r="G816">
        <v>200</v>
      </c>
      <c r="H816" t="str">
        <f t="shared" si="48"/>
        <v>FALSE</v>
      </c>
      <c r="I816" t="str">
        <f t="shared" si="49"/>
        <v>FALSE</v>
      </c>
      <c r="J816" t="str">
        <f t="shared" si="50"/>
        <v>TRUE</v>
      </c>
      <c r="K816" t="str">
        <f t="shared" si="51"/>
        <v>subfunctionarea;tdmtermgrpmos;FALSE;subfunctionarea;tdmtermgrpmos;200</v>
      </c>
    </row>
    <row r="817" spans="1:11" x14ac:dyDescent="0.3">
      <c r="A817">
        <v>8</v>
      </c>
      <c r="B817" t="s">
        <v>130</v>
      </c>
      <c r="C817" t="s">
        <v>86</v>
      </c>
      <c r="D817" t="b">
        <v>0</v>
      </c>
      <c r="E817" t="s">
        <v>130</v>
      </c>
      <c r="F817" t="s">
        <v>86</v>
      </c>
      <c r="G817">
        <v>400</v>
      </c>
      <c r="H817" t="str">
        <f t="shared" si="48"/>
        <v>FALSE</v>
      </c>
      <c r="I817" t="str">
        <f t="shared" si="49"/>
        <v>FALSE</v>
      </c>
      <c r="J817" t="str">
        <f t="shared" si="50"/>
        <v>TRUE</v>
      </c>
      <c r="K817" t="str">
        <f t="shared" si="51"/>
        <v>subfunctionarea;userlabel;FALSE;subfunctionarea;userlabel;400</v>
      </c>
    </row>
    <row r="818" spans="1:11" x14ac:dyDescent="0.3">
      <c r="A818">
        <v>8</v>
      </c>
      <c r="B818" t="s">
        <v>130</v>
      </c>
      <c r="C818" t="s">
        <v>276</v>
      </c>
      <c r="D818" t="b">
        <v>1</v>
      </c>
      <c r="E818" t="s">
        <v>130</v>
      </c>
      <c r="F818" t="s">
        <v>369</v>
      </c>
      <c r="G818">
        <v>50</v>
      </c>
      <c r="H818" t="str">
        <f t="shared" si="48"/>
        <v>TRUE</v>
      </c>
      <c r="I818" t="str">
        <f t="shared" si="49"/>
        <v>FALSE</v>
      </c>
      <c r="J818" t="str">
        <f t="shared" si="50"/>
        <v>FALSE</v>
      </c>
      <c r="K818" t="str">
        <f t="shared" si="51"/>
        <v>subfunctionarea;cscfcxalwaysuserealmbasedrouting;TRUE;subfunctionarea;cscf_cxalwaysuserelmbasedrout;50</v>
      </c>
    </row>
    <row r="819" spans="1:11" x14ac:dyDescent="0.3">
      <c r="A819">
        <v>8</v>
      </c>
      <c r="B819" t="s">
        <v>130</v>
      </c>
      <c r="C819" t="s">
        <v>267</v>
      </c>
      <c r="D819" t="b">
        <v>1</v>
      </c>
      <c r="E819" t="s">
        <v>130</v>
      </c>
      <c r="F819" t="s">
        <v>356</v>
      </c>
      <c r="G819">
        <v>50</v>
      </c>
      <c r="H819" t="str">
        <f t="shared" si="48"/>
        <v>TRUE</v>
      </c>
      <c r="I819" t="str">
        <f t="shared" si="49"/>
        <v>FALSE</v>
      </c>
      <c r="J819" t="str">
        <f t="shared" si="50"/>
        <v>FALSE</v>
      </c>
      <c r="K819" t="str">
        <f t="shared" si="51"/>
        <v>subfunctionarea;cscfdomainroutingactivematchingtable;TRUE;subfunctionarea;cscf_dmainrout_actmatch_table;50</v>
      </c>
    </row>
    <row r="820" spans="1:11" x14ac:dyDescent="0.3">
      <c r="A820">
        <v>8</v>
      </c>
      <c r="B820" t="s">
        <v>130</v>
      </c>
      <c r="C820" t="s">
        <v>268</v>
      </c>
      <c r="D820" t="b">
        <v>1</v>
      </c>
      <c r="E820" t="s">
        <v>130</v>
      </c>
      <c r="F820" t="s">
        <v>357</v>
      </c>
      <c r="G820">
        <v>50</v>
      </c>
      <c r="H820" t="str">
        <f t="shared" si="48"/>
        <v>TRUE</v>
      </c>
      <c r="I820" t="str">
        <f t="shared" si="49"/>
        <v>FALSE</v>
      </c>
      <c r="J820" t="str">
        <f t="shared" si="50"/>
        <v>FALSE</v>
      </c>
      <c r="K820" t="str">
        <f t="shared" si="51"/>
        <v>subfunctionarea;cscfdomainroutingselectedconfig;TRUE;subfunctionarea;cscf_dmainrout_selectconfig;50</v>
      </c>
    </row>
    <row r="821" spans="1:11" x14ac:dyDescent="0.3">
      <c r="A821">
        <v>8</v>
      </c>
      <c r="B821" t="s">
        <v>130</v>
      </c>
      <c r="C821" t="s">
        <v>273</v>
      </c>
      <c r="D821" t="b">
        <v>1</v>
      </c>
      <c r="E821" t="s">
        <v>130</v>
      </c>
      <c r="F821" t="s">
        <v>365</v>
      </c>
      <c r="G821">
        <v>50</v>
      </c>
      <c r="H821" t="str">
        <f t="shared" si="48"/>
        <v>TRUE</v>
      </c>
      <c r="I821" t="str">
        <f t="shared" si="49"/>
        <v>FALSE</v>
      </c>
      <c r="J821" t="str">
        <f t="shared" si="50"/>
        <v>FALSE</v>
      </c>
      <c r="K821" t="str">
        <f t="shared" si="51"/>
        <v>subfunctionarea;cscfenableglobalnumbernormalization;TRUE;subfunctionarea;cscf_enableglobalnumbernormal;50</v>
      </c>
    </row>
    <row r="822" spans="1:11" x14ac:dyDescent="0.3">
      <c r="A822">
        <v>8</v>
      </c>
      <c r="B822" t="s">
        <v>130</v>
      </c>
      <c r="C822" t="s">
        <v>272</v>
      </c>
      <c r="D822" t="b">
        <v>1</v>
      </c>
      <c r="E822" t="s">
        <v>130</v>
      </c>
      <c r="F822" t="s">
        <v>364</v>
      </c>
      <c r="G822">
        <v>50</v>
      </c>
      <c r="H822" t="str">
        <f t="shared" si="48"/>
        <v>TRUE</v>
      </c>
      <c r="I822" t="str">
        <f t="shared" si="49"/>
        <v>FALSE</v>
      </c>
      <c r="J822" t="str">
        <f t="shared" si="50"/>
        <v>FALSE</v>
      </c>
      <c r="K822" t="str">
        <f t="shared" si="51"/>
        <v>subfunctionarea;cscfglobalnumbernormalizationphonecontext;TRUE;subfunctionarea;cscf_globalnumnormal_phcontxt;50</v>
      </c>
    </row>
    <row r="823" spans="1:11" x14ac:dyDescent="0.3">
      <c r="A823">
        <v>8</v>
      </c>
      <c r="B823" t="s">
        <v>130</v>
      </c>
      <c r="C823" t="s">
        <v>270</v>
      </c>
      <c r="D823" t="b">
        <v>1</v>
      </c>
      <c r="E823" t="s">
        <v>130</v>
      </c>
      <c r="F823" t="s">
        <v>361</v>
      </c>
      <c r="G823">
        <v>50</v>
      </c>
      <c r="H823" t="str">
        <f t="shared" si="48"/>
        <v>TRUE</v>
      </c>
      <c r="I823" t="str">
        <f t="shared" si="49"/>
        <v>FALSE</v>
      </c>
      <c r="J823" t="str">
        <f t="shared" si="50"/>
        <v>FALSE</v>
      </c>
      <c r="K823" t="str">
        <f t="shared" si="51"/>
        <v>subfunctionarea;cscfmaxnonsupervisedsessionduration;TRUE;subfunctionarea;cscf_maxnonsupervisesessiondur;50</v>
      </c>
    </row>
    <row r="824" spans="1:11" x14ac:dyDescent="0.3">
      <c r="A824">
        <v>8</v>
      </c>
      <c r="B824" t="s">
        <v>130</v>
      </c>
      <c r="C824" t="s">
        <v>269</v>
      </c>
      <c r="D824" t="b">
        <v>1</v>
      </c>
      <c r="E824" t="s">
        <v>130</v>
      </c>
      <c r="F824" t="s">
        <v>358</v>
      </c>
      <c r="G824">
        <v>50</v>
      </c>
      <c r="H824" t="str">
        <f t="shared" si="48"/>
        <v>TRUE</v>
      </c>
      <c r="I824" t="str">
        <f t="shared" si="49"/>
        <v>FALSE</v>
      </c>
      <c r="J824" t="str">
        <f t="shared" si="50"/>
        <v>FALSE</v>
      </c>
      <c r="K824" t="str">
        <f t="shared" si="51"/>
        <v>subfunctionarea;cscfnumberportabilityrejectonfailedenum;TRUE;subfunctionarea;cscf_numprtbiltyrejectfailenum;50</v>
      </c>
    </row>
    <row r="825" spans="1:11" x14ac:dyDescent="0.3">
      <c r="A825">
        <v>8</v>
      </c>
      <c r="B825" t="s">
        <v>130</v>
      </c>
      <c r="C825" t="s">
        <v>271</v>
      </c>
      <c r="D825" t="b">
        <v>1</v>
      </c>
      <c r="E825" t="s">
        <v>130</v>
      </c>
      <c r="F825" t="s">
        <v>362</v>
      </c>
      <c r="G825">
        <v>50</v>
      </c>
      <c r="H825" t="str">
        <f t="shared" si="48"/>
        <v>TRUE</v>
      </c>
      <c r="I825" t="str">
        <f t="shared" si="49"/>
        <v>FALSE</v>
      </c>
      <c r="J825" t="str">
        <f t="shared" si="50"/>
        <v>FALSE</v>
      </c>
      <c r="K825" t="str">
        <f t="shared" si="51"/>
        <v>subfunctionarea;cscfremovedialogueonnegativenotifyresponse;TRUE;subfunctionarea;cscf_remdialogonneg_notifyresp;50</v>
      </c>
    </row>
    <row r="826" spans="1:11" x14ac:dyDescent="0.3">
      <c r="A826">
        <v>8</v>
      </c>
      <c r="B826" t="s">
        <v>130</v>
      </c>
      <c r="C826" t="s">
        <v>274</v>
      </c>
      <c r="D826" t="b">
        <v>1</v>
      </c>
      <c r="E826" t="s">
        <v>130</v>
      </c>
      <c r="F826" t="s">
        <v>367</v>
      </c>
      <c r="G826">
        <v>50</v>
      </c>
      <c r="H826" t="str">
        <f t="shared" si="48"/>
        <v>TRUE</v>
      </c>
      <c r="I826" t="str">
        <f t="shared" si="49"/>
        <v>FALSE</v>
      </c>
      <c r="J826" t="str">
        <f t="shared" si="50"/>
        <v>FALSE</v>
      </c>
      <c r="K826" t="str">
        <f t="shared" si="51"/>
        <v>subfunctionarea;cscfreplacerequesturiwithdefaultimpu;TRUE;subfunctionarea;cscf_replsreq_uriwithdef_timpu;50</v>
      </c>
    </row>
    <row r="827" spans="1:11" x14ac:dyDescent="0.3">
      <c r="A827">
        <v>8</v>
      </c>
      <c r="B827" t="s">
        <v>130</v>
      </c>
      <c r="C827" t="s">
        <v>275</v>
      </c>
      <c r="D827" t="b">
        <v>1</v>
      </c>
      <c r="E827" t="s">
        <v>130</v>
      </c>
      <c r="F827" t="s">
        <v>368</v>
      </c>
      <c r="G827">
        <v>50</v>
      </c>
      <c r="H827" t="str">
        <f t="shared" si="48"/>
        <v>TRUE</v>
      </c>
      <c r="I827" t="str">
        <f t="shared" si="49"/>
        <v>FALSE</v>
      </c>
      <c r="J827" t="str">
        <f t="shared" si="50"/>
        <v>FALSE</v>
      </c>
      <c r="K827" t="str">
        <f t="shared" si="51"/>
        <v>subfunctionarea;cscfserveduseridentityselection;TRUE;subfunctionarea;cscf_serveduseridentityselect;50</v>
      </c>
    </row>
    <row r="828" spans="1:11" x14ac:dyDescent="0.3">
      <c r="A828">
        <v>8</v>
      </c>
      <c r="B828" t="s">
        <v>130</v>
      </c>
      <c r="C828" t="s">
        <v>266</v>
      </c>
      <c r="D828" t="b">
        <v>1</v>
      </c>
      <c r="E828" t="s">
        <v>130</v>
      </c>
      <c r="F828" t="s">
        <v>353</v>
      </c>
      <c r="G828">
        <v>50</v>
      </c>
      <c r="H828" t="str">
        <f t="shared" si="48"/>
        <v>TRUE</v>
      </c>
      <c r="I828" t="str">
        <f t="shared" si="49"/>
        <v>FALSE</v>
      </c>
      <c r="J828" t="str">
        <f t="shared" si="50"/>
        <v>FALSE</v>
      </c>
      <c r="K828" t="str">
        <f t="shared" si="51"/>
        <v>subfunctionarea;extnetselectionactiveconfiguration;TRUE;subfunctionarea;ext_select_activeconfiguration;50</v>
      </c>
    </row>
    <row r="829" spans="1:11" x14ac:dyDescent="0.3">
      <c r="A829">
        <v>8</v>
      </c>
      <c r="B829" t="s">
        <v>130</v>
      </c>
      <c r="C829" t="s">
        <v>263</v>
      </c>
      <c r="D829" t="b">
        <v>1</v>
      </c>
      <c r="E829" t="s">
        <v>130</v>
      </c>
      <c r="F829" t="s">
        <v>355</v>
      </c>
      <c r="G829">
        <v>50</v>
      </c>
      <c r="H829" t="str">
        <f t="shared" si="48"/>
        <v>TRUE</v>
      </c>
      <c r="I829" t="str">
        <f t="shared" si="49"/>
        <v>FALSE</v>
      </c>
      <c r="J829" t="str">
        <f t="shared" si="50"/>
        <v>FALSE</v>
      </c>
      <c r="K829" t="str">
        <f t="shared" si="51"/>
        <v>subfunctionarea;extnetselectioninitialtablename;TRUE;subfunctionarea;ext_select_intial_tablename;50</v>
      </c>
    </row>
    <row r="830" spans="1:11" x14ac:dyDescent="0.3">
      <c r="A830">
        <v>8</v>
      </c>
      <c r="B830" t="s">
        <v>130</v>
      </c>
      <c r="C830" t="s">
        <v>262</v>
      </c>
      <c r="D830" t="b">
        <v>1</v>
      </c>
      <c r="E830" t="s">
        <v>130</v>
      </c>
      <c r="F830" t="s">
        <v>350</v>
      </c>
      <c r="G830">
        <v>50</v>
      </c>
      <c r="H830" t="str">
        <f t="shared" si="48"/>
        <v>TRUE</v>
      </c>
      <c r="I830" t="str">
        <f t="shared" si="49"/>
        <v>FALSE</v>
      </c>
      <c r="J830" t="str">
        <f t="shared" si="50"/>
        <v>FALSE</v>
      </c>
      <c r="K830" t="str">
        <f t="shared" si="51"/>
        <v>subfunctionarea;extnetselectioninitialtransittablename;TRUE;subfunctionarea;ext_select_intialtransit_name;50</v>
      </c>
    </row>
    <row r="831" spans="1:11" x14ac:dyDescent="0.3">
      <c r="A831">
        <v>8</v>
      </c>
      <c r="B831" t="s">
        <v>130</v>
      </c>
      <c r="C831" t="s">
        <v>265</v>
      </c>
      <c r="D831" t="b">
        <v>1</v>
      </c>
      <c r="E831" t="s">
        <v>130</v>
      </c>
      <c r="F831" t="s">
        <v>352</v>
      </c>
      <c r="G831">
        <v>50</v>
      </c>
      <c r="H831" t="str">
        <f t="shared" si="48"/>
        <v>TRUE</v>
      </c>
      <c r="I831" t="str">
        <f t="shared" si="49"/>
        <v>FALSE</v>
      </c>
      <c r="J831" t="str">
        <f t="shared" si="50"/>
        <v>FALSE</v>
      </c>
      <c r="K831" t="str">
        <f t="shared" si="51"/>
        <v>subfunctionarea;extnetselectionsynchronizationstate;TRUE;subfunctionarea;ext_select_synchronizatinstate;50</v>
      </c>
    </row>
    <row r="832" spans="1:11" x14ac:dyDescent="0.3">
      <c r="A832">
        <v>8</v>
      </c>
      <c r="B832" t="s">
        <v>130</v>
      </c>
      <c r="C832" t="s">
        <v>264</v>
      </c>
      <c r="D832" t="b">
        <v>1</v>
      </c>
      <c r="E832" t="s">
        <v>130</v>
      </c>
      <c r="F832" t="s">
        <v>354</v>
      </c>
      <c r="G832">
        <v>50</v>
      </c>
      <c r="H832" t="str">
        <f t="shared" si="48"/>
        <v>TRUE</v>
      </c>
      <c r="I832" t="str">
        <f t="shared" si="49"/>
        <v>FALSE</v>
      </c>
      <c r="J832" t="str">
        <f t="shared" si="50"/>
        <v>FALSE</v>
      </c>
      <c r="K832" t="str">
        <f t="shared" si="51"/>
        <v>subfunctionarea;extnetselectiontablessynchronization;TRUE;subfunctionarea;ext_select_tablesynchrnization;50</v>
      </c>
    </row>
    <row r="833" spans="1:11" x14ac:dyDescent="0.3">
      <c r="A833">
        <v>8</v>
      </c>
      <c r="B833" t="s">
        <v>130</v>
      </c>
      <c r="C833" t="s">
        <v>293</v>
      </c>
      <c r="D833" t="b">
        <v>1</v>
      </c>
      <c r="E833" t="s">
        <v>130</v>
      </c>
      <c r="F833" t="s">
        <v>377</v>
      </c>
      <c r="G833">
        <v>50</v>
      </c>
      <c r="H833" t="str">
        <f t="shared" si="48"/>
        <v>TRUE</v>
      </c>
      <c r="I833" t="str">
        <f t="shared" si="49"/>
        <v>FALSE</v>
      </c>
      <c r="J833" t="str">
        <f t="shared" si="50"/>
        <v>FALSE</v>
      </c>
      <c r="K833" t="str">
        <f t="shared" si="51"/>
        <v>subfunctionarea;mtaschargingacrstoragemaxfilesize;TRUE;subfunctionarea;mtaschargacrstoragemaxfilesize;50</v>
      </c>
    </row>
    <row r="834" spans="1:11" x14ac:dyDescent="0.3">
      <c r="A834">
        <v>8</v>
      </c>
      <c r="B834" t="s">
        <v>130</v>
      </c>
      <c r="C834" t="s">
        <v>289</v>
      </c>
      <c r="D834" t="b">
        <v>1</v>
      </c>
      <c r="E834" t="s">
        <v>130</v>
      </c>
      <c r="F834" t="s">
        <v>373</v>
      </c>
      <c r="G834">
        <v>50</v>
      </c>
      <c r="H834" t="str">
        <f t="shared" ref="H834:H888" si="52">IF(LEN(C834)&gt;30,"TRUE","FALSE")</f>
        <v>TRUE</v>
      </c>
      <c r="I834" t="str">
        <f t="shared" ref="I834:I888" si="53">IF(LEN(F834)&gt;30,"TRUE","FALSE")</f>
        <v>FALSE</v>
      </c>
      <c r="J834" t="str">
        <f t="shared" ref="J834:J889" si="54">IF(G834&gt;50,"TRUE","FALSE")</f>
        <v>FALSE</v>
      </c>
      <c r="K834" t="str">
        <f t="shared" ref="K834:K889" si="55">CONCATENATE(B834,";",C834,";",D834,";",E834,";",F834,";",G834)</f>
        <v>subfunctionarea;mtaschargingacrstoragemaxnbracr;TRUE;subfunctionarea;mtaschargacrstoragemaxnbracr;50</v>
      </c>
    </row>
    <row r="835" spans="1:11" x14ac:dyDescent="0.3">
      <c r="A835">
        <v>8</v>
      </c>
      <c r="B835" t="s">
        <v>130</v>
      </c>
      <c r="C835" t="s">
        <v>288</v>
      </c>
      <c r="D835" t="b">
        <v>1</v>
      </c>
      <c r="E835" t="s">
        <v>130</v>
      </c>
      <c r="F835" t="s">
        <v>371</v>
      </c>
      <c r="G835">
        <v>50</v>
      </c>
      <c r="H835" t="str">
        <f t="shared" si="52"/>
        <v>TRUE</v>
      </c>
      <c r="I835" t="str">
        <f t="shared" si="53"/>
        <v>FALSE</v>
      </c>
      <c r="J835" t="str">
        <f t="shared" si="54"/>
        <v>FALSE</v>
      </c>
      <c r="K835" t="str">
        <f t="shared" si="55"/>
        <v>subfunctionarea;mtaschargingeventmeasurementtimer;TRUE;subfunctionarea;mtaschargeventmeasurementtimer;50</v>
      </c>
    </row>
    <row r="836" spans="1:11" x14ac:dyDescent="0.3">
      <c r="A836">
        <v>8</v>
      </c>
      <c r="B836" t="s">
        <v>130</v>
      </c>
      <c r="C836" t="s">
        <v>290</v>
      </c>
      <c r="D836" t="b">
        <v>1</v>
      </c>
      <c r="E836" t="s">
        <v>130</v>
      </c>
      <c r="F836" t="s">
        <v>374</v>
      </c>
      <c r="G836">
        <v>50</v>
      </c>
      <c r="H836" t="str">
        <f t="shared" si="52"/>
        <v>TRUE</v>
      </c>
      <c r="I836" t="str">
        <f t="shared" si="53"/>
        <v>FALSE</v>
      </c>
      <c r="J836" t="str">
        <f t="shared" si="54"/>
        <v>FALSE</v>
      </c>
      <c r="K836" t="str">
        <f t="shared" si="55"/>
        <v>subfunctionarea;mtaschargingreportredirectingnumber;TRUE;subfunctionarea;mtaschargreportredirectnum;50</v>
      </c>
    </row>
    <row r="837" spans="1:11" x14ac:dyDescent="0.3">
      <c r="A837">
        <v>8</v>
      </c>
      <c r="B837" t="s">
        <v>130</v>
      </c>
      <c r="C837" t="s">
        <v>292</v>
      </c>
      <c r="D837" t="b">
        <v>1</v>
      </c>
      <c r="E837" t="s">
        <v>130</v>
      </c>
      <c r="F837" t="s">
        <v>376</v>
      </c>
      <c r="G837">
        <v>50</v>
      </c>
      <c r="H837" t="str">
        <f t="shared" si="52"/>
        <v>TRUE</v>
      </c>
      <c r="I837" t="str">
        <f t="shared" si="53"/>
        <v>FALSE</v>
      </c>
      <c r="J837" t="str">
        <f t="shared" si="54"/>
        <v>FALSE</v>
      </c>
      <c r="K837" t="str">
        <f t="shared" si="55"/>
        <v>subfunctionarea;mtaschargingscheduledconferenceoffline;TRUE;subfunctionarea;mtaschargschduleconfrnceofline;50</v>
      </c>
    </row>
    <row r="838" spans="1:11" x14ac:dyDescent="0.3">
      <c r="A838">
        <v>8</v>
      </c>
      <c r="B838" t="s">
        <v>130</v>
      </c>
      <c r="C838" t="s">
        <v>294</v>
      </c>
      <c r="D838" t="b">
        <v>1</v>
      </c>
      <c r="E838" t="s">
        <v>130</v>
      </c>
      <c r="F838" t="s">
        <v>378</v>
      </c>
      <c r="G838">
        <v>50</v>
      </c>
      <c r="H838" t="str">
        <f t="shared" si="52"/>
        <v>TRUE</v>
      </c>
      <c r="I838" t="str">
        <f t="shared" si="53"/>
        <v>FALSE</v>
      </c>
      <c r="J838" t="str">
        <f t="shared" si="54"/>
        <v>FALSE</v>
      </c>
      <c r="K838" t="str">
        <f t="shared" si="55"/>
        <v>subfunctionarea;mtaschargingsubscribercreditnotification;TRUE;subfunctionarea;mtaschargsubscribecreditnotif;50</v>
      </c>
    </row>
    <row r="839" spans="1:11" x14ac:dyDescent="0.3">
      <c r="A839">
        <v>8</v>
      </c>
      <c r="B839" t="s">
        <v>130</v>
      </c>
      <c r="C839" t="s">
        <v>312</v>
      </c>
      <c r="D839" t="b">
        <v>1</v>
      </c>
      <c r="E839" t="s">
        <v>130</v>
      </c>
      <c r="F839" t="s">
        <v>391</v>
      </c>
      <c r="G839">
        <v>50</v>
      </c>
      <c r="H839" t="str">
        <f t="shared" si="52"/>
        <v>TRUE</v>
      </c>
      <c r="I839" t="str">
        <f t="shared" si="53"/>
        <v>FALSE</v>
      </c>
      <c r="J839" t="str">
        <f t="shared" si="54"/>
        <v>FALSE</v>
      </c>
      <c r="K839" t="str">
        <f t="shared" si="55"/>
        <v>subfunctionarea;mtascomdetailslocalstoragemaxfilesize;TRUE;subfunctionarea;mtascomdeetslclstormaxfilesize;50</v>
      </c>
    </row>
    <row r="840" spans="1:11" x14ac:dyDescent="0.3">
      <c r="A840">
        <v>8</v>
      </c>
      <c r="B840" t="s">
        <v>130</v>
      </c>
      <c r="C840" t="s">
        <v>311</v>
      </c>
      <c r="D840" t="b">
        <v>1</v>
      </c>
      <c r="E840" t="s">
        <v>130</v>
      </c>
      <c r="F840" t="s">
        <v>392</v>
      </c>
      <c r="G840">
        <v>50</v>
      </c>
      <c r="H840" t="str">
        <f t="shared" si="52"/>
        <v>TRUE</v>
      </c>
      <c r="I840" t="str">
        <f t="shared" si="53"/>
        <v>FALSE</v>
      </c>
      <c r="J840" t="str">
        <f t="shared" si="54"/>
        <v>FALSE</v>
      </c>
      <c r="K840" t="str">
        <f t="shared" si="55"/>
        <v>subfunctionarea;mtascomdetailslocalstoragemaxnbracr;TRUE;subfunctionarea;mtascomdeetslclstormaxnbracr;50</v>
      </c>
    </row>
    <row r="841" spans="1:11" x14ac:dyDescent="0.3">
      <c r="A841">
        <v>8</v>
      </c>
      <c r="B841" t="s">
        <v>130</v>
      </c>
      <c r="C841" t="s">
        <v>308</v>
      </c>
      <c r="D841" t="b">
        <v>1</v>
      </c>
      <c r="E841" t="s">
        <v>130</v>
      </c>
      <c r="F841" t="s">
        <v>393</v>
      </c>
      <c r="G841">
        <v>50</v>
      </c>
      <c r="H841" t="str">
        <f t="shared" si="52"/>
        <v>TRUE</v>
      </c>
      <c r="I841" t="str">
        <f t="shared" si="53"/>
        <v>FALSE</v>
      </c>
      <c r="J841" t="str">
        <f t="shared" si="54"/>
        <v>FALSE</v>
      </c>
      <c r="K841" t="str">
        <f t="shared" si="55"/>
        <v>subfunctionarea;mtascomdetailslocalstoragemaxtime;TRUE;subfunctionarea;mtascomdetaillclstormaxtime;50</v>
      </c>
    </row>
    <row r="842" spans="1:11" x14ac:dyDescent="0.3">
      <c r="A842">
        <v>8</v>
      </c>
      <c r="B842" t="s">
        <v>130</v>
      </c>
      <c r="C842" t="s">
        <v>286</v>
      </c>
      <c r="D842" t="b">
        <v>1</v>
      </c>
      <c r="E842" t="s">
        <v>130</v>
      </c>
      <c r="F842" t="s">
        <v>370</v>
      </c>
      <c r="G842">
        <v>50</v>
      </c>
      <c r="H842" t="str">
        <f t="shared" si="52"/>
        <v>TRUE</v>
      </c>
      <c r="I842" t="str">
        <f t="shared" si="53"/>
        <v>FALSE</v>
      </c>
      <c r="J842" t="str">
        <f t="shared" si="54"/>
        <v>FALSE</v>
      </c>
      <c r="K842" t="str">
        <f t="shared" si="55"/>
        <v>subfunctionarea;mtascsiremotescfsubsystemnumber;TRUE;subfunctionarea;mtascsiremotescfsubsystemnum;50</v>
      </c>
    </row>
    <row r="843" spans="1:11" x14ac:dyDescent="0.3">
      <c r="A843">
        <v>8</v>
      </c>
      <c r="B843" t="s">
        <v>130</v>
      </c>
      <c r="C843" t="s">
        <v>306</v>
      </c>
      <c r="D843" t="b">
        <v>1</v>
      </c>
      <c r="E843" t="s">
        <v>130</v>
      </c>
      <c r="F843" t="s">
        <v>389</v>
      </c>
      <c r="G843">
        <v>50</v>
      </c>
      <c r="H843" t="str">
        <f t="shared" si="52"/>
        <v>TRUE</v>
      </c>
      <c r="I843" t="str">
        <f t="shared" si="53"/>
        <v>FALSE</v>
      </c>
      <c r="J843" t="str">
        <f t="shared" si="54"/>
        <v>FALSE</v>
      </c>
      <c r="K843" t="str">
        <f t="shared" si="55"/>
        <v>subfunctionarea;mtassipcancel2finalresponsetimer;TRUE;subfunctionarea;mtassipcancel2finalresptimer;50</v>
      </c>
    </row>
    <row r="844" spans="1:11" x14ac:dyDescent="0.3">
      <c r="A844">
        <v>8</v>
      </c>
      <c r="B844" t="s">
        <v>130</v>
      </c>
      <c r="C844" t="s">
        <v>307</v>
      </c>
      <c r="D844" t="b">
        <v>1</v>
      </c>
      <c r="E844" t="s">
        <v>130</v>
      </c>
      <c r="F844" t="s">
        <v>390</v>
      </c>
      <c r="G844">
        <v>50</v>
      </c>
      <c r="H844" t="str">
        <f t="shared" si="52"/>
        <v>TRUE</v>
      </c>
      <c r="I844" t="str">
        <f t="shared" si="53"/>
        <v>FALSE</v>
      </c>
      <c r="J844" t="str">
        <f t="shared" si="54"/>
        <v>FALSE</v>
      </c>
      <c r="K844" t="str">
        <f t="shared" si="55"/>
        <v>subfunctionarea;mtassipinvite2finalresponsetimer;TRUE;subfunctionarea;mtassipinvite2finalresptimer;50</v>
      </c>
    </row>
    <row r="845" spans="1:11" x14ac:dyDescent="0.3">
      <c r="A845">
        <v>8</v>
      </c>
      <c r="B845" t="s">
        <v>130</v>
      </c>
      <c r="C845" t="s">
        <v>303</v>
      </c>
      <c r="D845" t="b">
        <v>1</v>
      </c>
      <c r="E845" t="s">
        <v>130</v>
      </c>
      <c r="F845" t="s">
        <v>386</v>
      </c>
      <c r="G845">
        <v>50</v>
      </c>
      <c r="H845" t="str">
        <f t="shared" si="52"/>
        <v>TRUE</v>
      </c>
      <c r="I845" t="str">
        <f t="shared" si="53"/>
        <v>FALSE</v>
      </c>
      <c r="J845" t="str">
        <f t="shared" si="54"/>
        <v>FALSE</v>
      </c>
      <c r="K845" t="str">
        <f t="shared" si="55"/>
        <v>subfunctionarea;mtassipsteppingolinesessionversion;TRUE;subfunctionarea;mtassipsteppingolinesesionvr;50</v>
      </c>
    </row>
    <row r="846" spans="1:11" x14ac:dyDescent="0.3">
      <c r="A846">
        <v>8</v>
      </c>
      <c r="B846" t="s">
        <v>130</v>
      </c>
      <c r="C846" t="s">
        <v>305</v>
      </c>
      <c r="D846" t="b">
        <v>1</v>
      </c>
      <c r="E846" t="s">
        <v>130</v>
      </c>
      <c r="F846" t="s">
        <v>388</v>
      </c>
      <c r="G846">
        <v>50</v>
      </c>
      <c r="H846" t="str">
        <f t="shared" si="52"/>
        <v>TRUE</v>
      </c>
      <c r="I846" t="str">
        <f t="shared" si="53"/>
        <v>FALSE</v>
      </c>
      <c r="J846" t="str">
        <f t="shared" si="54"/>
        <v>FALSE</v>
      </c>
      <c r="K846" t="str">
        <f t="shared" si="55"/>
        <v>subfunctionarea;mtassiptrafficoriginatingipport;TRUE;subfunctionarea;mtassiptraficoriginatingipport;50</v>
      </c>
    </row>
    <row r="847" spans="1:11" x14ac:dyDescent="0.3">
      <c r="A847">
        <v>8</v>
      </c>
      <c r="B847" t="s">
        <v>130</v>
      </c>
      <c r="C847" t="s">
        <v>304</v>
      </c>
      <c r="D847" t="b">
        <v>1</v>
      </c>
      <c r="E847" t="s">
        <v>130</v>
      </c>
      <c r="F847" t="s">
        <v>387</v>
      </c>
      <c r="G847">
        <v>50</v>
      </c>
      <c r="H847" t="str">
        <f t="shared" si="52"/>
        <v>TRUE</v>
      </c>
      <c r="I847" t="str">
        <f t="shared" si="53"/>
        <v>FALSE</v>
      </c>
      <c r="J847" t="str">
        <f t="shared" si="54"/>
        <v>FALSE</v>
      </c>
      <c r="K847" t="str">
        <f t="shared" si="55"/>
        <v>subfunctionarea;mtassiptrafficterminatingipport;TRUE;subfunctionarea;mtassiptraficterminatingipport;50</v>
      </c>
    </row>
    <row r="848" spans="1:11" x14ac:dyDescent="0.3">
      <c r="A848">
        <v>8</v>
      </c>
      <c r="B848" t="s">
        <v>130</v>
      </c>
      <c r="C848" t="s">
        <v>297</v>
      </c>
      <c r="D848" t="b">
        <v>1</v>
      </c>
      <c r="E848" t="s">
        <v>130</v>
      </c>
      <c r="F848" t="s">
        <v>380</v>
      </c>
      <c r="G848">
        <v>50</v>
      </c>
      <c r="H848" t="str">
        <f t="shared" si="52"/>
        <v>TRUE</v>
      </c>
      <c r="I848" t="str">
        <f t="shared" si="53"/>
        <v>FALSE</v>
      </c>
      <c r="J848" t="str">
        <f t="shared" si="54"/>
        <v>FALSE</v>
      </c>
      <c r="K848" t="str">
        <f t="shared" si="55"/>
        <v>subfunctionarea;mtassubsdatainitreghssfetchdelay;TRUE;subfunctionarea;mtassubsdatainitregfetchdelay;50</v>
      </c>
    </row>
    <row r="849" spans="1:11" x14ac:dyDescent="0.3">
      <c r="A849">
        <v>8</v>
      </c>
      <c r="B849" t="s">
        <v>130</v>
      </c>
      <c r="C849" t="s">
        <v>299</v>
      </c>
      <c r="D849" t="b">
        <v>1</v>
      </c>
      <c r="E849" t="s">
        <v>130</v>
      </c>
      <c r="F849" t="s">
        <v>382</v>
      </c>
      <c r="G849">
        <v>50</v>
      </c>
      <c r="H849" t="str">
        <f t="shared" si="52"/>
        <v>TRUE</v>
      </c>
      <c r="I849" t="str">
        <f t="shared" si="53"/>
        <v>FALSE</v>
      </c>
      <c r="J849" t="str">
        <f t="shared" si="54"/>
        <v>FALSE</v>
      </c>
      <c r="K849" t="str">
        <f t="shared" si="55"/>
        <v>subfunctionarea;mtassubsdatamobileclassification;TRUE;subfunctionarea;mtassubsdatamobileclass;50</v>
      </c>
    </row>
    <row r="850" spans="1:11" x14ac:dyDescent="0.3">
      <c r="A850">
        <v>8</v>
      </c>
      <c r="B850" t="s">
        <v>130</v>
      </c>
      <c r="C850" t="s">
        <v>295</v>
      </c>
      <c r="D850" t="b">
        <v>1</v>
      </c>
      <c r="E850" t="s">
        <v>130</v>
      </c>
      <c r="F850" t="s">
        <v>379</v>
      </c>
      <c r="G850">
        <v>50</v>
      </c>
      <c r="H850" t="str">
        <f t="shared" si="52"/>
        <v>TRUE</v>
      </c>
      <c r="I850" t="str">
        <f t="shared" si="53"/>
        <v>FALSE</v>
      </c>
      <c r="J850" t="str">
        <f t="shared" si="54"/>
        <v>FALSE</v>
      </c>
      <c r="K850" t="str">
        <f t="shared" si="55"/>
        <v>subfunctionarea;mtassubsdataregeventresponsetimer;TRUE;subfunctionarea;mtasubdataregeventrsponsetimer;50</v>
      </c>
    </row>
    <row r="851" spans="1:11" x14ac:dyDescent="0.3">
      <c r="A851">
        <v>8</v>
      </c>
      <c r="B851" t="s">
        <v>130</v>
      </c>
      <c r="C851" t="s">
        <v>298</v>
      </c>
      <c r="D851" t="b">
        <v>1</v>
      </c>
      <c r="E851" t="s">
        <v>130</v>
      </c>
      <c r="F851" t="s">
        <v>381</v>
      </c>
      <c r="G851">
        <v>50</v>
      </c>
      <c r="H851" t="str">
        <f t="shared" si="52"/>
        <v>TRUE</v>
      </c>
      <c r="I851" t="str">
        <f t="shared" si="53"/>
        <v>FALSE</v>
      </c>
      <c r="J851" t="str">
        <f t="shared" si="54"/>
        <v>FALSE</v>
      </c>
      <c r="K851" t="str">
        <f t="shared" si="55"/>
        <v>subfunctionarea;mtassubsdataservicerecordslimit;TRUE;subfunctionarea;mtassubsdataservicerecordlimit;50</v>
      </c>
    </row>
    <row r="852" spans="1:11" x14ac:dyDescent="0.3">
      <c r="A852">
        <v>8</v>
      </c>
      <c r="B852" t="s">
        <v>130</v>
      </c>
      <c r="C852" t="s">
        <v>301</v>
      </c>
      <c r="D852" t="b">
        <v>1</v>
      </c>
      <c r="E852" t="s">
        <v>130</v>
      </c>
      <c r="F852" t="s">
        <v>384</v>
      </c>
      <c r="G852">
        <v>50</v>
      </c>
      <c r="H852" t="str">
        <f t="shared" si="52"/>
        <v>TRUE</v>
      </c>
      <c r="I852" t="str">
        <f t="shared" si="53"/>
        <v>FALSE</v>
      </c>
      <c r="J852" t="str">
        <f t="shared" si="54"/>
        <v>FALSE</v>
      </c>
      <c r="K852" t="str">
        <f t="shared" si="55"/>
        <v>subfunctionarea;mtastracedefaultcriticalconfigperminute;TRUE;subfunctionarea;mtastracedefcritconfigprminute;50</v>
      </c>
    </row>
    <row r="853" spans="1:11" x14ac:dyDescent="0.3">
      <c r="A853">
        <v>8</v>
      </c>
      <c r="B853" t="s">
        <v>130</v>
      </c>
      <c r="C853" t="s">
        <v>300</v>
      </c>
      <c r="D853" t="b">
        <v>1</v>
      </c>
      <c r="E853" t="s">
        <v>130</v>
      </c>
      <c r="F853" t="s">
        <v>383</v>
      </c>
      <c r="G853">
        <v>50</v>
      </c>
      <c r="H853" t="str">
        <f t="shared" si="52"/>
        <v>TRUE</v>
      </c>
      <c r="I853" t="str">
        <f t="shared" si="53"/>
        <v>FALSE</v>
      </c>
      <c r="J853" t="str">
        <f t="shared" si="54"/>
        <v>FALSE</v>
      </c>
      <c r="K853" t="str">
        <f t="shared" si="55"/>
        <v>subfunctionarea;mtastracedefaulttraceprintsubscriberkey;TRUE;subfunctionarea;mtastracedeftraceprintsubsckey;50</v>
      </c>
    </row>
    <row r="854" spans="1:11" x14ac:dyDescent="0.3">
      <c r="A854">
        <v>8</v>
      </c>
      <c r="B854" t="s">
        <v>130</v>
      </c>
      <c r="C854" t="s">
        <v>302</v>
      </c>
      <c r="D854" t="b">
        <v>1</v>
      </c>
      <c r="E854" t="s">
        <v>130</v>
      </c>
      <c r="F854" t="s">
        <v>385</v>
      </c>
      <c r="G854">
        <v>50</v>
      </c>
      <c r="H854" t="str">
        <f t="shared" si="52"/>
        <v>TRUE</v>
      </c>
      <c r="I854" t="str">
        <f t="shared" si="53"/>
        <v>FALSE</v>
      </c>
      <c r="J854" t="str">
        <f t="shared" si="54"/>
        <v>FALSE</v>
      </c>
      <c r="K854" t="str">
        <f t="shared" si="55"/>
        <v>subfunctionarea;mtastracedefaultwarningperminute;TRUE;subfunctionarea;mtastracedefwarningprminute;50</v>
      </c>
    </row>
    <row r="855" spans="1:11" x14ac:dyDescent="0.3">
      <c r="A855">
        <v>8</v>
      </c>
      <c r="B855" t="s">
        <v>130</v>
      </c>
      <c r="C855" t="s">
        <v>315</v>
      </c>
      <c r="D855" t="b">
        <v>1</v>
      </c>
      <c r="E855" t="s">
        <v>130</v>
      </c>
      <c r="F855" t="s">
        <v>395</v>
      </c>
      <c r="G855">
        <v>50</v>
      </c>
      <c r="H855" t="str">
        <f t="shared" si="52"/>
        <v>TRUE</v>
      </c>
      <c r="I855" t="str">
        <f t="shared" si="53"/>
        <v>FALSE</v>
      </c>
      <c r="J855" t="str">
        <f t="shared" si="54"/>
        <v>FALSE</v>
      </c>
      <c r="K855" t="str">
        <f t="shared" si="55"/>
        <v>subfunctionarea;mtasxdmscai3gadministrativestate;TRUE;subfunctionarea;mtasxdmscai3gadminstate;50</v>
      </c>
    </row>
    <row r="856" spans="1:11" x14ac:dyDescent="0.3">
      <c r="A856">
        <v>8</v>
      </c>
      <c r="B856" t="s">
        <v>130</v>
      </c>
      <c r="C856" t="s">
        <v>316</v>
      </c>
      <c r="D856" t="b">
        <v>1</v>
      </c>
      <c r="E856" t="s">
        <v>130</v>
      </c>
      <c r="F856" t="s">
        <v>396</v>
      </c>
      <c r="G856">
        <v>50</v>
      </c>
      <c r="H856" t="str">
        <f t="shared" si="52"/>
        <v>TRUE</v>
      </c>
      <c r="I856" t="str">
        <f t="shared" si="53"/>
        <v>FALSE</v>
      </c>
      <c r="J856" t="str">
        <f t="shared" si="54"/>
        <v>FALSE</v>
      </c>
      <c r="K856" t="str">
        <f t="shared" si="55"/>
        <v>subfunctionarea;mtasxdmsccmpadministrativestate;TRUE;subfunctionarea;mtasxdmsccmpadminstate;50</v>
      </c>
    </row>
    <row r="857" spans="1:11" x14ac:dyDescent="0.3">
      <c r="A857">
        <v>8</v>
      </c>
      <c r="B857" t="s">
        <v>130</v>
      </c>
      <c r="C857" t="s">
        <v>314</v>
      </c>
      <c r="D857" t="b">
        <v>1</v>
      </c>
      <c r="E857" t="s">
        <v>130</v>
      </c>
      <c r="F857" t="s">
        <v>394</v>
      </c>
      <c r="G857">
        <v>50</v>
      </c>
      <c r="H857" t="str">
        <f t="shared" si="52"/>
        <v>TRUE</v>
      </c>
      <c r="I857" t="str">
        <f t="shared" si="53"/>
        <v>FALSE</v>
      </c>
      <c r="J857" t="str">
        <f t="shared" si="54"/>
        <v>FALSE</v>
      </c>
      <c r="K857" t="str">
        <f t="shared" si="55"/>
        <v>subfunctionarea;mtasxdmsxcapresponsecontenttype;TRUE;subfunctionarea;mtasxdmsxcaprespcontenttype;50</v>
      </c>
    </row>
    <row r="858" spans="1:11" x14ac:dyDescent="0.3">
      <c r="A858">
        <v>8</v>
      </c>
      <c r="B858" t="s">
        <v>130</v>
      </c>
      <c r="C858" t="s">
        <v>348</v>
      </c>
      <c r="D858" t="b">
        <v>1</v>
      </c>
      <c r="E858" t="s">
        <v>130</v>
      </c>
      <c r="F858" t="s">
        <v>397</v>
      </c>
      <c r="G858">
        <v>50</v>
      </c>
      <c r="H858" t="str">
        <f t="shared" si="52"/>
        <v>TRUE</v>
      </c>
      <c r="I858" t="str">
        <f t="shared" si="53"/>
        <v>FALSE</v>
      </c>
      <c r="J858" t="str">
        <f t="shared" si="54"/>
        <v>FALSE</v>
      </c>
      <c r="K858" t="str">
        <f t="shared" si="55"/>
        <v>subfunctionarea;nonregusersallowedforeconnormalbearer;TRUE;subfunctionarea;nonreguserallowforecnrmlbearer;50</v>
      </c>
    </row>
    <row r="859" spans="1:11" x14ac:dyDescent="0.3">
      <c r="A859">
        <v>8</v>
      </c>
      <c r="B859" t="s">
        <v>130</v>
      </c>
      <c r="C859" t="s">
        <v>261</v>
      </c>
      <c r="D859" t="b">
        <v>1</v>
      </c>
      <c r="E859" t="s">
        <v>130</v>
      </c>
      <c r="F859" t="s">
        <v>349</v>
      </c>
      <c r="G859">
        <v>50</v>
      </c>
      <c r="H859" t="str">
        <f t="shared" si="52"/>
        <v>TRUE</v>
      </c>
      <c r="I859" t="str">
        <f t="shared" si="53"/>
        <v>FALSE</v>
      </c>
      <c r="J859" t="str">
        <f t="shared" si="54"/>
        <v>FALSE</v>
      </c>
      <c r="K859" t="str">
        <f t="shared" si="55"/>
        <v>subfunctionarea;numbernormalisationtablesyncstate;TRUE;subfunctionarea;num_normal_tablesyncstate;50</v>
      </c>
    </row>
    <row r="860" spans="1:11" x14ac:dyDescent="0.3">
      <c r="A860">
        <v>8</v>
      </c>
      <c r="B860" t="s">
        <v>130</v>
      </c>
      <c r="C860" t="s">
        <v>326</v>
      </c>
      <c r="D860" t="b">
        <v>1</v>
      </c>
      <c r="E860" t="s">
        <v>130</v>
      </c>
      <c r="F860" t="s">
        <v>326</v>
      </c>
      <c r="G860">
        <v>50</v>
      </c>
      <c r="H860" t="str">
        <f t="shared" si="52"/>
        <v>TRUE</v>
      </c>
      <c r="I860" t="str">
        <f t="shared" si="53"/>
        <v>TRUE</v>
      </c>
      <c r="J860" t="str">
        <f t="shared" si="54"/>
        <v>FALSE</v>
      </c>
      <c r="K860" t="str">
        <f t="shared" si="55"/>
        <v>subfunctionarea;mtaschargingccrstoragemaxfilesize;TRUE;subfunctionarea;mtaschargingccrstoragemaxfilesize;50</v>
      </c>
    </row>
    <row r="861" spans="1:11" x14ac:dyDescent="0.3">
      <c r="A861">
        <v>8</v>
      </c>
      <c r="B861" t="s">
        <v>130</v>
      </c>
      <c r="C861" t="s">
        <v>331</v>
      </c>
      <c r="D861" t="b">
        <v>1</v>
      </c>
      <c r="E861" t="s">
        <v>130</v>
      </c>
      <c r="F861" t="s">
        <v>331</v>
      </c>
      <c r="G861">
        <v>50</v>
      </c>
      <c r="H861" t="str">
        <f t="shared" si="52"/>
        <v>TRUE</v>
      </c>
      <c r="I861" t="str">
        <f t="shared" si="53"/>
        <v>TRUE</v>
      </c>
      <c r="J861" t="str">
        <f t="shared" si="54"/>
        <v>FALSE</v>
      </c>
      <c r="K861" t="str">
        <f t="shared" si="55"/>
        <v>subfunctionarea;mtaschargingccrstoragemaxnoofccr;TRUE;subfunctionarea;mtaschargingccrstoragemaxnoofccr;50</v>
      </c>
    </row>
    <row r="862" spans="1:11" x14ac:dyDescent="0.3">
      <c r="A862">
        <v>8</v>
      </c>
      <c r="B862" t="s">
        <v>130</v>
      </c>
      <c r="C862" t="s">
        <v>330</v>
      </c>
      <c r="D862" t="b">
        <v>1</v>
      </c>
      <c r="E862" t="s">
        <v>130</v>
      </c>
      <c r="F862" t="s">
        <v>330</v>
      </c>
      <c r="G862">
        <v>50</v>
      </c>
      <c r="H862" t="str">
        <f t="shared" si="52"/>
        <v>TRUE</v>
      </c>
      <c r="I862" t="str">
        <f t="shared" si="53"/>
        <v>TRUE</v>
      </c>
      <c r="J862" t="str">
        <f t="shared" si="54"/>
        <v>FALSE</v>
      </c>
      <c r="K862" t="str">
        <f t="shared" si="55"/>
        <v>subfunctionarea;mtaschargingccrstoragemaxtimeperfile;TRUE;subfunctionarea;mtaschargingccrstoragemaxtimeperfile;50</v>
      </c>
    </row>
    <row r="863" spans="1:11" x14ac:dyDescent="0.3">
      <c r="A863">
        <v>8</v>
      </c>
      <c r="B863" t="s">
        <v>130</v>
      </c>
      <c r="C863" t="s">
        <v>328</v>
      </c>
      <c r="D863" t="b">
        <v>1</v>
      </c>
      <c r="E863" t="s">
        <v>130</v>
      </c>
      <c r="F863" t="s">
        <v>328</v>
      </c>
      <c r="G863">
        <v>50</v>
      </c>
      <c r="H863" t="str">
        <f t="shared" si="52"/>
        <v>TRUE</v>
      </c>
      <c r="I863" t="str">
        <f t="shared" si="53"/>
        <v>TRUE</v>
      </c>
      <c r="J863" t="str">
        <f t="shared" si="54"/>
        <v>FALSE</v>
      </c>
      <c r="K863" t="str">
        <f t="shared" si="55"/>
        <v>subfunctionarea;mtaschargingmrfuserinputerrorhandlingprofile;TRUE;subfunctionarea;mtaschargingmrfuserinputerrorhandlingprofile;50</v>
      </c>
    </row>
    <row r="864" spans="1:11" x14ac:dyDescent="0.3">
      <c r="A864">
        <v>8</v>
      </c>
      <c r="B864" t="s">
        <v>130</v>
      </c>
      <c r="C864" t="s">
        <v>327</v>
      </c>
      <c r="D864" t="b">
        <v>1</v>
      </c>
      <c r="E864" t="s">
        <v>130</v>
      </c>
      <c r="F864" t="s">
        <v>327</v>
      </c>
      <c r="G864">
        <v>50</v>
      </c>
      <c r="H864" t="str">
        <f t="shared" si="52"/>
        <v>TRUE</v>
      </c>
      <c r="I864" t="str">
        <f t="shared" si="53"/>
        <v>TRUE</v>
      </c>
      <c r="J864" t="str">
        <f t="shared" si="54"/>
        <v>FALSE</v>
      </c>
      <c r="K864" t="str">
        <f t="shared" si="55"/>
        <v>subfunctionarea;mtaschargingsubscribercreditnotificationmrfoffer;TRUE;subfunctionarea;mtaschargingsubscribercreditnotificationmrfoffer;50</v>
      </c>
    </row>
    <row r="865" spans="1:11" x14ac:dyDescent="0.3">
      <c r="A865">
        <v>8</v>
      </c>
      <c r="B865" t="s">
        <v>130</v>
      </c>
      <c r="C865" t="s">
        <v>325</v>
      </c>
      <c r="D865" t="b">
        <v>1</v>
      </c>
      <c r="E865" t="s">
        <v>130</v>
      </c>
      <c r="F865" t="s">
        <v>325</v>
      </c>
      <c r="G865">
        <v>50</v>
      </c>
      <c r="H865" t="str">
        <f t="shared" si="52"/>
        <v>TRUE</v>
      </c>
      <c r="I865" t="str">
        <f t="shared" si="53"/>
        <v>TRUE</v>
      </c>
      <c r="J865" t="str">
        <f t="shared" si="54"/>
        <v>FALSE</v>
      </c>
      <c r="K865" t="str">
        <f t="shared" si="55"/>
        <v>subfunctionarea;mtaschargingsubscribercreditnotificationofferestablishedmediatotarget;TRUE;subfunctionarea;mtaschargingsubscribercreditnotificationofferestablishedmediatotarget;50</v>
      </c>
    </row>
    <row r="866" spans="1:11" x14ac:dyDescent="0.3">
      <c r="A866">
        <v>8</v>
      </c>
      <c r="B866" t="s">
        <v>130</v>
      </c>
      <c r="C866" t="s">
        <v>329</v>
      </c>
      <c r="D866" t="b">
        <v>1</v>
      </c>
      <c r="E866" t="s">
        <v>130</v>
      </c>
      <c r="F866" t="s">
        <v>329</v>
      </c>
      <c r="G866">
        <v>50</v>
      </c>
      <c r="H866" t="str">
        <f t="shared" si="52"/>
        <v>TRUE</v>
      </c>
      <c r="I866" t="str">
        <f t="shared" si="53"/>
        <v>TRUE</v>
      </c>
      <c r="J866" t="str">
        <f t="shared" si="54"/>
        <v>FALSE</v>
      </c>
      <c r="K866" t="str">
        <f t="shared" si="55"/>
        <v>subfunctionarea;mtaschargingsubscribercreditnotificationvideodirective;TRUE;subfunctionarea;mtaschargingsubscribercreditnotificationvideodirective;50</v>
      </c>
    </row>
    <row r="867" spans="1:11" x14ac:dyDescent="0.3">
      <c r="A867">
        <v>8</v>
      </c>
      <c r="B867" t="s">
        <v>130</v>
      </c>
      <c r="C867" t="s">
        <v>318</v>
      </c>
      <c r="D867" t="b">
        <v>1</v>
      </c>
      <c r="E867" t="s">
        <v>130</v>
      </c>
      <c r="F867" t="s">
        <v>318</v>
      </c>
      <c r="G867">
        <v>50</v>
      </c>
      <c r="H867" t="str">
        <f t="shared" si="52"/>
        <v>TRUE</v>
      </c>
      <c r="I867" t="str">
        <f t="shared" si="53"/>
        <v>TRUE</v>
      </c>
      <c r="J867" t="str">
        <f t="shared" si="54"/>
        <v>FALSE</v>
      </c>
      <c r="K867" t="str">
        <f t="shared" si="55"/>
        <v>subfunctionarea;mtasscalingtimebasedscalingenabled;TRUE;subfunctionarea;mtasscalingtimebasedscalingenabled;50</v>
      </c>
    </row>
    <row r="868" spans="1:11" x14ac:dyDescent="0.3">
      <c r="A868">
        <v>8</v>
      </c>
      <c r="B868" t="s">
        <v>130</v>
      </c>
      <c r="C868" t="s">
        <v>340</v>
      </c>
      <c r="D868" t="b">
        <v>1</v>
      </c>
      <c r="E868" t="s">
        <v>130</v>
      </c>
      <c r="F868" t="s">
        <v>340</v>
      </c>
      <c r="G868">
        <v>50</v>
      </c>
      <c r="H868" t="str">
        <f t="shared" si="52"/>
        <v>TRUE</v>
      </c>
      <c r="I868" t="str">
        <f t="shared" si="53"/>
        <v>TRUE</v>
      </c>
      <c r="J868" t="str">
        <f t="shared" si="54"/>
        <v>FALSE</v>
      </c>
      <c r="K868" t="str">
        <f t="shared" si="55"/>
        <v>subfunctionarea;mtassipadditionalinfoinnegresponses;TRUE;subfunctionarea;mtassipadditionalinfoinnegresponses;50</v>
      </c>
    </row>
    <row r="869" spans="1:11" x14ac:dyDescent="0.3">
      <c r="A869">
        <v>8</v>
      </c>
      <c r="B869" t="s">
        <v>130</v>
      </c>
      <c r="C869" t="s">
        <v>339</v>
      </c>
      <c r="D869" t="b">
        <v>1</v>
      </c>
      <c r="E869" t="s">
        <v>130</v>
      </c>
      <c r="F869" t="s">
        <v>339</v>
      </c>
      <c r="G869">
        <v>50</v>
      </c>
      <c r="H869" t="str">
        <f t="shared" si="52"/>
        <v>TRUE</v>
      </c>
      <c r="I869" t="str">
        <f t="shared" si="53"/>
        <v>TRUE</v>
      </c>
      <c r="J869" t="str">
        <f t="shared" si="54"/>
        <v>FALSE</v>
      </c>
      <c r="K869" t="str">
        <f t="shared" si="55"/>
        <v>subfunctionarea;mtassipchangerefresherroleinreinviteandupdate;TRUE;subfunctionarea;mtassipchangerefresherroleinreinviteandupdate;50</v>
      </c>
    </row>
    <row r="870" spans="1:11" x14ac:dyDescent="0.3">
      <c r="A870">
        <v>8</v>
      </c>
      <c r="B870" t="s">
        <v>130</v>
      </c>
      <c r="C870" t="s">
        <v>341</v>
      </c>
      <c r="D870" t="b">
        <v>1</v>
      </c>
      <c r="E870" t="s">
        <v>130</v>
      </c>
      <c r="F870" t="s">
        <v>341</v>
      </c>
      <c r="G870">
        <v>50</v>
      </c>
      <c r="H870" t="str">
        <f t="shared" si="52"/>
        <v>TRUE</v>
      </c>
      <c r="I870" t="str">
        <f t="shared" si="53"/>
        <v>TRUE</v>
      </c>
      <c r="J870" t="str">
        <f t="shared" si="54"/>
        <v>FALSE</v>
      </c>
      <c r="K870" t="str">
        <f t="shared" si="55"/>
        <v>subfunctionarea;mtassipenablesessionrefreshforearlyupdate;TRUE;subfunctionarea;mtassipenablesessionrefreshforearlyupdate;50</v>
      </c>
    </row>
    <row r="871" spans="1:11" x14ac:dyDescent="0.3">
      <c r="A871">
        <v>8</v>
      </c>
      <c r="B871" t="s">
        <v>130</v>
      </c>
      <c r="C871" t="s">
        <v>336</v>
      </c>
      <c r="D871" t="b">
        <v>1</v>
      </c>
      <c r="E871" t="s">
        <v>130</v>
      </c>
      <c r="F871" t="s">
        <v>336</v>
      </c>
      <c r="G871">
        <v>50</v>
      </c>
      <c r="H871" t="str">
        <f t="shared" si="52"/>
        <v>TRUE</v>
      </c>
      <c r="I871" t="str">
        <f t="shared" si="53"/>
        <v>TRUE</v>
      </c>
      <c r="J871" t="str">
        <f t="shared" si="54"/>
        <v>FALSE</v>
      </c>
      <c r="K871" t="str">
        <f t="shared" si="55"/>
        <v>subfunctionarea;mtassipofferanswerexchangecontrol;TRUE;subfunctionarea;mtassipofferanswerexchangecontrol;50</v>
      </c>
    </row>
    <row r="872" spans="1:11" x14ac:dyDescent="0.3">
      <c r="A872">
        <v>8</v>
      </c>
      <c r="B872" t="s">
        <v>130</v>
      </c>
      <c r="C872" t="s">
        <v>334</v>
      </c>
      <c r="D872" t="b">
        <v>1</v>
      </c>
      <c r="E872" t="s">
        <v>130</v>
      </c>
      <c r="F872" t="s">
        <v>334</v>
      </c>
      <c r="G872">
        <v>50</v>
      </c>
      <c r="H872" t="str">
        <f t="shared" si="52"/>
        <v>TRUE</v>
      </c>
      <c r="I872" t="str">
        <f t="shared" si="53"/>
        <v>TRUE</v>
      </c>
      <c r="J872" t="str">
        <f t="shared" si="54"/>
        <v>FALSE</v>
      </c>
      <c r="K872" t="str">
        <f t="shared" si="55"/>
        <v>subfunctionarea;mtassipremoverefresherparameterinearlyupdate;TRUE;subfunctionarea;mtassipremoverefresherparameterinearlyupdate;50</v>
      </c>
    </row>
    <row r="873" spans="1:11" x14ac:dyDescent="0.3">
      <c r="A873">
        <v>8</v>
      </c>
      <c r="B873" t="s">
        <v>130</v>
      </c>
      <c r="C873" t="s">
        <v>337</v>
      </c>
      <c r="D873" t="b">
        <v>1</v>
      </c>
      <c r="E873" t="s">
        <v>130</v>
      </c>
      <c r="F873" t="s">
        <v>337</v>
      </c>
      <c r="G873">
        <v>50</v>
      </c>
      <c r="H873" t="str">
        <f t="shared" si="52"/>
        <v>TRUE</v>
      </c>
      <c r="I873" t="str">
        <f t="shared" si="53"/>
        <v>TRUE</v>
      </c>
      <c r="J873" t="str">
        <f t="shared" si="54"/>
        <v>FALSE</v>
      </c>
      <c r="K873" t="str">
        <f t="shared" si="55"/>
        <v>subfunctionarea;mtassipremovesupportedheaderinerrorresponse;TRUE;subfunctionarea;mtassipremovesupportedheaderinerrorresponse;50</v>
      </c>
    </row>
    <row r="874" spans="1:11" x14ac:dyDescent="0.3">
      <c r="A874">
        <v>8</v>
      </c>
      <c r="B874" t="s">
        <v>130</v>
      </c>
      <c r="C874" t="s">
        <v>338</v>
      </c>
      <c r="D874" t="b">
        <v>1</v>
      </c>
      <c r="E874" t="s">
        <v>130</v>
      </c>
      <c r="F874" t="s">
        <v>338</v>
      </c>
      <c r="G874">
        <v>50</v>
      </c>
      <c r="H874" t="str">
        <f t="shared" si="52"/>
        <v>TRUE</v>
      </c>
      <c r="I874" t="str">
        <f t="shared" si="53"/>
        <v>TRUE</v>
      </c>
      <c r="J874" t="str">
        <f t="shared" si="54"/>
        <v>FALSE</v>
      </c>
      <c r="K874" t="str">
        <f t="shared" si="55"/>
        <v>subfunctionarea;mtassipsdpinsessionrefreshresponses;TRUE;subfunctionarea;mtassipsdpinsessionrefreshresponses;50</v>
      </c>
    </row>
    <row r="875" spans="1:11" x14ac:dyDescent="0.3">
      <c r="A875">
        <v>8</v>
      </c>
      <c r="B875" t="s">
        <v>130</v>
      </c>
      <c r="C875" t="s">
        <v>335</v>
      </c>
      <c r="D875" t="b">
        <v>1</v>
      </c>
      <c r="E875" t="s">
        <v>130</v>
      </c>
      <c r="F875" t="s">
        <v>335</v>
      </c>
      <c r="G875">
        <v>50</v>
      </c>
      <c r="H875" t="str">
        <f t="shared" si="52"/>
        <v>TRUE</v>
      </c>
      <c r="I875" t="str">
        <f t="shared" si="53"/>
        <v>TRUE</v>
      </c>
      <c r="J875" t="str">
        <f t="shared" si="54"/>
        <v>FALSE</v>
      </c>
      <c r="K875" t="str">
        <f t="shared" si="55"/>
        <v>subfunctionarea;mtassipsessionrefreshnegotiationinearlyupdate;TRUE;subfunctionarea;mtassipsessionrefreshnegotiationinearlyupdate;50</v>
      </c>
    </row>
    <row r="876" spans="1:11" x14ac:dyDescent="0.3">
      <c r="A876">
        <v>8</v>
      </c>
      <c r="B876" t="s">
        <v>130</v>
      </c>
      <c r="C876" t="s">
        <v>333</v>
      </c>
      <c r="D876" t="b">
        <v>1</v>
      </c>
      <c r="E876" t="s">
        <v>130</v>
      </c>
      <c r="F876" t="s">
        <v>333</v>
      </c>
      <c r="G876">
        <v>50</v>
      </c>
      <c r="H876" t="str">
        <f t="shared" si="52"/>
        <v>TRUE</v>
      </c>
      <c r="I876" t="str">
        <f t="shared" si="53"/>
        <v>TRUE</v>
      </c>
      <c r="J876" t="str">
        <f t="shared" si="54"/>
        <v>FALSE</v>
      </c>
      <c r="K876" t="str">
        <f t="shared" si="55"/>
        <v>subfunctionarea;mtassipsupportpserveduserheader;TRUE;subfunctionarea;mtassipsupportpserveduserheader;50</v>
      </c>
    </row>
    <row r="877" spans="1:11" x14ac:dyDescent="0.3">
      <c r="A877">
        <v>8</v>
      </c>
      <c r="B877" t="s">
        <v>130</v>
      </c>
      <c r="C877" t="s">
        <v>332</v>
      </c>
      <c r="D877" t="b">
        <v>1</v>
      </c>
      <c r="E877" t="s">
        <v>130</v>
      </c>
      <c r="F877" t="s">
        <v>332</v>
      </c>
      <c r="G877">
        <v>50</v>
      </c>
      <c r="H877" t="str">
        <f t="shared" si="52"/>
        <v>TRUE</v>
      </c>
      <c r="I877" t="str">
        <f t="shared" si="53"/>
        <v>TRUE</v>
      </c>
      <c r="J877" t="str">
        <f t="shared" si="54"/>
        <v>FALSE</v>
      </c>
      <c r="K877" t="str">
        <f t="shared" si="55"/>
        <v>subfunctionarea;mtassipterminationoncancelandanswercrossover;TRUE;subfunctionarea;mtassipterminationoncancelandanswercrossover;50</v>
      </c>
    </row>
    <row r="878" spans="1:11" x14ac:dyDescent="0.3">
      <c r="A878">
        <v>8</v>
      </c>
      <c r="B878" t="s">
        <v>130</v>
      </c>
      <c r="C878" t="s">
        <v>342</v>
      </c>
      <c r="D878" t="b">
        <v>1</v>
      </c>
      <c r="E878" t="s">
        <v>130</v>
      </c>
      <c r="F878" t="s">
        <v>342</v>
      </c>
      <c r="G878">
        <v>50</v>
      </c>
      <c r="H878" t="str">
        <f t="shared" si="52"/>
        <v>TRUE</v>
      </c>
      <c r="I878" t="str">
        <f t="shared" si="53"/>
        <v>TRUE</v>
      </c>
      <c r="J878" t="str">
        <f t="shared" si="54"/>
        <v>FALSE</v>
      </c>
      <c r="K878" t="str">
        <f t="shared" si="55"/>
        <v>subfunctionarea;mtassubsdatadisablenotifyirsupdate;TRUE;subfunctionarea;mtassubsdatadisablenotifyirsupdate;50</v>
      </c>
    </row>
    <row r="879" spans="1:11" x14ac:dyDescent="0.3">
      <c r="A879">
        <v>8</v>
      </c>
      <c r="B879" t="s">
        <v>130</v>
      </c>
      <c r="C879" t="s">
        <v>344</v>
      </c>
      <c r="D879" t="b">
        <v>1</v>
      </c>
      <c r="E879" t="s">
        <v>130</v>
      </c>
      <c r="F879" t="s">
        <v>344</v>
      </c>
      <c r="G879">
        <v>50</v>
      </c>
      <c r="H879" t="str">
        <f t="shared" si="52"/>
        <v>TRUE</v>
      </c>
      <c r="I879" t="str">
        <f t="shared" si="53"/>
        <v>TRUE</v>
      </c>
      <c r="J879" t="str">
        <f t="shared" si="54"/>
        <v>FALSE</v>
      </c>
      <c r="K879" t="str">
        <f t="shared" si="55"/>
        <v>subfunctionarea;mtassubsdatammteldevicefilterexclude;TRUE;subfunctionarea;mtassubsdatammteldevicefilterexclude;50</v>
      </c>
    </row>
    <row r="880" spans="1:11" x14ac:dyDescent="0.3">
      <c r="A880">
        <v>8</v>
      </c>
      <c r="B880" t="s">
        <v>130</v>
      </c>
      <c r="C880" t="s">
        <v>343</v>
      </c>
      <c r="D880" t="b">
        <v>1</v>
      </c>
      <c r="E880" t="s">
        <v>130</v>
      </c>
      <c r="F880" t="s">
        <v>343</v>
      </c>
      <c r="G880">
        <v>50</v>
      </c>
      <c r="H880" t="str">
        <f t="shared" si="52"/>
        <v>TRUE</v>
      </c>
      <c r="I880" t="str">
        <f t="shared" si="53"/>
        <v>TRUE</v>
      </c>
      <c r="J880" t="str">
        <f t="shared" si="54"/>
        <v>FALSE</v>
      </c>
      <c r="K880" t="str">
        <f t="shared" si="55"/>
        <v>subfunctionarea;mtassubsdatammteldevicefilterinclude;TRUE;subfunctionarea;mtassubsdatammteldevicefilterinclude;50</v>
      </c>
    </row>
    <row r="881" spans="1:11" x14ac:dyDescent="0.3">
      <c r="A881">
        <v>8</v>
      </c>
      <c r="B881" t="s">
        <v>130</v>
      </c>
      <c r="C881" t="s">
        <v>345</v>
      </c>
      <c r="D881" t="b">
        <v>1</v>
      </c>
      <c r="E881" t="s">
        <v>130</v>
      </c>
      <c r="F881" t="s">
        <v>345</v>
      </c>
      <c r="G881">
        <v>50</v>
      </c>
      <c r="H881" t="str">
        <f t="shared" si="52"/>
        <v>TRUE</v>
      </c>
      <c r="I881" t="str">
        <f t="shared" si="53"/>
        <v>TRUE</v>
      </c>
      <c r="J881" t="str">
        <f t="shared" si="54"/>
        <v>FALSE</v>
      </c>
      <c r="K881" t="str">
        <f t="shared" si="55"/>
        <v>subfunctionarea;mtassubsdatasccinitialselectionawareness;TRUE;subfunctionarea;mtassubsdatasccinitialselectionawareness;50</v>
      </c>
    </row>
    <row r="882" spans="1:11" x14ac:dyDescent="0.3">
      <c r="A882">
        <v>8</v>
      </c>
      <c r="B882" t="s">
        <v>130</v>
      </c>
      <c r="C882" t="s">
        <v>323</v>
      </c>
      <c r="D882" t="b">
        <v>1</v>
      </c>
      <c r="E882" t="s">
        <v>130</v>
      </c>
      <c r="F882" t="s">
        <v>323</v>
      </c>
      <c r="G882">
        <v>50</v>
      </c>
      <c r="H882" t="str">
        <f t="shared" si="52"/>
        <v>TRUE</v>
      </c>
      <c r="I882" t="str">
        <f t="shared" si="53"/>
        <v>TRUE</v>
      </c>
      <c r="J882" t="str">
        <f t="shared" si="54"/>
        <v>FALSE</v>
      </c>
      <c r="K882" t="str">
        <f t="shared" si="55"/>
        <v>subfunctionarea;mtastraceehprintreasonsipreasonheader;TRUE;subfunctionarea;mtastraceehprintreasonsipreasonheader;50</v>
      </c>
    </row>
    <row r="883" spans="1:11" x14ac:dyDescent="0.3">
      <c r="A883">
        <v>8</v>
      </c>
      <c r="B883" t="s">
        <v>130</v>
      </c>
      <c r="C883" t="s">
        <v>322</v>
      </c>
      <c r="D883" t="b">
        <v>1</v>
      </c>
      <c r="E883" t="s">
        <v>130</v>
      </c>
      <c r="F883" t="s">
        <v>322</v>
      </c>
      <c r="G883">
        <v>50</v>
      </c>
      <c r="H883" t="str">
        <f t="shared" si="52"/>
        <v>TRUE</v>
      </c>
      <c r="I883" t="str">
        <f t="shared" si="53"/>
        <v>TRUE</v>
      </c>
      <c r="J883" t="str">
        <f t="shared" si="54"/>
        <v>FALSE</v>
      </c>
      <c r="K883" t="str">
        <f t="shared" si="55"/>
        <v>subfunctionarea;mtastraceehprintreasonsipredirectanderrorcode;TRUE;subfunctionarea;mtastraceehprintreasonsipredirectanderrorcode;50</v>
      </c>
    </row>
    <row r="884" spans="1:11" x14ac:dyDescent="0.3">
      <c r="A884">
        <v>8</v>
      </c>
      <c r="B884" t="s">
        <v>130</v>
      </c>
      <c r="C884" t="s">
        <v>321</v>
      </c>
      <c r="D884" t="b">
        <v>1</v>
      </c>
      <c r="E884" t="s">
        <v>130</v>
      </c>
      <c r="F884" t="s">
        <v>321</v>
      </c>
      <c r="G884">
        <v>50</v>
      </c>
      <c r="H884" t="str">
        <f t="shared" si="52"/>
        <v>TRUE</v>
      </c>
      <c r="I884" t="str">
        <f t="shared" si="53"/>
        <v>TRUE</v>
      </c>
      <c r="J884" t="str">
        <f t="shared" si="54"/>
        <v>FALSE</v>
      </c>
      <c r="K884" t="str">
        <f t="shared" si="55"/>
        <v>subfunctionarea;mtastraceehprintreasonsipwarningheader;TRUE;subfunctionarea;mtastraceehprintreasonsipwarningheader;50</v>
      </c>
    </row>
    <row r="885" spans="1:11" x14ac:dyDescent="0.3">
      <c r="A885">
        <v>8</v>
      </c>
      <c r="B885" t="s">
        <v>130</v>
      </c>
      <c r="C885" t="s">
        <v>324</v>
      </c>
      <c r="D885" t="b">
        <v>1</v>
      </c>
      <c r="E885" t="s">
        <v>130</v>
      </c>
      <c r="F885" t="s">
        <v>324</v>
      </c>
      <c r="G885">
        <v>50</v>
      </c>
      <c r="H885" t="str">
        <f t="shared" si="52"/>
        <v>TRUE</v>
      </c>
      <c r="I885" t="str">
        <f t="shared" si="53"/>
        <v>TRUE</v>
      </c>
      <c r="J885" t="str">
        <f t="shared" si="54"/>
        <v>FALSE</v>
      </c>
      <c r="K885" t="str">
        <f t="shared" si="55"/>
        <v>subfunctionarea;mtastraceehprintreasonsubscriberid;TRUE;subfunctionarea;mtastraceehprintreasonsubscriberid;50</v>
      </c>
    </row>
    <row r="886" spans="1:11" x14ac:dyDescent="0.3">
      <c r="A886">
        <v>8</v>
      </c>
      <c r="B886" t="s">
        <v>130</v>
      </c>
      <c r="C886" t="s">
        <v>320</v>
      </c>
      <c r="D886" t="b">
        <v>1</v>
      </c>
      <c r="E886" t="s">
        <v>130</v>
      </c>
      <c r="F886" t="s">
        <v>320</v>
      </c>
      <c r="G886">
        <v>50</v>
      </c>
      <c r="H886" t="str">
        <f t="shared" si="52"/>
        <v>TRUE</v>
      </c>
      <c r="I886" t="str">
        <f t="shared" si="53"/>
        <v>TRUE</v>
      </c>
      <c r="J886" t="str">
        <f t="shared" si="54"/>
        <v>FALSE</v>
      </c>
      <c r="K886" t="str">
        <f t="shared" si="55"/>
        <v>subfunctionarea;mtasxdmscai3girsdefaultimpuusage;TRUE;subfunctionarea;mtasxdmscai3girsdefaultimpuusage;50</v>
      </c>
    </row>
    <row r="887" spans="1:11" x14ac:dyDescent="0.3">
      <c r="A887">
        <v>8</v>
      </c>
      <c r="B887" t="s">
        <v>130</v>
      </c>
      <c r="C887" t="s">
        <v>319</v>
      </c>
      <c r="D887" t="b">
        <v>1</v>
      </c>
      <c r="E887" t="s">
        <v>130</v>
      </c>
      <c r="F887" t="s">
        <v>319</v>
      </c>
      <c r="G887">
        <v>50</v>
      </c>
      <c r="H887" t="str">
        <f t="shared" si="52"/>
        <v>TRUE</v>
      </c>
      <c r="I887" t="str">
        <f t="shared" si="53"/>
        <v>TRUE</v>
      </c>
      <c r="J887" t="str">
        <f t="shared" si="54"/>
        <v>FALSE</v>
      </c>
      <c r="K887" t="str">
        <f t="shared" si="55"/>
        <v>subfunctionarea;mtasxdmscalleridentitynumnormtranslation;TRUE;subfunctionarea;mtasxdmscalleridentitynumnormtranslation;50</v>
      </c>
    </row>
    <row r="888" spans="1:11" x14ac:dyDescent="0.3">
      <c r="A888">
        <v>8</v>
      </c>
      <c r="B888" t="s">
        <v>130</v>
      </c>
      <c r="C888" t="s">
        <v>277</v>
      </c>
      <c r="D888" t="b">
        <v>1</v>
      </c>
      <c r="E888" t="s">
        <v>130</v>
      </c>
      <c r="F888" t="s">
        <v>277</v>
      </c>
      <c r="G888">
        <v>50</v>
      </c>
      <c r="H888" t="str">
        <f t="shared" si="52"/>
        <v>TRUE</v>
      </c>
      <c r="I888" t="str">
        <f t="shared" si="53"/>
        <v>TRUE</v>
      </c>
      <c r="J888" t="str">
        <f t="shared" si="54"/>
        <v>FALSE</v>
      </c>
      <c r="K888" t="str">
        <f t="shared" si="55"/>
        <v>subfunctionarea;noofattempsofassociationestablishment;TRUE;subfunctionarea;noofattempsofassociationestablishment;50</v>
      </c>
    </row>
    <row r="889" spans="1:11" x14ac:dyDescent="0.3">
      <c r="A889">
        <v>8</v>
      </c>
      <c r="B889" t="s">
        <v>130</v>
      </c>
      <c r="C889" t="s">
        <v>804</v>
      </c>
      <c r="D889" t="b">
        <v>0</v>
      </c>
      <c r="E889" t="s">
        <v>130</v>
      </c>
      <c r="F889" t="s">
        <v>804</v>
      </c>
      <c r="G889">
        <v>50</v>
      </c>
      <c r="H889" t="str">
        <f t="shared" ref="H889:H893" si="56">IF(LEN(C889)&gt;30,"TRUE","FALSE")</f>
        <v>FALSE</v>
      </c>
      <c r="I889" t="str">
        <f t="shared" ref="I889:I893" si="57">IF(LEN(F889)&gt;30,"TRUE","FALSE")</f>
        <v>FALSE</v>
      </c>
      <c r="J889" t="str">
        <f t="shared" si="54"/>
        <v>FALSE</v>
      </c>
      <c r="K889" t="str">
        <f t="shared" si="55"/>
        <v>subfunctionarea;cscfdomainroutingsyncconfig;FALSE;subfunctionarea;cscfdomainroutingsyncconfig;50</v>
      </c>
    </row>
    <row r="890" spans="1:11" x14ac:dyDescent="0.3">
      <c r="A890">
        <v>8</v>
      </c>
      <c r="B890" t="s">
        <v>130</v>
      </c>
      <c r="C890" t="s">
        <v>938</v>
      </c>
      <c r="D890" t="b">
        <v>0</v>
      </c>
      <c r="E890" t="s">
        <v>130</v>
      </c>
      <c r="F890" t="s">
        <v>938</v>
      </c>
      <c r="G890">
        <v>50</v>
      </c>
      <c r="H890" t="str">
        <f t="shared" si="56"/>
        <v>FALSE</v>
      </c>
      <c r="I890" t="str">
        <f t="shared" si="57"/>
        <v>FALSE</v>
      </c>
      <c r="J890" t="str">
        <f t="shared" ref="J890:J893" si="58">IF(G890&gt;50,"TRUE","FALSE")</f>
        <v>FALSE</v>
      </c>
      <c r="K890" t="str">
        <f t="shared" ref="K890:K893" si="59">CONCATENATE(B890,";",C890,";",D890,";",E890,";",F890,";",G890)</f>
        <v>subfunctionarea;mtassystemconstantsc5;FALSE;subfunctionarea;mtassystemconstantsc5;50</v>
      </c>
    </row>
    <row r="891" spans="1:11" x14ac:dyDescent="0.3">
      <c r="A891">
        <v>8</v>
      </c>
      <c r="B891" t="s">
        <v>130</v>
      </c>
      <c r="C891" t="s">
        <v>911</v>
      </c>
      <c r="D891" t="b">
        <v>0</v>
      </c>
      <c r="E891" t="s">
        <v>130</v>
      </c>
      <c r="F891" t="s">
        <v>911</v>
      </c>
      <c r="G891">
        <v>50</v>
      </c>
      <c r="H891" t="str">
        <f t="shared" si="56"/>
        <v>FALSE</v>
      </c>
      <c r="I891" t="str">
        <f t="shared" si="57"/>
        <v>FALSE</v>
      </c>
      <c r="J891" t="str">
        <f t="shared" si="58"/>
        <v>FALSE</v>
      </c>
      <c r="K891" t="str">
        <f t="shared" si="59"/>
        <v>subfunctionarea;mtaschargingrttiadminstate;FALSE;subfunctionarea;mtaschargingrttiadminstate;50</v>
      </c>
    </row>
    <row r="892" spans="1:11" x14ac:dyDescent="0.3">
      <c r="A892">
        <v>8</v>
      </c>
      <c r="B892" t="s">
        <v>130</v>
      </c>
      <c r="C892" t="s">
        <v>774</v>
      </c>
      <c r="D892" t="b">
        <v>0</v>
      </c>
      <c r="E892" t="s">
        <v>130</v>
      </c>
      <c r="F892" t="s">
        <v>774</v>
      </c>
      <c r="G892">
        <v>50</v>
      </c>
      <c r="H892" t="str">
        <f t="shared" si="56"/>
        <v>FALSE</v>
      </c>
      <c r="I892" t="str">
        <f t="shared" si="57"/>
        <v>FALSE</v>
      </c>
      <c r="J892" t="str">
        <f t="shared" si="58"/>
        <v>FALSE</v>
      </c>
      <c r="K892" t="str">
        <f t="shared" si="59"/>
        <v>subfunctionarea;mtassipcalloutofbluerouting;FALSE;subfunctionarea;mtassipcalloutofbluerouting;50</v>
      </c>
    </row>
    <row r="893" spans="1:11" x14ac:dyDescent="0.3">
      <c r="A893">
        <v>8</v>
      </c>
      <c r="B893" t="s">
        <v>130</v>
      </c>
      <c r="C893" t="s">
        <v>313</v>
      </c>
      <c r="D893" t="b">
        <v>0</v>
      </c>
      <c r="E893" t="s">
        <v>130</v>
      </c>
      <c r="F893" t="s">
        <v>313</v>
      </c>
      <c r="G893">
        <v>50</v>
      </c>
      <c r="H893" t="str">
        <f t="shared" si="56"/>
        <v>FALSE</v>
      </c>
      <c r="I893" t="str">
        <f t="shared" si="57"/>
        <v>FALSE</v>
      </c>
      <c r="J893" t="str">
        <f t="shared" si="58"/>
        <v>FALSE</v>
      </c>
      <c r="K893" t="str">
        <f t="shared" si="59"/>
        <v>subfunctionarea;mtasxdmscai3ginactivitytimeout;FALSE;subfunctionarea;mtasxdmscai3ginactivitytimeout;50</v>
      </c>
    </row>
  </sheetData>
  <sortState xmlns:xlrd2="http://schemas.microsoft.com/office/spreadsheetml/2017/richdata2" ref="A2:J2324">
    <sortCondition ref="A2:A2324"/>
    <sortCondition ref="H2:H2324"/>
    <sortCondition ref="J2:J2324"/>
    <sortCondition ref="I2:I23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Assumptions</vt:lpstr>
      <vt:lpstr>key</vt:lpstr>
      <vt:lpstr>networkelement</vt:lpstr>
      <vt:lpstr>softwarecomponent</vt:lpstr>
      <vt:lpstr>component</vt:lpstr>
      <vt:lpstr>identity</vt:lpstr>
      <vt:lpstr>softconfiguration</vt:lpstr>
      <vt:lpstr>function</vt:lpstr>
      <vt:lpstr>functionarea</vt:lpstr>
      <vt:lpstr>subfunction</vt:lpstr>
      <vt:lpstr>subfunctionarea</vt:lpstr>
      <vt:lpstr>Subfuncationarea2</vt:lpstr>
      <vt:lpstr>hardwareconfiguration</vt:lpstr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sandhata</cp:lastModifiedBy>
  <cp:revision/>
  <dcterms:created xsi:type="dcterms:W3CDTF">2023-04-06T05:28:47Z</dcterms:created>
  <dcterms:modified xsi:type="dcterms:W3CDTF">2023-08-04T05:21:09Z</dcterms:modified>
  <cp:category/>
  <cp:contentStatus/>
</cp:coreProperties>
</file>